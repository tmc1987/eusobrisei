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inel" sheetId="1" state="visible" r:id="rId3"/>
    <sheet name="Análise Dinâmica" sheetId="2" state="visible" r:id="rId4"/>
    <sheet name="Nota Fiscal" sheetId="3" state="visible" r:id="rId5"/>
    <sheet name="Compras" sheetId="4" state="visible" r:id="rId6"/>
    <sheet name="Comparador" sheetId="5" state="visible" r:id="rId7"/>
    <sheet name="Listas" sheetId="6" state="visible" r:id="rId8"/>
  </sheets>
  <definedNames>
    <definedName function="false" hidden="false" name="ListaCategoriasFiltro" vbProcedure="false">Listas!$F$5:$F$21</definedName>
    <definedName function="false" hidden="false" name="ListaMercadosFiltro" vbProcedure="false">Listas!$G$5:$G$18</definedName>
    <definedName function="false" hidden="false" name="ListaMesesFiltro" vbProcedure="false">Listas!$E$5:$E$17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<sst xmlns="http://schemas.openxmlformats.org/spreadsheetml/2006/main" count="9141" uniqueCount="1287">
  <si>
    <t xml:space="preserve">PAINEL DE COMPRAS</t>
  </si>
  <si>
    <t xml:space="preserve">Visão consolidada dos gastos — tudo em fórmula: atualiza sozinho ao adicionar compras na aba Compras</t>
  </si>
  <si>
    <t xml:space="preserve">TOTAL GASTO</t>
  </si>
  <si>
    <t xml:space="preserve">ITENS</t>
  </si>
  <si>
    <t xml:space="preserve">TICKET MÉDIO</t>
  </si>
  <si>
    <t xml:space="preserve">MERCADOS</t>
  </si>
  <si>
    <t xml:space="preserve">PERÍODO</t>
  </si>
  <si>
    <t xml:space="preserve">ONDE VOCÊ ESTÁ GASTANDO</t>
  </si>
  <si>
    <t xml:space="preserve">Total por categoria (todas as categorias encontradas na aba Compras)</t>
  </si>
  <si>
    <t xml:space="preserve">Categoria</t>
  </si>
  <si>
    <t xml:space="preserve">Total</t>
  </si>
  <si>
    <t xml:space="preserve">%</t>
  </si>
  <si>
    <t xml:space="preserve">Mercearia</t>
  </si>
  <si>
    <t xml:space="preserve">Laticinios</t>
  </si>
  <si>
    <t xml:space="preserve">Padaria</t>
  </si>
  <si>
    <t xml:space="preserve">Hortifruti</t>
  </si>
  <si>
    <t xml:space="preserve">Bebidas</t>
  </si>
  <si>
    <t xml:space="preserve">Carnes</t>
  </si>
  <si>
    <t xml:space="preserve">Higiene</t>
  </si>
  <si>
    <t xml:space="preserve">Limpeza</t>
  </si>
  <si>
    <t xml:space="preserve">Laticínios</t>
  </si>
  <si>
    <t xml:space="preserve">Saúde</t>
  </si>
  <si>
    <t xml:space="preserve">Pet</t>
  </si>
  <si>
    <t xml:space="preserve">Café</t>
  </si>
  <si>
    <t xml:space="preserve">Rotisseria</t>
  </si>
  <si>
    <t xml:space="preserve">Frios</t>
  </si>
  <si>
    <t xml:space="preserve">Açougue</t>
  </si>
  <si>
    <t xml:space="preserve">Frutas</t>
  </si>
  <si>
    <t xml:space="preserve">EVOLUÇÃO POR MÊS</t>
  </si>
  <si>
    <t xml:space="preserve">Quanto você gastou em cada mês (meses gerados automaticamente)</t>
  </si>
  <si>
    <t xml:space="preserve">Mês/Ano</t>
  </si>
  <si>
    <t xml:space="preserve">Itens</t>
  </si>
  <si>
    <t xml:space="preserve">POR MERCADO</t>
  </si>
  <si>
    <t xml:space="preserve">Quanto você gastou em cada lugar</t>
  </si>
  <si>
    <t xml:space="preserve">Mercado</t>
  </si>
  <si>
    <t xml:space="preserve">Ticket</t>
  </si>
  <si>
    <t xml:space="preserve">Supermercados Nori</t>
  </si>
  <si>
    <t xml:space="preserve">Supermercado Canesin</t>
  </si>
  <si>
    <t xml:space="preserve">Varejao Monteverde</t>
  </si>
  <si>
    <t xml:space="preserve">Andre Eduardo Hipolito</t>
  </si>
  <si>
    <t xml:space="preserve">Varejao Nova Brasil</t>
  </si>
  <si>
    <t xml:space="preserve">Casa de Carnes Barao da Carne</t>
  </si>
  <si>
    <t xml:space="preserve">Lanchoti e Martins</t>
  </si>
  <si>
    <t xml:space="preserve">Andre Novato Ribeiro</t>
  </si>
  <si>
    <t xml:space="preserve">Real Atacamix</t>
  </si>
  <si>
    <t xml:space="preserve">Crystal</t>
  </si>
  <si>
    <t xml:space="preserve">André</t>
  </si>
  <si>
    <t xml:space="preserve">Andre Supermercado</t>
  </si>
  <si>
    <t xml:space="preserve">Canesin</t>
  </si>
  <si>
    <t xml:space="preserve">TOP 10 ITENS MAIS CAROS</t>
  </si>
  <si>
    <t xml:space="preserve">Maiores valores pagos em um único item (empates repetem o primeiro produto encontrado)</t>
  </si>
  <si>
    <t xml:space="preserve">#</t>
  </si>
  <si>
    <t xml:space="preserve">Produto</t>
  </si>
  <si>
    <t xml:space="preserve">Valor</t>
  </si>
  <si>
    <t xml:space="preserve">ANÁLISE DINÂMICA</t>
  </si>
  <si>
    <t xml:space="preserve">Escolha os filtros abaixo (células amarelas) — todos os números e gráficos recalculam na hora</t>
  </si>
  <si>
    <t xml:space="preserve">aux</t>
  </si>
  <si>
    <t xml:space="preserve">MÊS/ANO</t>
  </si>
  <si>
    <t xml:space="preserve">CATEGORIA</t>
  </si>
  <si>
    <t xml:space="preserve">MERCADO</t>
  </si>
  <si>
    <t xml:space="preserve">jul/2026</t>
  </si>
  <si>
    <t xml:space="preserve">(Todos)</t>
  </si>
  <si>
    <t xml:space="preserve">TOTAL (filtro)</t>
  </si>
  <si>
    <t xml:space="preserve">ITENS (filtro)</t>
  </si>
  <si>
    <t xml:space="preserve">% DO TOTAL GERAL</t>
  </si>
  <si>
    <t xml:space="preserve">GASTO POR CATEGORIA</t>
  </si>
  <si>
    <t xml:space="preserve">Aplica os filtros de mês e mercado</t>
  </si>
  <si>
    <t xml:space="preserve">EVOLUÇÃO MENSAL</t>
  </si>
  <si>
    <t xml:space="preserve">Aplica os filtros de categoria e mercado</t>
  </si>
  <si>
    <t xml:space="preserve">GASTO POR MERCADO</t>
  </si>
  <si>
    <t xml:space="preserve">Aplica os filtros de mês e categoria</t>
  </si>
  <si>
    <t xml:space="preserve">NOTAS FISCAIS — CONFERÊNCIA</t>
  </si>
  <si>
    <t xml:space="preserve">Uma nota = um bloco no padrão fixo. Soma, diferença e status são fórmulas: basta digitar os itens e o total do cupom.</t>
  </si>
  <si>
    <t xml:space="preserve">Para lançar uma nota nova: copie o BLOCO MODELO inteiro (da barra do título até a linha em branco), cole no fim da aba e preencha as células amarelas.</t>
  </si>
  <si>
    <t xml:space="preserve">Lembrete: os itens também precisam ser lançados na aba Compras — é ela que alimenta o Painel e a Análise Dinâmica.</t>
  </si>
  <si>
    <t xml:space="preserve">ÍNDICE DAS NOTAS</t>
  </si>
  <si>
    <t xml:space="preserve">Resumo automático — clique no nº para ir até a nota</t>
  </si>
  <si>
    <t xml:space="preserve">Nº</t>
  </si>
  <si>
    <t xml:space="preserve">Data</t>
  </si>
  <si>
    <t xml:space="preserve">Documento</t>
  </si>
  <si>
    <t xml:space="preserve">Pagamento</t>
  </si>
  <si>
    <t xml:space="preserve">Total oficial</t>
  </si>
  <si>
    <t xml:space="preserve">Soma itens</t>
  </si>
  <si>
    <t xml:space="preserve">Dif. (R$)</t>
  </si>
  <si>
    <t xml:space="preserve">Status</t>
  </si>
  <si>
    <t xml:space="preserve">001</t>
  </si>
  <si>
    <t xml:space="preserve">002</t>
  </si>
  <si>
    <t xml:space="preserve">003</t>
  </si>
  <si>
    <t xml:space="preserve">004</t>
  </si>
  <si>
    <t xml:space="preserve">005</t>
  </si>
  <si>
    <t xml:space="preserve">006</t>
  </si>
  <si>
    <t xml:space="preserve">007</t>
  </si>
  <si>
    <t xml:space="preserve">008</t>
  </si>
  <si>
    <t xml:space="preserve">009</t>
  </si>
  <si>
    <t xml:space="preserve">010</t>
  </si>
  <si>
    <t xml:space="preserve">011</t>
  </si>
  <si>
    <t xml:space="preserve">012</t>
  </si>
  <si>
    <t xml:space="preserve">013</t>
  </si>
  <si>
    <t xml:space="preserve">014</t>
  </si>
  <si>
    <t xml:space="preserve">015</t>
  </si>
  <si>
    <t xml:space="preserve">016</t>
  </si>
  <si>
    <t xml:space="preserve">017</t>
  </si>
  <si>
    <t xml:space="preserve">018</t>
  </si>
  <si>
    <t xml:space="preserve">019</t>
  </si>
  <si>
    <t xml:space="preserve">020</t>
  </si>
  <si>
    <t xml:space="preserve">021</t>
  </si>
  <si>
    <t xml:space="preserve">022</t>
  </si>
  <si>
    <t xml:space="preserve">023</t>
  </si>
  <si>
    <t xml:space="preserve">024</t>
  </si>
  <si>
    <t xml:space="preserve">025</t>
  </si>
  <si>
    <t xml:space="preserve">026</t>
  </si>
  <si>
    <t xml:space="preserve">027</t>
  </si>
  <si>
    <t xml:space="preserve">028</t>
  </si>
  <si>
    <t xml:space="preserve">029</t>
  </si>
  <si>
    <t xml:space="preserve">030</t>
  </si>
  <si>
    <t xml:space="preserve">031</t>
  </si>
  <si>
    <t xml:space="preserve">032</t>
  </si>
  <si>
    <t xml:space="preserve">033</t>
  </si>
  <si>
    <t xml:space="preserve">034</t>
  </si>
  <si>
    <t xml:space="preserve">035</t>
  </si>
  <si>
    <t xml:space="preserve">036</t>
  </si>
  <si>
    <t xml:space="preserve">037</t>
  </si>
  <si>
    <t xml:space="preserve">038</t>
  </si>
  <si>
    <t xml:space="preserve">039</t>
  </si>
  <si>
    <t xml:space="preserve">040</t>
  </si>
  <si>
    <t xml:space="preserve">041</t>
  </si>
  <si>
    <t xml:space="preserve">042</t>
  </si>
  <si>
    <t xml:space="preserve">043</t>
  </si>
  <si>
    <t xml:space="preserve">044</t>
  </si>
  <si>
    <t xml:space="preserve">045</t>
  </si>
  <si>
    <t xml:space="preserve">046</t>
  </si>
  <si>
    <t xml:space="preserve">047</t>
  </si>
  <si>
    <t xml:space="preserve">048</t>
  </si>
  <si>
    <t xml:space="preserve">049</t>
  </si>
  <si>
    <t xml:space="preserve">050</t>
  </si>
  <si>
    <t xml:space="preserve">051</t>
  </si>
  <si>
    <t xml:space="preserve">052</t>
  </si>
  <si>
    <t xml:space="preserve">053</t>
  </si>
  <si>
    <t xml:space="preserve">054</t>
  </si>
  <si>
    <t xml:space="preserve">055</t>
  </si>
  <si>
    <t xml:space="preserve">056</t>
  </si>
  <si>
    <t xml:space="preserve">057</t>
  </si>
  <si>
    <t xml:space="preserve">058</t>
  </si>
  <si>
    <t xml:space="preserve">059</t>
  </si>
  <si>
    <t xml:space="preserve">060</t>
  </si>
  <si>
    <t xml:space="preserve">061</t>
  </si>
  <si>
    <t xml:space="preserve">062</t>
  </si>
  <si>
    <t xml:space="preserve">063</t>
  </si>
  <si>
    <t xml:space="preserve">064</t>
  </si>
  <si>
    <t xml:space="preserve">065</t>
  </si>
  <si>
    <t xml:space="preserve">066</t>
  </si>
  <si>
    <t xml:space="preserve">067</t>
  </si>
  <si>
    <t xml:space="preserve">068</t>
  </si>
  <si>
    <t xml:space="preserve">069</t>
  </si>
  <si>
    <t xml:space="preserve">070</t>
  </si>
  <si>
    <t xml:space="preserve">071</t>
  </si>
  <si>
    <t xml:space="preserve">BLOCO MODELO — copie este bloco para lançar uma nota nova</t>
  </si>
  <si>
    <t xml:space="preserve">Documento (cupom/NFC-e)</t>
  </si>
  <si>
    <t xml:space="preserve">Qtd. oficial de itens</t>
  </si>
  <si>
    <t xml:space="preserve">Total oficial (R$)</t>
  </si>
  <si>
    <t xml:space="preserve">Itens lançados (linhas)</t>
  </si>
  <si>
    <t xml:space="preserve">Soma dos itens (R$)</t>
  </si>
  <si>
    <t xml:space="preserve">Unidades lançadas</t>
  </si>
  <si>
    <t xml:space="preserve">Diferença (R$)</t>
  </si>
  <si>
    <t xml:space="preserve">Obs.</t>
  </si>
  <si>
    <t xml:space="preserve">Código</t>
  </si>
  <si>
    <t xml:space="preserve">Qtd.</t>
  </si>
  <si>
    <t xml:space="preserve">Unid.</t>
  </si>
  <si>
    <t xml:space="preserve">Preço Unit.</t>
  </si>
  <si>
    <t xml:space="preserve">Calc.</t>
  </si>
  <si>
    <t xml:space="preserve">Check</t>
  </si>
  <si>
    <t xml:space="preserve">NOTA 001</t>
  </si>
  <si>
    <t xml:space="preserve">NFC-e 000052920 série 017</t>
  </si>
  <si>
    <t xml:space="preserve">Cartão de Crédito</t>
  </si>
  <si>
    <t xml:space="preserve">10787</t>
  </si>
  <si>
    <t xml:space="preserve">BISCOITO SIMPLES KG</t>
  </si>
  <si>
    <t xml:space="preserve">KG</t>
  </si>
  <si>
    <t xml:space="preserve">316832</t>
  </si>
  <si>
    <t xml:space="preserve">BOLACHA TRANCADINHA DE CANELA 250G</t>
  </si>
  <si>
    <t xml:space="preserve">UN</t>
  </si>
  <si>
    <t xml:space="preserve">3192</t>
  </si>
  <si>
    <t xml:space="preserve">PAO FRANCES KG</t>
  </si>
  <si>
    <t xml:space="preserve">NOTA 002</t>
  </si>
  <si>
    <t xml:space="preserve">Cupom 00077650 / NFC-e 24610 Série 004</t>
  </si>
  <si>
    <t xml:space="preserve">7898510050010</t>
  </si>
  <si>
    <t xml:space="preserve">Café La Sante</t>
  </si>
  <si>
    <t xml:space="preserve">7896256050295</t>
  </si>
  <si>
    <t xml:space="preserve">Milho Pipoca Pipocão</t>
  </si>
  <si>
    <t xml:space="preserve">7896035900162</t>
  </si>
  <si>
    <t xml:space="preserve">Flocão Milho Amafil</t>
  </si>
  <si>
    <t xml:space="preserve">7896247510081</t>
  </si>
  <si>
    <t xml:space="preserve">Farinha de Mandioca</t>
  </si>
  <si>
    <t xml:space="preserve">7898234850019</t>
  </si>
  <si>
    <t xml:space="preserve">Farinha de Trigo</t>
  </si>
  <si>
    <t xml:space="preserve">7897005100209</t>
  </si>
  <si>
    <t xml:space="preserve">Grão de Bico</t>
  </si>
  <si>
    <t xml:space="preserve">200</t>
  </si>
  <si>
    <t xml:space="preserve">Pão Francês (Filão)</t>
  </si>
  <si>
    <t xml:space="preserve">7891000304594</t>
  </si>
  <si>
    <t xml:space="preserve">Biscoito Nesfit</t>
  </si>
  <si>
    <t xml:space="preserve">7891048040065</t>
  </si>
  <si>
    <t xml:space="preserve">Fermento Dr. Oetker</t>
  </si>
  <si>
    <t xml:space="preserve">7896061300189</t>
  </si>
  <si>
    <t xml:space="preserve">Biscoito Tuc's</t>
  </si>
  <si>
    <t xml:space="preserve">7891000307083</t>
  </si>
  <si>
    <t xml:space="preserve">Café Solução Nescafé</t>
  </si>
  <si>
    <t xml:space="preserve">7891962051338</t>
  </si>
  <si>
    <t xml:space="preserve">Pão Visconti</t>
  </si>
  <si>
    <t xml:space="preserve">301</t>
  </si>
  <si>
    <t xml:space="preserve">Maionese de Legumes</t>
  </si>
  <si>
    <t xml:space="preserve">227</t>
  </si>
  <si>
    <t xml:space="preserve">Rosca Coco/Creme</t>
  </si>
  <si>
    <t xml:space="preserve">7898206020020</t>
  </si>
  <si>
    <t xml:space="preserve">Leite Vovó Anízia</t>
  </si>
  <si>
    <t xml:space="preserve">7896625211401</t>
  </si>
  <si>
    <t xml:space="preserve">Requeijão Vigor</t>
  </si>
  <si>
    <t xml:space="preserve">7804350002157</t>
  </si>
  <si>
    <t xml:space="preserve">Vinho Santa Carolina</t>
  </si>
  <si>
    <t xml:space="preserve">853</t>
  </si>
  <si>
    <t xml:space="preserve">Linguiça Fina</t>
  </si>
  <si>
    <t xml:space="preserve">NOTA 003</t>
  </si>
  <si>
    <t xml:space="preserve">Cupom 91475</t>
  </si>
  <si>
    <t xml:space="preserve">7898206020457</t>
  </si>
  <si>
    <t xml:space="preserve">IOGURTE VOVO ANIZIA</t>
  </si>
  <si>
    <t xml:space="preserve">7896051662386</t>
  </si>
  <si>
    <t xml:space="preserve">FERMENTADO ITAMBE</t>
  </si>
  <si>
    <t xml:space="preserve">7896625211901</t>
  </si>
  <si>
    <t xml:space="preserve">REQUEIJAO VIGOR</t>
  </si>
  <si>
    <t xml:space="preserve">7894904271566</t>
  </si>
  <si>
    <t xml:space="preserve">MARGARINA DELICIA</t>
  </si>
  <si>
    <t xml:space="preserve">7898051550024</t>
  </si>
  <si>
    <t xml:space="preserve">LEITE SERRALAT PADRAO</t>
  </si>
  <si>
    <t xml:space="preserve">7898994790525</t>
  </si>
  <si>
    <t xml:space="preserve">CAFE 3 CORACOES</t>
  </si>
  <si>
    <t xml:space="preserve">742832687003</t>
  </si>
  <si>
    <t xml:space="preserve">AMENDOIM DELTA</t>
  </si>
  <si>
    <t xml:space="preserve">7898187830021</t>
  </si>
  <si>
    <t xml:space="preserve">ACUCAR CRISTAL</t>
  </si>
  <si>
    <t xml:space="preserve">7896110100043</t>
  </si>
  <si>
    <t xml:space="preserve">SAL LEBRE MARINHO</t>
  </si>
  <si>
    <t xml:space="preserve">7896061301872</t>
  </si>
  <si>
    <t xml:space="preserve">BISCOITO TUCS</t>
  </si>
  <si>
    <t xml:space="preserve">BISCOITO NESFIT</t>
  </si>
  <si>
    <t xml:space="preserve">7891000101506</t>
  </si>
  <si>
    <t xml:space="preserve">LEITE PO MOLICO</t>
  </si>
  <si>
    <t xml:space="preserve">7896292340503</t>
  </si>
  <si>
    <t xml:space="preserve">MILHO VERDE</t>
  </si>
  <si>
    <t xml:space="preserve">789623260303</t>
  </si>
  <si>
    <t xml:space="preserve">EXT TOM PREDILECTA</t>
  </si>
  <si>
    <t xml:space="preserve">7898215151784</t>
  </si>
  <si>
    <t xml:space="preserve">CREME LEITE</t>
  </si>
  <si>
    <t xml:space="preserve">5045</t>
  </si>
  <si>
    <t xml:space="preserve">TORRADAS PALITO</t>
  </si>
  <si>
    <t xml:space="preserve">789100307120</t>
  </si>
  <si>
    <t xml:space="preserve">CAFE SOLUVEL NESCAFE</t>
  </si>
  <si>
    <t xml:space="preserve">7896683409901</t>
  </si>
  <si>
    <t xml:space="preserve">GELATINA LUAL</t>
  </si>
  <si>
    <t xml:space="preserve">MILHO PIPOCA</t>
  </si>
  <si>
    <t xml:space="preserve">7891000244135</t>
  </si>
  <si>
    <t xml:space="preserve">ALIM CAES DOG CHOW</t>
  </si>
  <si>
    <t xml:space="preserve">7891000360994</t>
  </si>
  <si>
    <t xml:space="preserve">AVEIA NESTLE FLOCOS</t>
  </si>
  <si>
    <t xml:space="preserve">7898949531081</t>
  </si>
  <si>
    <t xml:space="preserve">PAO SAO SEBASTIAO</t>
  </si>
  <si>
    <t xml:space="preserve">PAO FRANCES FILAO</t>
  </si>
  <si>
    <t xml:space="preserve">7897533205284</t>
  </si>
  <si>
    <t xml:space="preserve">TEMP QUINTA DO OUTEIRO</t>
  </si>
  <si>
    <t xml:space="preserve">7896073359605</t>
  </si>
  <si>
    <t xml:space="preserve">TEMPERO LISBOA</t>
  </si>
  <si>
    <t xml:space="preserve">789114400147</t>
  </si>
  <si>
    <t xml:space="preserve">VINAGRE TOSCANO</t>
  </si>
  <si>
    <t xml:space="preserve">7898920918146</t>
  </si>
  <si>
    <t xml:space="preserve">OLEO GIRASSOL FINISS</t>
  </si>
  <si>
    <t xml:space="preserve">7896183301002</t>
  </si>
  <si>
    <t xml:space="preserve">DESINF PINHO SANOL</t>
  </si>
  <si>
    <t xml:space="preserve">7896471603058</t>
  </si>
  <si>
    <t xml:space="preserve">AMACIANTE GEO</t>
  </si>
  <si>
    <t xml:space="preserve">7891150086821</t>
  </si>
  <si>
    <t xml:space="preserve">SABAO PO SURF</t>
  </si>
  <si>
    <t xml:space="preserve">NOTA 004</t>
  </si>
  <si>
    <t xml:space="preserve">NFC-e 2410 série 2</t>
  </si>
  <si>
    <t xml:space="preserve">127</t>
  </si>
  <si>
    <t xml:space="preserve">BERINJELA</t>
  </si>
  <si>
    <t xml:space="preserve">150</t>
  </si>
  <si>
    <t xml:space="preserve">BANANA NANICA</t>
  </si>
  <si>
    <t xml:space="preserve">184</t>
  </si>
  <si>
    <t xml:space="preserve">MACA GALA</t>
  </si>
  <si>
    <t xml:space="preserve">NOTA 005</t>
  </si>
  <si>
    <t xml:space="preserve">NFC-e 000038274 série 301</t>
  </si>
  <si>
    <t xml:space="preserve">2001364000000</t>
  </si>
  <si>
    <t xml:space="preserve">LIMAO KG</t>
  </si>
  <si>
    <t xml:space="preserve">7896256050172</t>
  </si>
  <si>
    <t xml:space="preserve">GRAO DE BICO KODILAR</t>
  </si>
  <si>
    <t xml:space="preserve">NOTA 006</t>
  </si>
  <si>
    <t xml:space="preserve">Pedido 083825 (Orçamento - Sem Valor Fiscal)</t>
  </si>
  <si>
    <t xml:space="preserve">2020300034220</t>
  </si>
  <si>
    <t xml:space="preserve">COSTELINHA TEMP SUIN</t>
  </si>
  <si>
    <t xml:space="preserve">2055000044262</t>
  </si>
  <si>
    <t xml:space="preserve">PERNIL CARNEIRO TEMP</t>
  </si>
  <si>
    <t xml:space="preserve">NOTA 007</t>
  </si>
  <si>
    <t xml:space="preserve">NFC-e 8933 série 1</t>
  </si>
  <si>
    <t xml:space="preserve">OVOS SEMI CAIPIRA</t>
  </si>
  <si>
    <t xml:space="preserve">NOTA 008</t>
  </si>
  <si>
    <t xml:space="preserve">Pedido 103009583 Oper. 03</t>
  </si>
  <si>
    <t xml:space="preserve">4639</t>
  </si>
  <si>
    <t xml:space="preserve">BATATA FRITA KELECK 90G NATURA</t>
  </si>
  <si>
    <t xml:space="preserve">PT</t>
  </si>
  <si>
    <t xml:space="preserve">2614</t>
  </si>
  <si>
    <t xml:space="preserve">DIVERSOS</t>
  </si>
  <si>
    <t xml:space="preserve">4592</t>
  </si>
  <si>
    <t xml:space="preserve">AGUA MINERAL LEVE 490ML C/GAS</t>
  </si>
  <si>
    <t xml:space="preserve">FC</t>
  </si>
  <si>
    <t xml:space="preserve">NOTA 009</t>
  </si>
  <si>
    <t xml:space="preserve">Cupom 0900212 PDV 03</t>
  </si>
  <si>
    <t xml:space="preserve">7892840800000</t>
  </si>
  <si>
    <t xml:space="preserve">PEPSI 2L PET (desc. R$ 0,20)</t>
  </si>
  <si>
    <t xml:space="preserve">7896002368230</t>
  </si>
  <si>
    <t xml:space="preserve">ANA MARIA NAPOLITANO</t>
  </si>
  <si>
    <t xml:space="preserve">NOTA 010</t>
  </si>
  <si>
    <t xml:space="preserve">Cupom 00083585 NFC-e 27580 Serie 014</t>
  </si>
  <si>
    <t xml:space="preserve">PIX</t>
  </si>
  <si>
    <t xml:space="preserve">229</t>
  </si>
  <si>
    <t xml:space="preserve">BOLO ANIVERSARIO</t>
  </si>
  <si>
    <t xml:space="preserve">MAIONESE DE LEGUMES</t>
  </si>
  <si>
    <t xml:space="preserve">7891999904805</t>
  </si>
  <si>
    <t xml:space="preserve">LEITE FERMENTADO</t>
  </si>
  <si>
    <t xml:space="preserve">NOTA 011</t>
  </si>
  <si>
    <t xml:space="preserve">Cupom Nota 36741</t>
  </si>
  <si>
    <t xml:space="preserve">848</t>
  </si>
  <si>
    <t xml:space="preserve">PAO DE FORMA PULLMAN</t>
  </si>
  <si>
    <t xml:space="preserve">2870</t>
  </si>
  <si>
    <t xml:space="preserve">CAFE PADRAO 500G</t>
  </si>
  <si>
    <t xml:space="preserve">NOTA 012</t>
  </si>
  <si>
    <t xml:space="preserve">Cupom NFC-e 3067 Série 3</t>
  </si>
  <si>
    <t xml:space="preserve">168</t>
  </si>
  <si>
    <t xml:space="preserve">BROCOLIS JAPONES</t>
  </si>
  <si>
    <t xml:space="preserve">141</t>
  </si>
  <si>
    <t xml:space="preserve">ALHO A GRANEL</t>
  </si>
  <si>
    <t xml:space="preserve">1081</t>
  </si>
  <si>
    <t xml:space="preserve">CEBOLA ROXA</t>
  </si>
  <si>
    <t xml:space="preserve">NOTA 013</t>
  </si>
  <si>
    <t xml:space="preserve">Cupom Cupom 00065290</t>
  </si>
  <si>
    <t xml:space="preserve">7896247512061</t>
  </si>
  <si>
    <t xml:space="preserve">FUBA ZEI</t>
  </si>
  <si>
    <t xml:space="preserve">7896086422217</t>
  </si>
  <si>
    <t xml:space="preserve">FEIJAO PRETO EMPORIO</t>
  </si>
  <si>
    <t xml:space="preserve">7898026640101</t>
  </si>
  <si>
    <t xml:space="preserve">CAFE TM PADRAO</t>
  </si>
  <si>
    <t xml:space="preserve">7897005100216</t>
  </si>
  <si>
    <t xml:space="preserve">LENTILHA KININO</t>
  </si>
  <si>
    <t xml:space="preserve">7897005100094</t>
  </si>
  <si>
    <t xml:space="preserve">MILHO PIPOCA KININO</t>
  </si>
  <si>
    <t xml:space="preserve">7898483030019</t>
  </si>
  <si>
    <t xml:space="preserve">SALGADINHOS BALATORE</t>
  </si>
  <si>
    <t xml:space="preserve">GRAO DE BICO</t>
  </si>
  <si>
    <t xml:space="preserve">7896022200879</t>
  </si>
  <si>
    <t xml:space="preserve">MACARRAO GALO</t>
  </si>
  <si>
    <t xml:space="preserve">7898046377551</t>
  </si>
  <si>
    <t xml:space="preserve">CHA CONDINEW HIBISCO</t>
  </si>
  <si>
    <t xml:space="preserve">7898046370538</t>
  </si>
  <si>
    <t xml:space="preserve">ERVA DOCE CONDINEW</t>
  </si>
  <si>
    <t xml:space="preserve">7898046374253</t>
  </si>
  <si>
    <t xml:space="preserve">LEMON PEPPER</t>
  </si>
  <si>
    <t xml:space="preserve">7896247551046</t>
  </si>
  <si>
    <t xml:space="preserve">CRAVO DA INDIA</t>
  </si>
  <si>
    <t xml:space="preserve">7958800304211</t>
  </si>
  <si>
    <t xml:space="preserve">CHIC TRIDENT</t>
  </si>
  <si>
    <t xml:space="preserve">7506339363883</t>
  </si>
  <si>
    <t xml:space="preserve">CR DENTAL ORAL-B</t>
  </si>
  <si>
    <t xml:space="preserve">500</t>
  </si>
  <si>
    <t xml:space="preserve">QUEIJO PARMESAO</t>
  </si>
  <si>
    <t xml:space="preserve">7896272004197</t>
  </si>
  <si>
    <t xml:space="preserve">AZEITONA VERDE</t>
  </si>
  <si>
    <t xml:space="preserve">7896061301865</t>
  </si>
  <si>
    <t xml:space="preserve">7891000304839</t>
  </si>
  <si>
    <t xml:space="preserve">FARINHA TRIGO</t>
  </si>
  <si>
    <t xml:space="preserve">7896292360303</t>
  </si>
  <si>
    <t xml:space="preserve">742832690041</t>
  </si>
  <si>
    <t xml:space="preserve">AMENDOIM VO DELIA</t>
  </si>
  <si>
    <t xml:space="preserve">7896901200457</t>
  </si>
  <si>
    <t xml:space="preserve">ARROZ BROTO LEGAL</t>
  </si>
  <si>
    <t xml:space="preserve">7896326000182</t>
  </si>
  <si>
    <t xml:space="preserve">ARROZ RIO DO SOL</t>
  </si>
  <si>
    <t xml:space="preserve">7897150110016</t>
  </si>
  <si>
    <t xml:space="preserve">ESPONJA ACO</t>
  </si>
  <si>
    <t xml:space="preserve">7898080640222</t>
  </si>
  <si>
    <t xml:space="preserve">CREME LEITE ITALA</t>
  </si>
  <si>
    <t xml:space="preserve">7896292347786</t>
  </si>
  <si>
    <t xml:space="preserve">SELETA DE LEGUMES</t>
  </si>
  <si>
    <t xml:space="preserve">7896292340541</t>
  </si>
  <si>
    <t xml:space="preserve">ERVILHA PREDILECTA</t>
  </si>
  <si>
    <t xml:space="preserve">7891962051345</t>
  </si>
  <si>
    <t xml:space="preserve">PAO VISCONTI FORMA</t>
  </si>
  <si>
    <t xml:space="preserve">PAO VISCONTI</t>
  </si>
  <si>
    <t xml:space="preserve">1263</t>
  </si>
  <si>
    <t xml:space="preserve">ROSQUINHA GOIABADA</t>
  </si>
  <si>
    <t xml:space="preserve">236</t>
  </si>
  <si>
    <t xml:space="preserve">PAEZINHOS DE BATATA</t>
  </si>
  <si>
    <t xml:space="preserve">PAO FRANCES (FILAO)</t>
  </si>
  <si>
    <t xml:space="preserve">7891000380994</t>
  </si>
  <si>
    <t xml:space="preserve">7891000381038</t>
  </si>
  <si>
    <t xml:space="preserve">AVEIA NESTLE</t>
  </si>
  <si>
    <t xml:space="preserve">7896069575367</t>
  </si>
  <si>
    <t xml:space="preserve">KETCHUP</t>
  </si>
  <si>
    <t xml:space="preserve">7896028014494</t>
  </si>
  <si>
    <t xml:space="preserve">LEITE DE COCO MENINA</t>
  </si>
  <si>
    <t xml:space="preserve">7896034300819</t>
  </si>
  <si>
    <t xml:space="preserve">SUCO UVA GARIBALDI</t>
  </si>
  <si>
    <t xml:space="preserve">7898285310609</t>
  </si>
  <si>
    <t xml:space="preserve">LIMPA PISOS RAJJALIM</t>
  </si>
  <si>
    <t xml:space="preserve">7896527700515</t>
  </si>
  <si>
    <t xml:space="preserve">AGUA SANITARIA TRIEX</t>
  </si>
  <si>
    <t xml:space="preserve">7896183315184</t>
  </si>
  <si>
    <t xml:space="preserve">SABONETE PLUSH FLORE</t>
  </si>
  <si>
    <t xml:space="preserve">7897534800502</t>
  </si>
  <si>
    <t xml:space="preserve">SABAO PASTA ALUMIL</t>
  </si>
  <si>
    <t xml:space="preserve">7896527700782</t>
  </si>
  <si>
    <t xml:space="preserve">DETERGENTE TRIEX</t>
  </si>
  <si>
    <t xml:space="preserve">7896075301080</t>
  </si>
  <si>
    <t xml:space="preserve">TOALHA PAPEL</t>
  </si>
  <si>
    <t xml:space="preserve">7899853806012</t>
  </si>
  <si>
    <t xml:space="preserve">PAPEL HIGIENICO QUAL</t>
  </si>
  <si>
    <t xml:space="preserve">7891527070866</t>
  </si>
  <si>
    <t xml:space="preserve">BATATA PALITO</t>
  </si>
  <si>
    <t xml:space="preserve">NOTA 014</t>
  </si>
  <si>
    <t xml:space="preserve">Cupom Não Fiscal - Terminal 0002 - Vitoria</t>
  </si>
  <si>
    <t xml:space="preserve">Não informado</t>
  </si>
  <si>
    <t xml:space="preserve">635</t>
  </si>
  <si>
    <t xml:space="preserve">OVOS CAIPIRA</t>
  </si>
  <si>
    <t xml:space="preserve">207</t>
  </si>
  <si>
    <t xml:space="preserve">COUVE</t>
  </si>
  <si>
    <t xml:space="preserve">1191</t>
  </si>
  <si>
    <t xml:space="preserve">PAO FRANCES</t>
  </si>
  <si>
    <t xml:space="preserve">52</t>
  </si>
  <si>
    <t xml:space="preserve">TOMATE SALADA</t>
  </si>
  <si>
    <t xml:space="preserve">109</t>
  </si>
  <si>
    <t xml:space="preserve">LIMAO TAITHI KG</t>
  </si>
  <si>
    <t xml:space="preserve">NOTA 015</t>
  </si>
  <si>
    <t xml:space="preserve">Cupom 00071051 NFC-e 22022 Série 007</t>
  </si>
  <si>
    <t xml:space="preserve">7898944548022</t>
  </si>
  <si>
    <t xml:space="preserve">AGUA MINERAL CRISTAL</t>
  </si>
  <si>
    <t xml:space="preserve">7892840254841</t>
  </si>
  <si>
    <t xml:space="preserve">BATATA RUFFLES</t>
  </si>
  <si>
    <t xml:space="preserve">7891330017140</t>
  </si>
  <si>
    <t xml:space="preserve">BOMBOM AMOR CARIOCA</t>
  </si>
  <si>
    <t xml:space="preserve">7896004008998</t>
  </si>
  <si>
    <t xml:space="preserve">BATATA PRINGLES</t>
  </si>
  <si>
    <t xml:space="preserve">226</t>
  </si>
  <si>
    <t xml:space="preserve">ROSCA DE ACUCAR</t>
  </si>
  <si>
    <t xml:space="preserve">374</t>
  </si>
  <si>
    <t xml:space="preserve">PRESUNTO PERDIGAO</t>
  </si>
  <si>
    <t xml:space="preserve">5294</t>
  </si>
  <si>
    <t xml:space="preserve">QJO MUSSARELA DAVACA</t>
  </si>
  <si>
    <t xml:space="preserve">NOTA 016</t>
  </si>
  <si>
    <t xml:space="preserve">Cupom (NFC-e) 000050028 / Série 302</t>
  </si>
  <si>
    <t xml:space="preserve">Supermercado Canesin LTDA</t>
  </si>
  <si>
    <t xml:space="preserve">7892840820701</t>
  </si>
  <si>
    <t xml:space="preserve">Gatorade 350ml</t>
  </si>
  <si>
    <t xml:space="preserve">2001244000000</t>
  </si>
  <si>
    <t xml:space="preserve">Pão Francês (filão)</t>
  </si>
  <si>
    <t xml:space="preserve">NOTA 017</t>
  </si>
  <si>
    <t xml:space="preserve">Cupom DOC 038073 / COO 036256 (não fiscal)</t>
  </si>
  <si>
    <t xml:space="preserve">Andre Eduardo Hipolito LTDA</t>
  </si>
  <si>
    <t xml:space="preserve">17</t>
  </si>
  <si>
    <t xml:space="preserve">Pão Francês</t>
  </si>
  <si>
    <t xml:space="preserve">1533</t>
  </si>
  <si>
    <t xml:space="preserve">Pão de Queijo</t>
  </si>
  <si>
    <t xml:space="preserve">7894900504002</t>
  </si>
  <si>
    <t xml:space="preserve">Power Mix Frutas 500ml</t>
  </si>
  <si>
    <t xml:space="preserve">1441</t>
  </si>
  <si>
    <t xml:space="preserve">Biscoito Simples</t>
  </si>
  <si>
    <t xml:space="preserve">NOTA 018</t>
  </si>
  <si>
    <t xml:space="preserve">Cupom NFC-e nº 3243 / Série 3</t>
  </si>
  <si>
    <t xml:space="preserve">Monteverde Prod Hort de Brodowski LTDA</t>
  </si>
  <si>
    <t xml:space="preserve">174</t>
  </si>
  <si>
    <t xml:space="preserve">LARANJA PERA</t>
  </si>
  <si>
    <t xml:space="preserve">458</t>
  </si>
  <si>
    <t xml:space="preserve">ALHO PORO</t>
  </si>
  <si>
    <t xml:space="preserve">125</t>
  </si>
  <si>
    <t xml:space="preserve">CENOURA</t>
  </si>
  <si>
    <t xml:space="preserve">139</t>
  </si>
  <si>
    <t xml:space="preserve">BATATA EXTRA</t>
  </si>
  <si>
    <t xml:space="preserve">157</t>
  </si>
  <si>
    <t xml:space="preserve">LIMAO THAITI</t>
  </si>
  <si>
    <t xml:space="preserve">NOTA 019</t>
  </si>
  <si>
    <t xml:space="preserve">Cupom COD: 1492272 PDV1</t>
  </si>
  <si>
    <t xml:space="preserve">Dinheiro</t>
  </si>
  <si>
    <t xml:space="preserve">Mercado corrigido (planilha trazia '46168')</t>
  </si>
  <si>
    <t xml:space="preserve">2014</t>
  </si>
  <si>
    <t xml:space="preserve">Beterraba</t>
  </si>
  <si>
    <t xml:space="preserve">2049</t>
  </si>
  <si>
    <t xml:space="preserve">Couve</t>
  </si>
  <si>
    <t xml:space="preserve">2048</t>
  </si>
  <si>
    <t xml:space="preserve">Cheiro Verde</t>
  </si>
  <si>
    <t xml:space="preserve">2017</t>
  </si>
  <si>
    <t xml:space="preserve">Batata Extra</t>
  </si>
  <si>
    <t xml:space="preserve">4000</t>
  </si>
  <si>
    <t xml:space="preserve">Doces Cassolato</t>
  </si>
  <si>
    <t xml:space="preserve">NOTA 020</t>
  </si>
  <si>
    <t xml:space="preserve">Cupom NFC-e nº 000002266 / Série 001 / DOC 040187</t>
  </si>
  <si>
    <t xml:space="preserve">NOTA 021</t>
  </si>
  <si>
    <t xml:space="preserve">NFC-e 000042390 — Série 301</t>
  </si>
  <si>
    <t xml:space="preserve">Dinheiro R$ 100,00 / Troco R$ 86,02</t>
  </si>
  <si>
    <t xml:space="preserve">7892840808051</t>
  </si>
  <si>
    <t xml:space="preserve">Gatorade Uva 500ml</t>
  </si>
  <si>
    <t xml:space="preserve">7892840808044</t>
  </si>
  <si>
    <t xml:space="preserve">Gatorade Tangerina 500ml</t>
  </si>
  <si>
    <t xml:space="preserve">NOTA 022</t>
  </si>
  <si>
    <t xml:space="preserve">Cupom DOC 040540 — COO 040075</t>
  </si>
  <si>
    <t xml:space="preserve">Dinheiro R$ 21,00 / Troco R$ 0,08</t>
  </si>
  <si>
    <t xml:space="preserve">André Eduardo Hipolito LTDA</t>
  </si>
  <si>
    <t xml:space="preserve">00000000000581</t>
  </si>
  <si>
    <t xml:space="preserve">Mortadela Fatiada</t>
  </si>
  <si>
    <t xml:space="preserve">00000000000017</t>
  </si>
  <si>
    <t xml:space="preserve">00000000000949</t>
  </si>
  <si>
    <t xml:space="preserve">Maçã Nacional</t>
  </si>
  <si>
    <t xml:space="preserve">NOTA 023</t>
  </si>
  <si>
    <t xml:space="preserve">Cupom COD: 1492588 — PDV1</t>
  </si>
  <si>
    <t xml:space="preserve">Dinheiro R$ 50,55 / Troco R$ 28,00</t>
  </si>
  <si>
    <t xml:space="preserve">00000000002062</t>
  </si>
  <si>
    <t xml:space="preserve">Maça Gala</t>
  </si>
  <si>
    <t xml:space="preserve">00000000002017</t>
  </si>
  <si>
    <t xml:space="preserve">00000000002028</t>
  </si>
  <si>
    <t xml:space="preserve">Banana Nanica</t>
  </si>
  <si>
    <t xml:space="preserve">NOTA 024</t>
  </si>
  <si>
    <t xml:space="preserve">Cupom COD: 1492747 — PDV2</t>
  </si>
  <si>
    <t xml:space="preserve">Dinheiro R$ 17,00 / Troco R$ 0,20</t>
  </si>
  <si>
    <t xml:space="preserve">M3088</t>
  </si>
  <si>
    <t xml:space="preserve">Ovos Caipira Embu</t>
  </si>
  <si>
    <t xml:space="preserve">NOTA 025</t>
  </si>
  <si>
    <t xml:space="preserve">Cupom NFC-e nº 52295 / Série 302</t>
  </si>
  <si>
    <t xml:space="preserve">7896022200305</t>
  </si>
  <si>
    <t xml:space="preserve">MACARRAO RENATA ALET</t>
  </si>
  <si>
    <t xml:space="preserve">7891000118115</t>
  </si>
  <si>
    <t xml:space="preserve">RACAO FRISKIES 85G</t>
  </si>
  <si>
    <t xml:space="preserve">7891000118108</t>
  </si>
  <si>
    <t xml:space="preserve">7891000118061</t>
  </si>
  <si>
    <t xml:space="preserve">7891000118085</t>
  </si>
  <si>
    <t xml:space="preserve">7896051130123</t>
  </si>
  <si>
    <t xml:space="preserve">LEITE PO ITAMBE 400G</t>
  </si>
  <si>
    <t xml:space="preserve">7896029007020</t>
  </si>
  <si>
    <t xml:space="preserve">RACAO WHISKAS 500G</t>
  </si>
  <si>
    <t xml:space="preserve">NOTA 026</t>
  </si>
  <si>
    <t xml:space="preserve">Cupom Cupom 00073882</t>
  </si>
  <si>
    <t xml:space="preserve">7898187830052</t>
  </si>
  <si>
    <t xml:space="preserve">ACUCAR SANTA ISABEL</t>
  </si>
  <si>
    <t xml:space="preserve">7895005800010</t>
  </si>
  <si>
    <t xml:space="preserve">CAFE TM 3 CORACOES</t>
  </si>
  <si>
    <t xml:space="preserve">7506339363885</t>
  </si>
  <si>
    <t xml:space="preserve">MILHO PIPOCA PIPOCAO</t>
  </si>
  <si>
    <t xml:space="preserve">7896022202996</t>
  </si>
  <si>
    <t xml:space="preserve">7896069548392</t>
  </si>
  <si>
    <t xml:space="preserve">CURRY</t>
  </si>
  <si>
    <t xml:space="preserve">7896005271964</t>
  </si>
  <si>
    <t xml:space="preserve">FERMENTO BIOLOGICO F</t>
  </si>
  <si>
    <t xml:space="preserve">7896069530588</t>
  </si>
  <si>
    <t xml:space="preserve">GELATINA LUAL S/SABO</t>
  </si>
  <si>
    <t xml:space="preserve">7896069530618</t>
  </si>
  <si>
    <t xml:space="preserve">LENTILHA SIAMAR</t>
  </si>
  <si>
    <t xml:space="preserve">7891999004888</t>
  </si>
  <si>
    <t xml:space="preserve">MAIONESE VIGOR</t>
  </si>
  <si>
    <t xml:space="preserve">7896069572434</t>
  </si>
  <si>
    <t xml:space="preserve">7891104393104</t>
  </si>
  <si>
    <t xml:space="preserve">ADOCYL LIQUIDO</t>
  </si>
  <si>
    <t xml:space="preserve">7896471803058</t>
  </si>
  <si>
    <t xml:space="preserve">7891089040277</t>
  </si>
  <si>
    <t xml:space="preserve">AZEITE LA VIOLETERA</t>
  </si>
  <si>
    <t xml:space="preserve">7898923323305</t>
  </si>
  <si>
    <t xml:space="preserve">ESSENCIA CAMPO BELO</t>
  </si>
  <si>
    <t xml:space="preserve">7896075910060</t>
  </si>
  <si>
    <t xml:space="preserve">SABAO PASTA DIPOL</t>
  </si>
  <si>
    <t xml:space="preserve">7897751900207</t>
  </si>
  <si>
    <t xml:space="preserve">SABONETE FARNESE</t>
  </si>
  <si>
    <t xml:space="preserve">7899853606012</t>
  </si>
  <si>
    <t xml:space="preserve">LEITE SERRALAT PADRO</t>
  </si>
  <si>
    <t xml:space="preserve">NOTA 027</t>
  </si>
  <si>
    <t xml:space="preserve">NFC-e NFC-e nº 9592 / Série 1</t>
  </si>
  <si>
    <t xml:space="preserve">171</t>
  </si>
  <si>
    <t xml:space="preserve">193</t>
  </si>
  <si>
    <t xml:space="preserve">AMENDOIM</t>
  </si>
  <si>
    <t xml:space="preserve">NOTA 028</t>
  </si>
  <si>
    <t xml:space="preserve">NFC-e NFC-e nº 3087 / Série 2</t>
  </si>
  <si>
    <t xml:space="preserve">124</t>
  </si>
  <si>
    <t xml:space="preserve">MANDIOQUINHA SALSA</t>
  </si>
  <si>
    <t xml:space="preserve">136</t>
  </si>
  <si>
    <t xml:space="preserve">BETERRABA</t>
  </si>
  <si>
    <t xml:space="preserve">129</t>
  </si>
  <si>
    <t xml:space="preserve">ABOBRINHA CAIPIRA</t>
  </si>
  <si>
    <t xml:space="preserve">225</t>
  </si>
  <si>
    <t xml:space="preserve">GENGIBRE</t>
  </si>
  <si>
    <t xml:space="preserve">147</t>
  </si>
  <si>
    <t xml:space="preserve">TOMATE EXTRA</t>
  </si>
  <si>
    <t xml:space="preserve">201</t>
  </si>
  <si>
    <t xml:space="preserve">ESPINAFRE</t>
  </si>
  <si>
    <t xml:space="preserve">202</t>
  </si>
  <si>
    <t xml:space="preserve">ALFACE CRESPA</t>
  </si>
  <si>
    <t xml:space="preserve">NOTA 029</t>
  </si>
  <si>
    <t xml:space="preserve">Cupom / NFC-e Cupom 68001 · NFC-e nº 20926 / Série 005</t>
  </si>
  <si>
    <t xml:space="preserve">REFR PEPSI COLA PET</t>
  </si>
  <si>
    <t xml:space="preserve">622</t>
  </si>
  <si>
    <t xml:space="preserve">QUEIJO MUSS MANDAKA</t>
  </si>
  <si>
    <t xml:space="preserve">7891000070444</t>
  </si>
  <si>
    <t xml:space="preserve">CHAMYTO TRADICIONAL</t>
  </si>
  <si>
    <t xml:space="preserve">1899</t>
  </si>
  <si>
    <t xml:space="preserve">PRESUNTO FRIMESA</t>
  </si>
  <si>
    <t xml:space="preserve">7891000381113</t>
  </si>
  <si>
    <t xml:space="preserve">NESCAU PRONTINHO</t>
  </si>
  <si>
    <t xml:space="preserve">7980080640222</t>
  </si>
  <si>
    <t xml:space="preserve">7896080640222</t>
  </si>
  <si>
    <t xml:space="preserve">7892840823412</t>
  </si>
  <si>
    <t xml:space="preserve">BATATA LAYS ELMA CHI</t>
  </si>
  <si>
    <t xml:space="preserve">7891000338087</t>
  </si>
  <si>
    <t xml:space="preserve">ACHOCOLATADO NESCAU</t>
  </si>
  <si>
    <t xml:space="preserve">7962130064190</t>
  </si>
  <si>
    <t xml:space="preserve">BISCOITO VITARELLA</t>
  </si>
  <si>
    <t xml:space="preserve">CAFE LA SANTE</t>
  </si>
  <si>
    <t xml:space="preserve">7891000457641</t>
  </si>
  <si>
    <t xml:space="preserve">CHOCOLATE NESTLE KIT</t>
  </si>
  <si>
    <t xml:space="preserve">7891000432143</t>
  </si>
  <si>
    <t xml:space="preserve">7896022203184</t>
  </si>
  <si>
    <t xml:space="preserve">MINI BOLO RENATA</t>
  </si>
  <si>
    <t xml:space="preserve">NOTA 030</t>
  </si>
  <si>
    <t xml:space="preserve">Cupom (NFC-e) 000053664 / Série 302</t>
  </si>
  <si>
    <t xml:space="preserve">2005531000000</t>
  </si>
  <si>
    <t xml:space="preserve">PAO FRANCES INTEGRAL</t>
  </si>
  <si>
    <t xml:space="preserve">2003032000000</t>
  </si>
  <si>
    <t xml:space="preserve">LIMAO</t>
  </si>
  <si>
    <t xml:space="preserve">2001362000000</t>
  </si>
  <si>
    <t xml:space="preserve">LARANJA</t>
  </si>
  <si>
    <t xml:space="preserve">NOTA 031</t>
  </si>
  <si>
    <t xml:space="preserve">Cupom (NFC-e) 000034682 / Série 002 (Cupom 00103940)</t>
  </si>
  <si>
    <t xml:space="preserve">Jose Carlos Nori &amp; Cia Ltda</t>
  </si>
  <si>
    <t xml:space="preserve">7896062800145</t>
  </si>
  <si>
    <t xml:space="preserve">AGUA MINERAL</t>
  </si>
  <si>
    <t xml:space="preserve">7892840823030</t>
  </si>
  <si>
    <t xml:space="preserve">BATATA RUFFLES ELMA</t>
  </si>
  <si>
    <t xml:space="preserve">7896483030019</t>
  </si>
  <si>
    <t xml:space="preserve">7898215152002</t>
  </si>
  <si>
    <t xml:space="preserve">LEITE CONDENSADO</t>
  </si>
  <si>
    <t xml:space="preserve">1489</t>
  </si>
  <si>
    <t xml:space="preserve">BOLO NORI PAMONHA</t>
  </si>
  <si>
    <t xml:space="preserve">7896022205201</t>
  </si>
  <si>
    <t xml:space="preserve">BISCOITO RENATA</t>
  </si>
  <si>
    <t xml:space="preserve">7899970400452</t>
  </si>
  <si>
    <t xml:space="preserve">CHOCOLATE HERSHEY S</t>
  </si>
  <si>
    <t xml:space="preserve">7899970402876</t>
  </si>
  <si>
    <t xml:space="preserve">7899970402807</t>
  </si>
  <si>
    <t xml:space="preserve">LEITE VOVO ANIZIA</t>
  </si>
  <si>
    <t xml:space="preserve">NOTA 032</t>
  </si>
  <si>
    <t xml:space="preserve">Cupom (NFC-e) 000054990 / Série 302 (Cupom 093663)</t>
  </si>
  <si>
    <t xml:space="preserve">LEITE SERRALAT TIPO B</t>
  </si>
  <si>
    <t xml:space="preserve">NOTA 033</t>
  </si>
  <si>
    <t xml:space="preserve">Cupom (NFC-e) 000235703 / Série 001</t>
  </si>
  <si>
    <t xml:space="preserve">Lanchoti e Martins LTDA</t>
  </si>
  <si>
    <t xml:space="preserve">143120</t>
  </si>
  <si>
    <t xml:space="preserve">VALDA DIET 50GR</t>
  </si>
  <si>
    <t xml:space="preserve">36018</t>
  </si>
  <si>
    <t xml:space="preserve">BENEGRIF 250/30/250/2MG</t>
  </si>
  <si>
    <t xml:space="preserve">NOTA 034</t>
  </si>
  <si>
    <t xml:space="preserve">Cupom (NFC-e) 00070533 / Série 005</t>
  </si>
  <si>
    <t xml:space="preserve">742832690010</t>
  </si>
  <si>
    <t xml:space="preserve">7896260115360</t>
  </si>
  <si>
    <t xml:space="preserve">FEIJAO BROTO LEGAL</t>
  </si>
  <si>
    <t xml:space="preserve">7896656800018</t>
  </si>
  <si>
    <t xml:space="preserve">CAFE TM UTAM</t>
  </si>
  <si>
    <t xml:space="preserve">7896085086502</t>
  </si>
  <si>
    <t xml:space="preserve">BISCOITO ADRIA</t>
  </si>
  <si>
    <t xml:space="preserve">7896085086496</t>
  </si>
  <si>
    <t xml:space="preserve">7896022203443</t>
  </si>
  <si>
    <t xml:space="preserve">7897005100285</t>
  </si>
  <si>
    <t xml:space="preserve">LOURO EM FOLHAS</t>
  </si>
  <si>
    <t xml:space="preserve">7897005100902</t>
  </si>
  <si>
    <t xml:space="preserve">TEMPERO KININO</t>
  </si>
  <si>
    <t xml:space="preserve">7896069575824</t>
  </si>
  <si>
    <t xml:space="preserve">7896795912634</t>
  </si>
  <si>
    <t xml:space="preserve">7897005102920</t>
  </si>
  <si>
    <t xml:space="preserve">CREME KININO CEBOLA</t>
  </si>
  <si>
    <t xml:space="preserve">FERMENTO DR OETKER</t>
  </si>
  <si>
    <t xml:space="preserve">7891000416226</t>
  </si>
  <si>
    <t xml:space="preserve">CAFE SV NESCAFE TRAD</t>
  </si>
  <si>
    <t xml:space="preserve">7898234850989</t>
  </si>
  <si>
    <t xml:space="preserve">FERMENTO PO NITA</t>
  </si>
  <si>
    <t xml:space="preserve">7897005101053</t>
  </si>
  <si>
    <t xml:space="preserve">MOLHO INGLES</t>
  </si>
  <si>
    <t xml:space="preserve">7897005101091</t>
  </si>
  <si>
    <t xml:space="preserve">MOLHO ALHO KININO</t>
  </si>
  <si>
    <t xml:space="preserve">7898950045065</t>
  </si>
  <si>
    <t xml:space="preserve">FIO DENTAL FIOCLEAN</t>
  </si>
  <si>
    <t xml:space="preserve">7896102502756</t>
  </si>
  <si>
    <t xml:space="preserve">KETCHUP QUERO</t>
  </si>
  <si>
    <t xml:space="preserve">7896009301131</t>
  </si>
  <si>
    <t xml:space="preserve">ATUM COQUEIRO</t>
  </si>
  <si>
    <t xml:space="preserve">7896292348073</t>
  </si>
  <si>
    <t xml:space="preserve">DUETO PREDILECTA</t>
  </si>
  <si>
    <t xml:space="preserve">7891107101621</t>
  </si>
  <si>
    <t xml:space="preserve">OLEO SOYA</t>
  </si>
  <si>
    <t xml:space="preserve">7891150080966</t>
  </si>
  <si>
    <t xml:space="preserve">DESODORANTE AXE AERO</t>
  </si>
  <si>
    <t xml:space="preserve">7898073359605</t>
  </si>
  <si>
    <t xml:space="preserve">7898328991048</t>
  </si>
  <si>
    <t xml:space="preserve">MANDIOCA FAZENDINHA</t>
  </si>
  <si>
    <t xml:space="preserve">7894904271528</t>
  </si>
  <si>
    <t xml:space="preserve">506</t>
  </si>
  <si>
    <t xml:space="preserve">BACON PEDACO</t>
  </si>
  <si>
    <t xml:space="preserve">7891164005825</t>
  </si>
  <si>
    <t xml:space="preserve">PAIO AURORA</t>
  </si>
  <si>
    <t xml:space="preserve">7899910904811</t>
  </si>
  <si>
    <t xml:space="preserve">SABONETE LIQ LAEVIA</t>
  </si>
  <si>
    <t xml:space="preserve">7891097001581</t>
  </si>
  <si>
    <t xml:space="preserve">REQ POCOS CALDAS TRA</t>
  </si>
  <si>
    <t xml:space="preserve">7898587774314</t>
  </si>
  <si>
    <t xml:space="preserve">SHAMPOO ELSEVE</t>
  </si>
  <si>
    <t xml:space="preserve">7896527701987</t>
  </si>
  <si>
    <t xml:space="preserve">LIMPADOR TRIEX</t>
  </si>
  <si>
    <t xml:space="preserve">7898853806012</t>
  </si>
  <si>
    <t xml:space="preserve">353</t>
  </si>
  <si>
    <t xml:space="preserve">SALGADOS NORI</t>
  </si>
  <si>
    <t xml:space="preserve">NOTA 035</t>
  </si>
  <si>
    <t xml:space="preserve">Cupom (NFC-e) 00083903 / Série 004</t>
  </si>
  <si>
    <t xml:space="preserve">5046</t>
  </si>
  <si>
    <t xml:space="preserve">7896205788248</t>
  </si>
  <si>
    <t xml:space="preserve">MACARRAO ADRIA OVOS</t>
  </si>
  <si>
    <t xml:space="preserve">7891000338067</t>
  </si>
  <si>
    <t xml:space="preserve">7896005801529</t>
  </si>
  <si>
    <t xml:space="preserve">7896481033377</t>
  </si>
  <si>
    <t xml:space="preserve">SALGADINHOS FABITOS</t>
  </si>
  <si>
    <t xml:space="preserve">7896481033384</t>
  </si>
  <si>
    <t xml:space="preserve">7896023080487</t>
  </si>
  <si>
    <t xml:space="preserve">CONHAQUE PRESIDENTE</t>
  </si>
  <si>
    <t xml:space="preserve">NOTA 036</t>
  </si>
  <si>
    <t xml:space="preserve">Cupom (NFC-e) 00048969 / Série 301</t>
  </si>
  <si>
    <t xml:space="preserve">BANANA NANICA EX</t>
  </si>
  <si>
    <t xml:space="preserve">2001366000000</t>
  </si>
  <si>
    <t xml:space="preserve">MACA NACIONAL</t>
  </si>
  <si>
    <t xml:space="preserve">NOTA 037</t>
  </si>
  <si>
    <t xml:space="preserve">Cupom (NFC-e) 00049425 / Série 301</t>
  </si>
  <si>
    <t xml:space="preserve">7896031232083</t>
  </si>
  <si>
    <t xml:space="preserve">SALSICHA VIENA BORDON</t>
  </si>
  <si>
    <t xml:space="preserve">7896022206147</t>
  </si>
  <si>
    <t xml:space="preserve">FARINHA TRIGO RENATA INTEG</t>
  </si>
  <si>
    <t xml:space="preserve">PAO FRANCES-TARA 15G</t>
  </si>
  <si>
    <t xml:space="preserve">7896283800801</t>
  </si>
  <si>
    <t xml:space="preserve">LEITE JUSSARA 1 L</t>
  </si>
  <si>
    <t xml:space="preserve">NOTA 038</t>
  </si>
  <si>
    <t xml:space="preserve">Cupom (NFC-e) 00003965 / Série 003</t>
  </si>
  <si>
    <t xml:space="preserve">138</t>
  </si>
  <si>
    <t xml:space="preserve">CEBOLA GRAUDA</t>
  </si>
  <si>
    <t xml:space="preserve">196</t>
  </si>
  <si>
    <t xml:space="preserve">PIMENTAO VERDE</t>
  </si>
  <si>
    <t xml:space="preserve">1098</t>
  </si>
  <si>
    <t xml:space="preserve">CHEIRO VERDE</t>
  </si>
  <si>
    <t xml:space="preserve">1157</t>
  </si>
  <si>
    <t xml:space="preserve">RAPADURAS BIQUINHA</t>
  </si>
  <si>
    <t xml:space="preserve">NOTA 039</t>
  </si>
  <si>
    <t xml:space="preserve">Cupom (NFC-e) 000059513 / Série 302</t>
  </si>
  <si>
    <t xml:space="preserve">7891095911349</t>
  </si>
  <si>
    <t xml:space="preserve">MILHO DE PIPOCA YOKI 400 G</t>
  </si>
  <si>
    <t xml:space="preserve">GRAO BICO SIAMAR 400g</t>
  </si>
  <si>
    <t xml:space="preserve">NOTA 040</t>
  </si>
  <si>
    <t xml:space="preserve">Cupom (NFC-e) 000050582 / Série 301</t>
  </si>
  <si>
    <t xml:space="preserve">LEITE SERRALAT TIPO B 1L</t>
  </si>
  <si>
    <t xml:space="preserve">7893000383005</t>
  </si>
  <si>
    <t xml:space="preserve">MARG QUALY 500G S/S</t>
  </si>
  <si>
    <t xml:space="preserve">7891031409121</t>
  </si>
  <si>
    <t xml:space="preserve">KETCHUP HEMMER 750GR</t>
  </si>
  <si>
    <t xml:space="preserve">2001403000000</t>
  </si>
  <si>
    <t xml:space="preserve">PAO DE QUEIJO</t>
  </si>
  <si>
    <t xml:space="preserve">7895800304228</t>
  </si>
  <si>
    <t xml:space="preserve">CHICLETE TRIDENT MENTA</t>
  </si>
  <si>
    <t xml:space="preserve">NOTA 041</t>
  </si>
  <si>
    <t xml:space="preserve">Cupom (NFC-e) DOC 050716</t>
  </si>
  <si>
    <t xml:space="preserve">1960</t>
  </si>
  <si>
    <t xml:space="preserve">ROSCA RECHEADA</t>
  </si>
  <si>
    <t xml:space="preserve">2615</t>
  </si>
  <si>
    <t xml:space="preserve">BISCOITO DE GERGELIM</t>
  </si>
  <si>
    <t xml:space="preserve">7898051550017</t>
  </si>
  <si>
    <t xml:space="preserve">LEITE SERRALAT 1L</t>
  </si>
  <si>
    <t xml:space="preserve">NOTA 042</t>
  </si>
  <si>
    <t xml:space="preserve">Cupom (NFC-e) 96224</t>
  </si>
  <si>
    <t xml:space="preserve">7898017337775</t>
  </si>
  <si>
    <t xml:space="preserve">BACON CUBOS FRIELLA</t>
  </si>
  <si>
    <t xml:space="preserve">375</t>
  </si>
  <si>
    <t xml:space="preserve">PRESUNTO SADIA</t>
  </si>
  <si>
    <t xml:space="preserve">7896051164661</t>
  </si>
  <si>
    <t xml:space="preserve">REQUEIJAO CREMOSO IT</t>
  </si>
  <si>
    <t xml:space="preserve">7892840825157</t>
  </si>
  <si>
    <t xml:space="preserve">BATATA LAYS ELMA CHIPS</t>
  </si>
  <si>
    <t xml:space="preserve">7892840819507</t>
  </si>
  <si>
    <t xml:space="preserve">ACHOCOLATADO TODDY</t>
  </si>
  <si>
    <t xml:space="preserve">7896482100016</t>
  </si>
  <si>
    <t xml:space="preserve">FEIJAO CARUNCHAO</t>
  </si>
  <si>
    <t xml:space="preserve">7896003739589</t>
  </si>
  <si>
    <t xml:space="preserve">BISCOITO MARILAN MAIZENA</t>
  </si>
  <si>
    <t xml:space="preserve">7896326000102</t>
  </si>
  <si>
    <t xml:space="preserve">7896085087134</t>
  </si>
  <si>
    <t xml:space="preserve">BISCOITO NIKITO VITA</t>
  </si>
  <si>
    <t xml:space="preserve">7896085087110</t>
  </si>
  <si>
    <t xml:space="preserve">7896061302251</t>
  </si>
  <si>
    <t xml:space="preserve">7897517205645</t>
  </si>
  <si>
    <t xml:space="preserve">MAIONESE FUGINI TRAD</t>
  </si>
  <si>
    <t xml:space="preserve">7896205789405</t>
  </si>
  <si>
    <t xml:space="preserve">MACARRAO BASILAR</t>
  </si>
  <si>
    <t xml:space="preserve">7898073359505</t>
  </si>
  <si>
    <t xml:space="preserve">7896223709423</t>
  </si>
  <si>
    <t xml:space="preserve">OLEO SOJA VILA VELHA</t>
  </si>
  <si>
    <t xml:space="preserve">LEITE DE COCO NENINA</t>
  </si>
  <si>
    <t xml:space="preserve">7898046376592</t>
  </si>
  <si>
    <t xml:space="preserve">TEMP CONDINEW CHIMIC</t>
  </si>
  <si>
    <t xml:space="preserve">7896795912764</t>
  </si>
  <si>
    <t xml:space="preserve">ERVA DOCE DELAROMA</t>
  </si>
  <si>
    <t xml:space="preserve">CAFE SV NESCAFE</t>
  </si>
  <si>
    <t xml:space="preserve">7898046376226</t>
  </si>
  <si>
    <t xml:space="preserve">PAPRICA DEFUMADA</t>
  </si>
  <si>
    <t xml:space="preserve">7897005100421</t>
  </si>
  <si>
    <t xml:space="preserve">CANELA CHINA</t>
  </si>
  <si>
    <t xml:space="preserve">7891030300306</t>
  </si>
  <si>
    <t xml:space="preserve">MISTURA LACTEA MOCOC</t>
  </si>
  <si>
    <t xml:space="preserve">7896002360326</t>
  </si>
  <si>
    <t xml:space="preserve">PAO PULLMAN</t>
  </si>
  <si>
    <t xml:space="preserve">7896656800681</t>
  </si>
  <si>
    <t xml:space="preserve">CAFE TM UTAM EXTRA F</t>
  </si>
  <si>
    <t xml:space="preserve">966</t>
  </si>
  <si>
    <t xml:space="preserve">MARIA MOLE NORT</t>
  </si>
  <si>
    <t xml:space="preserve">7999970404207</t>
  </si>
  <si>
    <t xml:space="preserve">7896022203771</t>
  </si>
  <si>
    <t xml:space="preserve">7891150000971</t>
  </si>
  <si>
    <t xml:space="preserve">AMACIANTE COMFORT</t>
  </si>
  <si>
    <t xml:space="preserve">7897042013319</t>
  </si>
  <si>
    <t xml:space="preserve">COND SKALA</t>
  </si>
  <si>
    <t xml:space="preserve">7891022100372</t>
  </si>
  <si>
    <t xml:space="preserve">DET LIQ LIMPOL</t>
  </si>
  <si>
    <t xml:space="preserve">7891528029498</t>
  </si>
  <si>
    <t xml:space="preserve">CR DENTAL SORRISO</t>
  </si>
  <si>
    <t xml:space="preserve">7891150060289</t>
  </si>
  <si>
    <t xml:space="preserve">SABONETE LUX</t>
  </si>
  <si>
    <t xml:space="preserve">7898923323329</t>
  </si>
  <si>
    <t xml:space="preserve">NOTA 043</t>
  </si>
  <si>
    <t xml:space="preserve">Cupom (NFC-e) 000004121 / Série 3</t>
  </si>
  <si>
    <t xml:space="preserve">NOTA 044</t>
  </si>
  <si>
    <t xml:space="preserve">Cupom 00046948 / Série 008</t>
  </si>
  <si>
    <t xml:space="preserve">7896004006277</t>
  </si>
  <si>
    <t xml:space="preserve">12931</t>
  </si>
  <si>
    <t xml:space="preserve">BISCOITO TEMPERADO</t>
  </si>
  <si>
    <t xml:space="preserve">364</t>
  </si>
  <si>
    <t xml:space="preserve">GIRELO RECHEADO</t>
  </si>
  <si>
    <t xml:space="preserve">NOTA 045</t>
  </si>
  <si>
    <t xml:space="preserve">Cupom (NFC-e) 000004161 / Série 3</t>
  </si>
  <si>
    <t xml:space="preserve">NOTA 046</t>
  </si>
  <si>
    <t xml:space="preserve">Cupom (NFC-e) 000051984 / Série 301</t>
  </si>
  <si>
    <t xml:space="preserve">7891962064048</t>
  </si>
  <si>
    <t xml:space="preserve">PAO FORMA BAUDUCCO TRAD 39</t>
  </si>
  <si>
    <t xml:space="preserve">NOTA 047</t>
  </si>
  <si>
    <t xml:space="preserve">Cupom 00097350 / Série 003</t>
  </si>
  <si>
    <t xml:space="preserve">7896490400016</t>
  </si>
  <si>
    <t xml:space="preserve">REFR JABUTI GUARANA</t>
  </si>
  <si>
    <t xml:space="preserve">7891097101977</t>
  </si>
  <si>
    <t xml:space="preserve">LEITE FERM BOB MORAN</t>
  </si>
  <si>
    <t xml:space="preserve">7898279792077</t>
  </si>
  <si>
    <t xml:space="preserve">CONFEITOS FINI</t>
  </si>
  <si>
    <t xml:space="preserve">7898575910038</t>
  </si>
  <si>
    <t xml:space="preserve">DOCE LUKINHA</t>
  </si>
  <si>
    <t xml:space="preserve">7891330019380</t>
  </si>
  <si>
    <t xml:space="preserve">CHOC NEUGEBAUER</t>
  </si>
  <si>
    <t xml:space="preserve">7891330019366</t>
  </si>
  <si>
    <t xml:space="preserve">7891330019342</t>
  </si>
  <si>
    <t xml:space="preserve">7892840822040</t>
  </si>
  <si>
    <t xml:space="preserve">2583</t>
  </si>
  <si>
    <t xml:space="preserve">BISCOITO POLVILHO</t>
  </si>
  <si>
    <t xml:space="preserve">893</t>
  </si>
  <si>
    <t xml:space="preserve">SUSPIRO NORI</t>
  </si>
  <si>
    <t xml:space="preserve">NOTA 048</t>
  </si>
  <si>
    <t xml:space="preserve">Cupom 00074873 / Série 005</t>
  </si>
  <si>
    <t xml:space="preserve">7896205722075</t>
  </si>
  <si>
    <t xml:space="preserve">MACARRAO BASILAR SEM</t>
  </si>
  <si>
    <t xml:space="preserve">7896085087431</t>
  </si>
  <si>
    <t xml:space="preserve">BISCOITO ADRIA RECHE</t>
  </si>
  <si>
    <t xml:space="preserve">7896085087417</t>
  </si>
  <si>
    <t xml:space="preserve">7898463030019</t>
  </si>
  <si>
    <t xml:space="preserve">7891330018895</t>
  </si>
  <si>
    <t xml:space="preserve">7892840813444</t>
  </si>
  <si>
    <t xml:space="preserve">REFR PEPSI BLACK PET</t>
  </si>
  <si>
    <t xml:space="preserve">742</t>
  </si>
  <si>
    <t xml:space="preserve">PRESUNTO SEARA</t>
  </si>
  <si>
    <t xml:space="preserve">7896051165972</t>
  </si>
  <si>
    <t xml:space="preserve">LEITE FERM ITAMBE</t>
  </si>
  <si>
    <t xml:space="preserve">5601855119005</t>
  </si>
  <si>
    <t xml:space="preserve">AZEITE OLIVA ALMA LU</t>
  </si>
  <si>
    <t xml:space="preserve">7896229800018</t>
  </si>
  <si>
    <t xml:space="preserve">LEITE TIPO A FAZENDA</t>
  </si>
  <si>
    <t xml:space="preserve">7896051165996</t>
  </si>
  <si>
    <t xml:space="preserve">430</t>
  </si>
  <si>
    <t xml:space="preserve">425</t>
  </si>
  <si>
    <t xml:space="preserve">VERDURA FOLHA</t>
  </si>
  <si>
    <t xml:space="preserve">NOTA 049</t>
  </si>
  <si>
    <t xml:space="preserve">Cupom 00050006 / Série 011</t>
  </si>
  <si>
    <t xml:space="preserve">7894904571963</t>
  </si>
  <si>
    <t xml:space="preserve">MARGARINA DORIANA</t>
  </si>
  <si>
    <t xml:space="preserve">7891164110727</t>
  </si>
  <si>
    <t xml:space="preserve">AUROGGETS AURORA FRA</t>
  </si>
  <si>
    <t xml:space="preserve">7891164026417</t>
  </si>
  <si>
    <t xml:space="preserve">PIZZA AURORA</t>
  </si>
  <si>
    <t xml:space="preserve">NOTA 050</t>
  </si>
  <si>
    <t xml:space="preserve">Cupom 4194 / Série 002</t>
  </si>
  <si>
    <t xml:space="preserve">1743</t>
  </si>
  <si>
    <t xml:space="preserve">OVO CAIPIRA</t>
  </si>
  <si>
    <t xml:space="preserve">188</t>
  </si>
  <si>
    <t xml:space="preserve">NOTA 051</t>
  </si>
  <si>
    <t xml:space="preserve">Cupom 053763 / Série 301</t>
  </si>
  <si>
    <t xml:space="preserve">PAO FORMA PULLMAN</t>
  </si>
  <si>
    <t xml:space="preserve">2001179000000</t>
  </si>
  <si>
    <t xml:space="preserve">2005449000000</t>
  </si>
  <si>
    <t xml:space="preserve">QUEIJO MUSSARELA</t>
  </si>
  <si>
    <t xml:space="preserve">NOTA 052</t>
  </si>
  <si>
    <t xml:space="preserve">Cupom 1500598 / PDV3</t>
  </si>
  <si>
    <t xml:space="preserve">2028</t>
  </si>
  <si>
    <t xml:space="preserve">2062</t>
  </si>
  <si>
    <t xml:space="preserve">2003</t>
  </si>
  <si>
    <t xml:space="preserve">NOTA 053</t>
  </si>
  <si>
    <t xml:space="preserve">Cupom 54527</t>
  </si>
  <si>
    <t xml:space="preserve">NOTA 054</t>
  </si>
  <si>
    <t xml:space="preserve">Cupom 1500813 / PDV2</t>
  </si>
  <si>
    <t xml:space="preserve">2035</t>
  </si>
  <si>
    <t xml:space="preserve">LIMAO TAHITI</t>
  </si>
  <si>
    <t xml:space="preserve">NOTA 055</t>
  </si>
  <si>
    <t xml:space="preserve">Cupom 002286 / Série 002</t>
  </si>
  <si>
    <t xml:space="preserve">899</t>
  </si>
  <si>
    <t xml:space="preserve">SALADA DE KALE C/ RABANETE</t>
  </si>
  <si>
    <t xml:space="preserve">NOTA 056</t>
  </si>
  <si>
    <t xml:space="preserve">Cupom 055105 / Série 301</t>
  </si>
  <si>
    <t xml:space="preserve">PAO QUEIJO</t>
  </si>
  <si>
    <t xml:space="preserve">NOTA 057</t>
  </si>
  <si>
    <t xml:space="preserve">Cupom 1500960 / PDV1</t>
  </si>
  <si>
    <t xml:space="preserve">OVOS CAIPIRA EMBUNI</t>
  </si>
  <si>
    <t xml:space="preserve">NOTA 058</t>
  </si>
  <si>
    <t xml:space="preserve">Cupom 055348</t>
  </si>
  <si>
    <t xml:space="preserve">NOTA 059</t>
  </si>
  <si>
    <t xml:space="preserve">NFC-e 4449 / Série 002</t>
  </si>
  <si>
    <t xml:space="preserve">NOTA 060</t>
  </si>
  <si>
    <t xml:space="preserve">NFC-e Série 302 (nº não visível no cupom)</t>
  </si>
  <si>
    <t xml:space="preserve">Prazo</t>
  </si>
  <si>
    <t xml:space="preserve">KETCHUP SIAMAR 980 GR</t>
  </si>
  <si>
    <t xml:space="preserve">7896056400047</t>
  </si>
  <si>
    <t xml:space="preserve">SABAO PASTA URCA</t>
  </si>
  <si>
    <t xml:space="preserve">7896527700751</t>
  </si>
  <si>
    <t xml:space="preserve">DETERG TRIEX NEUTRO</t>
  </si>
  <si>
    <t xml:space="preserve">7896425511367</t>
  </si>
  <si>
    <t xml:space="preserve">CR DENTAL ICEFRESH 70G</t>
  </si>
  <si>
    <t xml:space="preserve">7897517205638</t>
  </si>
  <si>
    <t xml:space="preserve">MAIONESE FUGINI 180G</t>
  </si>
  <si>
    <t xml:space="preserve">2013352000000</t>
  </si>
  <si>
    <t xml:space="preserve">RT CARNE DE PANELA (FAB.PR)</t>
  </si>
  <si>
    <t xml:space="preserve">MACA NACIONAL KG</t>
  </si>
  <si>
    <t xml:space="preserve">7897150100079</t>
  </si>
  <si>
    <t xml:space="preserve">PALHA ACO SHOW BRILHO N2 2</t>
  </si>
  <si>
    <t xml:space="preserve">7897372300233</t>
  </si>
  <si>
    <t xml:space="preserve">OVOS KI GEMA BRANCO C/20</t>
  </si>
  <si>
    <t xml:space="preserve">NOTA 061</t>
  </si>
  <si>
    <t xml:space="preserve">NFC-e 000056380 / Série 301</t>
  </si>
  <si>
    <t xml:space="preserve">7891031412138</t>
  </si>
  <si>
    <t xml:space="preserve">MAIONESE HEMMER 670G</t>
  </si>
  <si>
    <t xml:space="preserve">7896256082036</t>
  </si>
  <si>
    <t xml:space="preserve">CHIMICHURRI KODILAR 20G</t>
  </si>
  <si>
    <t xml:space="preserve">7896256060423</t>
  </si>
  <si>
    <t xml:space="preserve">ERVA DOCE KODILAR 9G</t>
  </si>
  <si>
    <t xml:space="preserve">7896256060393</t>
  </si>
  <si>
    <t xml:space="preserve">CRAVO KODILAR 12G</t>
  </si>
  <si>
    <t xml:space="preserve">7896256060317</t>
  </si>
  <si>
    <t xml:space="preserve">CAMOMILA KODILAR 6G</t>
  </si>
  <si>
    <t xml:space="preserve">7896256060478</t>
  </si>
  <si>
    <t xml:space="preserve">OREGANO KODILAR 8G</t>
  </si>
  <si>
    <t xml:space="preserve">7896256084009</t>
  </si>
  <si>
    <t xml:space="preserve">PAPRICA DEFUMADA KODILAR 2</t>
  </si>
  <si>
    <t xml:space="preserve">7896063700635</t>
  </si>
  <si>
    <t xml:space="preserve">SAL GUACIRA 1 KG</t>
  </si>
  <si>
    <t xml:space="preserve">7891055816264</t>
  </si>
  <si>
    <t xml:space="preserve">ESC DENTAL CONDOR C/3</t>
  </si>
  <si>
    <t xml:space="preserve">GRAO BICO SIAMAR 400G</t>
  </si>
  <si>
    <t xml:space="preserve">7897624400155</t>
  </si>
  <si>
    <t xml:space="preserve">OVOS SAO JOAO C/20</t>
  </si>
  <si>
    <t xml:space="preserve">BANANA NANICA EX KG</t>
  </si>
  <si>
    <t xml:space="preserve">NOTA 062</t>
  </si>
  <si>
    <t xml:space="preserve">NFC-e 000030471 / Série 303</t>
  </si>
  <si>
    <t xml:space="preserve">7898964064328</t>
  </si>
  <si>
    <t xml:space="preserve">PASSATA POMODORI NOR FOODS</t>
  </si>
  <si>
    <t xml:space="preserve">7897351150019</t>
  </si>
  <si>
    <t xml:space="preserve">ARROZ PANELA DE FERRO 5KG</t>
  </si>
  <si>
    <t xml:space="preserve">NOTA 063</t>
  </si>
  <si>
    <t xml:space="preserve">NFC-e 000064856 / Série 302</t>
  </si>
  <si>
    <t xml:space="preserve">7896036090602</t>
  </si>
  <si>
    <t xml:space="preserve">OLEO LIZA GIRASSOL 900 ML</t>
  </si>
  <si>
    <t xml:space="preserve">NOTA 064</t>
  </si>
  <si>
    <t xml:space="preserve">NFC-e 000064994 / Série 302</t>
  </si>
  <si>
    <t xml:space="preserve">Débito</t>
  </si>
  <si>
    <t xml:space="preserve">PIPOCAO KODILAR 500G</t>
  </si>
  <si>
    <t xml:space="preserve">NOTA 065</t>
  </si>
  <si>
    <t xml:space="preserve">NFC-e 000057380 / Série 301</t>
  </si>
  <si>
    <t xml:space="preserve">PAO QUEIJO KG</t>
  </si>
  <si>
    <t xml:space="preserve">2001416000000</t>
  </si>
  <si>
    <t xml:space="preserve">MORTADELA PERDIGAO KG</t>
  </si>
  <si>
    <t xml:space="preserve">NOTA 066</t>
  </si>
  <si>
    <t xml:space="preserve">NFC-e 000065542 / Série 302</t>
  </si>
  <si>
    <t xml:space="preserve">7897624400025</t>
  </si>
  <si>
    <t xml:space="preserve">OVOS SAO JOAO C/12</t>
  </si>
  <si>
    <t xml:space="preserve">NOTA 067</t>
  </si>
  <si>
    <t xml:space="preserve">NFC-e 000066429 / Série 302</t>
  </si>
  <si>
    <t xml:space="preserve">NOTA 068</t>
  </si>
  <si>
    <t xml:space="preserve">NFC-e 000059085 / Série 301</t>
  </si>
  <si>
    <t xml:space="preserve">7894000050034</t>
  </si>
  <si>
    <t xml:space="preserve">MAION 500 G HELLMANS</t>
  </si>
  <si>
    <t xml:space="preserve">NOTA 069</t>
  </si>
  <si>
    <t xml:space="preserve">NFC-e 000059425 / Série 301</t>
  </si>
  <si>
    <t xml:space="preserve">7897372301209</t>
  </si>
  <si>
    <t xml:space="preserve">OVOS KI GEMA EXTRA BRANCO</t>
  </si>
  <si>
    <t xml:space="preserve">NOTA 070</t>
  </si>
  <si>
    <t xml:space="preserve">Cupom 00053519 / NFC-e 015626 Série 008</t>
  </si>
  <si>
    <t xml:space="preserve">421</t>
  </si>
  <si>
    <t xml:space="preserve">TOMATE STA CRUZ</t>
  </si>
  <si>
    <t xml:space="preserve">7896036090619</t>
  </si>
  <si>
    <t xml:space="preserve">OLEO MILHO LIZA</t>
  </si>
  <si>
    <t xml:space="preserve">7791293028761</t>
  </si>
  <si>
    <t xml:space="preserve">DESODORANTE AXE</t>
  </si>
  <si>
    <t xml:space="preserve">7896075301060</t>
  </si>
  <si>
    <t xml:space="preserve">NOTA 071</t>
  </si>
  <si>
    <t xml:space="preserve">NFC-e 011275 / Série 1</t>
  </si>
  <si>
    <t xml:space="preserve">Compras</t>
  </si>
  <si>
    <t xml:space="preserve">Tabela operacional. Cada linha = um item comprado. Coluna B (Mês/Ano) facilita a comparação entre meses.</t>
  </si>
  <si>
    <t xml:space="preserve">Total Pago</t>
  </si>
  <si>
    <t xml:space="preserve">Origem</t>
  </si>
  <si>
    <t xml:space="preserve">Cupom 00091475</t>
  </si>
  <si>
    <t xml:space="preserve">TORRADAS PALITO 0,184 KG</t>
  </si>
  <si>
    <t xml:space="preserve">PAO FRANCES FILAO 0,544 KG</t>
  </si>
  <si>
    <t xml:space="preserve">NFC-e Varejao Monteverde 2410</t>
  </si>
  <si>
    <t xml:space="preserve">Item da nota do Varejao Monteverde</t>
  </si>
  <si>
    <t xml:space="preserve">NFC-e Crystal 000052920</t>
  </si>
  <si>
    <t xml:space="preserve">Quantidade calculada pelo total/preco unitario da nota: 5,67 / 65,98 = 0,0859 kg.</t>
  </si>
  <si>
    <t xml:space="preserve">Item da nota Crystal</t>
  </si>
  <si>
    <t xml:space="preserve">NFC-e Canesin 000038274</t>
  </si>
  <si>
    <t xml:space="preserve">Item da nota Canesin (Brodowski-SP)</t>
  </si>
  <si>
    <t xml:space="preserve">Orcamento Pedido 083825</t>
  </si>
  <si>
    <t xml:space="preserve">Casa de Carnes Barao da Carne (Brodowski-SP) - Sem Valor Fiscal</t>
  </si>
  <si>
    <t xml:space="preserve">NFC-e Varejao Monteverde 8933</t>
  </si>
  <si>
    <t xml:space="preserve">Item da nota do Varejao Monteverde - 10/05/2026</t>
  </si>
  <si>
    <t xml:space="preserve">Pedido Real Atacamix 103009583</t>
  </si>
  <si>
    <t xml:space="preserve">Pedido de venda Real Atacamix - 10/05/2026</t>
  </si>
  <si>
    <t xml:space="preserve">Item generico DIVERSOS no pedido Real Atacamix</t>
  </si>
  <si>
    <t xml:space="preserve">PEPSI 2L PET</t>
  </si>
  <si>
    <t xml:space="preserve">Cupom Andre 0900212</t>
  </si>
  <si>
    <t xml:space="preserve">Cupom Andre Supermercado - 10/05/2026 (R$ 10,40 com desconto R$ 0,20)</t>
  </si>
  <si>
    <t xml:space="preserve">Cupom Andre Supermercado - 10/05/2026</t>
  </si>
  <si>
    <t xml:space="preserve">NFC-e 27580 Cupom 00083585</t>
  </si>
  <si>
    <t xml:space="preserve">Supermercados Nori (Av. Rebouças, 70 - Brodowski/SP) - PIX</t>
  </si>
  <si>
    <t xml:space="preserve">Ovos Caipira</t>
  </si>
  <si>
    <t xml:space="preserve">Cupom Não Fiscal</t>
  </si>
  <si>
    <t xml:space="preserve">Terminal 0002 - Vitoria</t>
  </si>
  <si>
    <t xml:space="preserve">Maço</t>
  </si>
  <si>
    <t xml:space="preserve">R$ 22,90/kg</t>
  </si>
  <si>
    <t xml:space="preserve">Tomate Salada</t>
  </si>
  <si>
    <t xml:space="preserve">R$ 17,90/kg</t>
  </si>
  <si>
    <t xml:space="preserve">Limão Taiti</t>
  </si>
  <si>
    <t xml:space="preserve">R$ 7,99/kg</t>
  </si>
  <si>
    <t xml:space="preserve">Fubá Zei</t>
  </si>
  <si>
    <t xml:space="preserve">NFC-e 65290</t>
  </si>
  <si>
    <t xml:space="preserve">Feijão Preto Empório</t>
  </si>
  <si>
    <t xml:space="preserve">Café TM Padrão</t>
  </si>
  <si>
    <t xml:space="preserve">Lentilha Kinino</t>
  </si>
  <si>
    <t xml:space="preserve">Milho Pipoca Kinino</t>
  </si>
  <si>
    <t xml:space="preserve">Salgadinhos Balatore</t>
  </si>
  <si>
    <t xml:space="preserve">Macarrão Galo</t>
  </si>
  <si>
    <t xml:space="preserve">Chá Condinew Hibisco</t>
  </si>
  <si>
    <t xml:space="preserve">Erva Doce Condinew</t>
  </si>
  <si>
    <t xml:space="preserve">Lemon Pepper</t>
  </si>
  <si>
    <t xml:space="preserve">Cravo da Índia</t>
  </si>
  <si>
    <t xml:space="preserve">Chiclete Trident</t>
  </si>
  <si>
    <t xml:space="preserve">Creme Dental Oral-B</t>
  </si>
  <si>
    <t xml:space="preserve">Queijo Parmesão</t>
  </si>
  <si>
    <t xml:space="preserve">R$ 110,00/kg</t>
  </si>
  <si>
    <t xml:space="preserve">Azeitona Verde</t>
  </si>
  <si>
    <t xml:space="preserve">Biscoito Tucs</t>
  </si>
  <si>
    <t xml:space="preserve">R$ 1,80/un</t>
  </si>
  <si>
    <t xml:space="preserve">R$ 1,80/un - 2º código</t>
  </si>
  <si>
    <t xml:space="preserve">R$ 3,70/un</t>
  </si>
  <si>
    <t xml:space="preserve">Extrato Tomate Predilecta</t>
  </si>
  <si>
    <t xml:space="preserve">Amendoim Vó Délia</t>
  </si>
  <si>
    <t xml:space="preserve">Arroz Broto Legal</t>
  </si>
  <si>
    <t xml:space="preserve">Arroz Rio do Sol</t>
  </si>
  <si>
    <t xml:space="preserve">Esponja de Aço</t>
  </si>
  <si>
    <t xml:space="preserve">Creme de Leite Italac</t>
  </si>
  <si>
    <t xml:space="preserve">R$ 2,49/un</t>
  </si>
  <si>
    <t xml:space="preserve">Milho Verde</t>
  </si>
  <si>
    <t xml:space="preserve">R$ 3,10/un</t>
  </si>
  <si>
    <t xml:space="preserve">Seleta de Legumes</t>
  </si>
  <si>
    <t xml:space="preserve">Ervilha Predilecta</t>
  </si>
  <si>
    <t xml:space="preserve">Pão Visconti Forma</t>
  </si>
  <si>
    <t xml:space="preserve">Rosquinha Goiabada</t>
  </si>
  <si>
    <t xml:space="preserve">R$ 39,00/kg</t>
  </si>
  <si>
    <t xml:space="preserve">Pãezinhos de Batata</t>
  </si>
  <si>
    <t xml:space="preserve">R$ 32,00/kg</t>
  </si>
  <si>
    <t xml:space="preserve">R$ 14,90/kg</t>
  </si>
  <si>
    <t xml:space="preserve">Aveia Nestlé Flocos</t>
  </si>
  <si>
    <t xml:space="preserve">Aveia Nestlé</t>
  </si>
  <si>
    <t xml:space="preserve">Ketchup</t>
  </si>
  <si>
    <t xml:space="preserve">Leite de Coco Menina</t>
  </si>
  <si>
    <t xml:space="preserve">Suco de Uva Garibaldi</t>
  </si>
  <si>
    <t xml:space="preserve">Limpa Pisos Rajjalim</t>
  </si>
  <si>
    <t xml:space="preserve">Água Sanitária Triex</t>
  </si>
  <si>
    <t xml:space="preserve">Sabonete Plush Flores</t>
  </si>
  <si>
    <t xml:space="preserve">Sabão Pasta Alumil</t>
  </si>
  <si>
    <t xml:space="preserve">Detergente Triex</t>
  </si>
  <si>
    <t xml:space="preserve">Toalha de Papel</t>
  </si>
  <si>
    <t xml:space="preserve">Papel Higiênico Qualité</t>
  </si>
  <si>
    <t xml:space="preserve">Leite Fermentado</t>
  </si>
  <si>
    <t xml:space="preserve">Batata Palito</t>
  </si>
  <si>
    <t xml:space="preserve">Brócolis Japonês</t>
  </si>
  <si>
    <t xml:space="preserve">NFC-e 3067</t>
  </si>
  <si>
    <t xml:space="preserve">Alho a Granel</t>
  </si>
  <si>
    <t xml:space="preserve">R$ 25,98/kg</t>
  </si>
  <si>
    <t xml:space="preserve">Cebola Roxa</t>
  </si>
  <si>
    <t xml:space="preserve">R$ 8,28/kg</t>
  </si>
  <si>
    <t xml:space="preserve">Ovos Semi Caipira</t>
  </si>
  <si>
    <t xml:space="preserve">R$ 1,20/un (dúzia)</t>
  </si>
  <si>
    <t xml:space="preserve">Pão de Forma Pullman</t>
  </si>
  <si>
    <t xml:space="preserve">Nota 36741</t>
  </si>
  <si>
    <t xml:space="preserve">Café Padrão 500g</t>
  </si>
  <si>
    <t xml:space="preserve">NFC-e 22022 Cupom 00071051</t>
  </si>
  <si>
    <t xml:space="preserve">Supermercados Nori (Av. Rebouças, 70 - Brodowski/SP)</t>
  </si>
  <si>
    <t xml:space="preserve">R$ 8,25/un</t>
  </si>
  <si>
    <t xml:space="preserve">R$ 29,00/kg</t>
  </si>
  <si>
    <t xml:space="preserve">R$ 25,90/kg</t>
  </si>
  <si>
    <t xml:space="preserve">R$ 49,00/kg</t>
  </si>
  <si>
    <t xml:space="preserve">NFC-e 50028</t>
  </si>
  <si>
    <t xml:space="preserve">Cartão de crédito</t>
  </si>
  <si>
    <t xml:space="preserve">Cupom não fiscal DOC 038073</t>
  </si>
  <si>
    <t xml:space="preserve">NFC-e 3243 Série 3</t>
  </si>
  <si>
    <t xml:space="preserve">Cupom 00077650</t>
  </si>
  <si>
    <t xml:space="preserve">FLOCAO MILHO AMAFIL</t>
  </si>
  <si>
    <t xml:space="preserve">FARINHA MANDIOCA</t>
  </si>
  <si>
    <t xml:space="preserve">ROSCA COCO/CREME</t>
  </si>
  <si>
    <t xml:space="preserve">VINHO SANTA CAROLINA</t>
  </si>
  <si>
    <t xml:space="preserve">LING FINA</t>
  </si>
  <si>
    <t xml:space="preserve">NFC-e 24610</t>
  </si>
  <si>
    <t xml:space="preserve">Preço R$ 14,90/kg</t>
  </si>
  <si>
    <t xml:space="preserve">Preço R$ 34,00/kg</t>
  </si>
  <si>
    <t xml:space="preserve">Preço R$ 35,00/kg</t>
  </si>
  <si>
    <t xml:space="preserve">Preço R$ 28,90/kg</t>
  </si>
  <si>
    <t xml:space="preserve">NFC-e 1492272</t>
  </si>
  <si>
    <t xml:space="preserve">Preço R$ 7,98/kg</t>
  </si>
  <si>
    <t xml:space="preserve">Preço R$ 9,88/kg</t>
  </si>
  <si>
    <t xml:space="preserve">DOCES CASSOLATO</t>
  </si>
  <si>
    <t xml:space="preserve">NFC-e</t>
  </si>
  <si>
    <t xml:space="preserve">NFC-e 42390</t>
  </si>
  <si>
    <t xml:space="preserve">Cupom</t>
  </si>
  <si>
    <t xml:space="preserve">DOC 040540</t>
  </si>
  <si>
    <t xml:space="preserve">Cupom 1492588</t>
  </si>
  <si>
    <t xml:space="preserve">Preço R$ 11,68/kg</t>
  </si>
  <si>
    <t xml:space="preserve">Preço R$ 4,98/kg</t>
  </si>
  <si>
    <t xml:space="preserve">OVOS CAIPIRA EMBU</t>
  </si>
  <si>
    <t xml:space="preserve">Cupom 1492747</t>
  </si>
  <si>
    <t xml:space="preserve">Preço R$ 16,80/un</t>
  </si>
  <si>
    <t xml:space="preserve">Cupom 00073882</t>
  </si>
  <si>
    <t xml:space="preserve">NFC-e 9592</t>
  </si>
  <si>
    <t xml:space="preserve">Preço R$ 2,68/kg</t>
  </si>
  <si>
    <t xml:space="preserve">Cupom 00052295</t>
  </si>
  <si>
    <t xml:space="preserve">Preço R$ 17,90/kg</t>
  </si>
  <si>
    <t xml:space="preserve">NFC-e 3087</t>
  </si>
  <si>
    <t xml:space="preserve">Preço R$ 10,58/kg</t>
  </si>
  <si>
    <t xml:space="preserve">Preço R$ 15,48/kg</t>
  </si>
  <si>
    <t xml:space="preserve">Preço R$ 11,28/kg</t>
  </si>
  <si>
    <t xml:space="preserve">Preço R$ 8,58/kg</t>
  </si>
  <si>
    <t xml:space="preserve">Preço R$ 3,48/kg</t>
  </si>
  <si>
    <t xml:space="preserve">Preço R$ 28,00/kg</t>
  </si>
  <si>
    <t xml:space="preserve">Preço R$ 11,98/kg</t>
  </si>
  <si>
    <t xml:space="preserve">Cupom 00068001</t>
  </si>
  <si>
    <t xml:space="preserve">Preço R$ 38,99/kg</t>
  </si>
  <si>
    <t xml:space="preserve">Preço R$ 24,90/kg</t>
  </si>
  <si>
    <t xml:space="preserve">Preço R$ 45,00/kg</t>
  </si>
  <si>
    <t xml:space="preserve">Cupom 00053664</t>
  </si>
  <si>
    <t xml:space="preserve">Cupom 00103940</t>
  </si>
  <si>
    <t xml:space="preserve">Cupom 000235703</t>
  </si>
  <si>
    <t xml:space="preserve">Cupom 00093663</t>
  </si>
  <si>
    <t xml:space="preserve">Cupom 00070533</t>
  </si>
  <si>
    <t xml:space="preserve">NFC-e 9974</t>
  </si>
  <si>
    <t xml:space="preserve">OVOS CAIPIRA EMBALADO</t>
  </si>
  <si>
    <t xml:space="preserve">Cupom 00083903</t>
  </si>
  <si>
    <t xml:space="preserve">PAO DE NATA</t>
  </si>
  <si>
    <t xml:space="preserve">Cupom não fiscal DOC 048366</t>
  </si>
  <si>
    <t xml:space="preserve">YOKI FUBA MIMOSO 500G</t>
  </si>
  <si>
    <t xml:space="preserve">Cupom não fiscal DOC 048272</t>
  </si>
  <si>
    <t xml:space="preserve">D.LOURDES BOL.NATA</t>
  </si>
  <si>
    <t xml:space="preserve">QUEIJO RAL. RELIQUIA</t>
  </si>
  <si>
    <t xml:space="preserve">SALADA TROPICAL FRANGO</t>
  </si>
  <si>
    <t xml:space="preserve">Terminal 0001 - Vitoria</t>
  </si>
  <si>
    <t xml:space="preserve">Cupom 00003965</t>
  </si>
  <si>
    <t xml:space="preserve">Cupom 00049425</t>
  </si>
  <si>
    <t xml:space="preserve">Cupom 00048969</t>
  </si>
  <si>
    <t xml:space="preserve">Cupom 00003911</t>
  </si>
  <si>
    <t xml:space="preserve">Cupom 00049708</t>
  </si>
  <si>
    <t xml:space="preserve">PAO FORMA PULLMAN 480G</t>
  </si>
  <si>
    <t xml:space="preserve">BISCOITO POLVILHO QUEIJO</t>
  </si>
  <si>
    <t xml:space="preserve">Cupom 00050582</t>
  </si>
  <si>
    <t xml:space="preserve">MILHO DE PIPOCA YOKI 400G</t>
  </si>
  <si>
    <t xml:space="preserve">Cupom 00059513</t>
  </si>
  <si>
    <t xml:space="preserve">Cupom não fiscal DOC 050716</t>
  </si>
  <si>
    <t xml:space="preserve">Cupom 00096224</t>
  </si>
  <si>
    <t xml:space="preserve">QUEIJO MUSSARELA MANDAKA</t>
  </si>
  <si>
    <t xml:space="preserve">REQUEIJAO CREMOSO ITALAC</t>
  </si>
  <si>
    <t xml:space="preserve">BISCOITO NIKITO VITAMINADO</t>
  </si>
  <si>
    <t xml:space="preserve">MAIONESE FUGINI TRADICIONAL</t>
  </si>
  <si>
    <t xml:space="preserve">TEMPERO CONDINEW CHIMICHURRI</t>
  </si>
  <si>
    <t xml:space="preserve">CHOCOLATE NESTLE KIT KAT</t>
  </si>
  <si>
    <t xml:space="preserve">EXT TOMATE PREDILECTA</t>
  </si>
  <si>
    <t xml:space="preserve">MISTURA LACTEA MOCOCA</t>
  </si>
  <si>
    <t xml:space="preserve">CAFE TM UTAM EXTRA FORTE</t>
  </si>
  <si>
    <t xml:space="preserve">GELATINA LUAL SEM SABOR</t>
  </si>
  <si>
    <t xml:space="preserve">CHOCOLATE HERSHEY SPECIAL</t>
  </si>
  <si>
    <t xml:space="preserve">CONDICIONADOR SKALA</t>
  </si>
  <si>
    <t xml:space="preserve">DETERGENTE LIMPOL</t>
  </si>
  <si>
    <t xml:space="preserve">CREME DENTAL SORRISO</t>
  </si>
  <si>
    <t xml:space="preserve">NFC-e Varejao Monteverde 4121</t>
  </si>
  <si>
    <t xml:space="preserve">Cupom 00046948</t>
  </si>
  <si>
    <t xml:space="preserve">NFC-e Varejao Monteverde 4161</t>
  </si>
  <si>
    <t xml:space="preserve">Cupom 00051984</t>
  </si>
  <si>
    <t xml:space="preserve">Cupom 00097350</t>
  </si>
  <si>
    <t xml:space="preserve">Cupom 00074873</t>
  </si>
  <si>
    <t xml:space="preserve">Cupom 00050006</t>
  </si>
  <si>
    <t xml:space="preserve">Cupom 4194</t>
  </si>
  <si>
    <t xml:space="preserve">Cupom 53763</t>
  </si>
  <si>
    <t xml:space="preserve">Cupom 1500598</t>
  </si>
  <si>
    <t xml:space="preserve">Cupom 054527</t>
  </si>
  <si>
    <t xml:space="preserve">Cupom 1500813</t>
  </si>
  <si>
    <t xml:space="preserve">Cupom 002286</t>
  </si>
  <si>
    <t xml:space="preserve">Cupom 055105</t>
  </si>
  <si>
    <t xml:space="preserve">Cupom 1500960</t>
  </si>
  <si>
    <t xml:space="preserve">NFC-e 4449</t>
  </si>
  <si>
    <t xml:space="preserve">NFC-e Canesin</t>
  </si>
  <si>
    <t xml:space="preserve">NFC-e 056380</t>
  </si>
  <si>
    <t xml:space="preserve">NFC-e 030471</t>
  </si>
  <si>
    <t xml:space="preserve">NFC-e 064856</t>
  </si>
  <si>
    <t xml:space="preserve">NFC-e 064994</t>
  </si>
  <si>
    <t xml:space="preserve">NFC-e 057380</t>
  </si>
  <si>
    <t xml:space="preserve">NFC-e 065542</t>
  </si>
  <si>
    <t xml:space="preserve">NFC-e 066429</t>
  </si>
  <si>
    <t xml:space="preserve">NFC-e 059085</t>
  </si>
  <si>
    <t xml:space="preserve">NFC-e 059425</t>
  </si>
  <si>
    <t xml:space="preserve">Cupom 00053519</t>
  </si>
  <si>
    <t xml:space="preserve">NFC-e 011275</t>
  </si>
  <si>
    <t xml:space="preserve">Todas</t>
  </si>
  <si>
    <t xml:space="preserve">COMPARADOR DE PREÇOS</t>
  </si>
  <si>
    <t xml:space="preserve">Onde cada produto já saiu mais barato e mais caro — e quanto dá para economizar comprando no lugar certo. Tudo em fórmula: atualiza sozinho pela aba Compras.</t>
  </si>
  <si>
    <t xml:space="preserve">CATEGORIA  (filtro ▾)</t>
  </si>
  <si>
    <t xml:space="preserve">PRODUTOS COMPARADOS</t>
  </si>
  <si>
    <t xml:space="preserve">ECONOMIA POSSÍVEL</t>
  </si>
  <si>
    <t xml:space="preserve">PRODUTOS C/ ECONOMIA</t>
  </si>
  <si>
    <t xml:space="preserve">PREÇO MÍNIMO MÉDIO</t>
  </si>
  <si>
    <t xml:space="preserve">TOP 10 OPORTUNIDADES DE ECONOMIA</t>
  </si>
  <si>
    <t xml:space="preserve">Maiores diferenças por unidade entre o preço mais caro e o mais barato já pagos — comece a economizar por aqui. A lista muda conforme a categoria escolhida acima.</t>
  </si>
  <si>
    <t xml:space="preserve">Menor R$</t>
  </si>
  <si>
    <t xml:space="preserve">Onde + quando (mais barato)</t>
  </si>
  <si>
    <t xml:space="preserve">Última R$</t>
  </si>
  <si>
    <t xml:space="preserve">Economia / un.</t>
  </si>
  <si>
    <t xml:space="preserve">COMPARATIVO COMPLETO — PRODUTO A PRODUTO</t>
  </si>
  <si>
    <t xml:space="preserve">Menor e maior preço já pagos, onde foi, e a última compra. Barra azul = tamanho da economia possível. Última R$ verde = você pagou o mínimo · vermelho = pagou acima do mínimo.</t>
  </si>
  <si>
    <t xml:space="preserve">Mercado (+ barato)</t>
  </si>
  <si>
    <t xml:space="preserve">Maior R$</t>
  </si>
  <si>
    <t xml:space="preserve">Mercado (+ caro)</t>
  </si>
  <si>
    <t xml:space="preserve">Economia R$</t>
  </si>
  <si>
    <t xml:space="preserve">Economia %</t>
  </si>
  <si>
    <t xml:space="preserve">Última compra (onde · quando)</t>
  </si>
  <si>
    <t xml:space="preserve">Cálculos automáticos a partir da aba Compras (tblCompras). Para acompanhar um produto novo, inclua nome, unidade e categoria numa linha desta lista.</t>
  </si>
  <si>
    <t xml:space="preserve">Listas</t>
  </si>
  <si>
    <t xml:space="preserve">Categorias e unidades padrao.</t>
  </si>
  <si>
    <t xml:space="preserve">Categorias</t>
  </si>
  <si>
    <t xml:space="preserve">Unidades</t>
  </si>
  <si>
    <t xml:space="preserve">Mercados</t>
  </si>
  <si>
    <t xml:space="preserve">Meses (filtro)</t>
  </si>
  <si>
    <t xml:space="preserve">Categorias (filtro)</t>
  </si>
  <si>
    <t xml:space="preserve">Mercados (filtro)</t>
  </si>
  <si>
    <t xml:space="preserve">Início do mês (aux)</t>
  </si>
  <si>
    <t xml:space="preserve">Mercado A</t>
  </si>
  <si>
    <t xml:space="preserve">LT</t>
  </si>
  <si>
    <t xml:space="preserve">Mercado B</t>
  </si>
  <si>
    <t xml:space="preserve">ML</t>
  </si>
  <si>
    <t xml:space="preserve">Mercado C</t>
  </si>
  <si>
    <t xml:space="preserve">G</t>
  </si>
  <si>
    <t xml:space="preserve">Nubank</t>
  </si>
  <si>
    <t xml:space="preserve">PACOTE</t>
  </si>
  <si>
    <t xml:space="preserve">Cartao/Fatura</t>
  </si>
  <si>
    <t xml:space="preserve">Nota: os meses são gerados por fórmula a partir da tabela Compras (até 12 meses). Se surgir uma categoria ou mercado novo na aba Compras, adicione-o também nas colunas F/G para que apareça nos filtros e no Painel.</t>
  </si>
</sst>
</file>

<file path=xl/styles.xml><?xml version="1.0" encoding="utf-8"?>
<styleSheet xmlns="http://schemas.openxmlformats.org/spreadsheetml/2006/main">
  <numFmts count="13">
    <numFmt numFmtId="164" formatCode="General"/>
    <numFmt numFmtId="165" formatCode="&quot;R$ &quot;#,##0;&quot;-R$ &quot;#,##0;\—"/>
    <numFmt numFmtId="166" formatCode="#,##0;\-#,##0;\—"/>
    <numFmt numFmtId="167" formatCode="&quot;R$ &quot;#,##0.00;&quot;-R$ &quot;#,##0.00;\—"/>
    <numFmt numFmtId="168" formatCode="@"/>
    <numFmt numFmtId="169" formatCode="0.0%;\-0.0%;\—"/>
    <numFmt numFmtId="170" formatCode="m/d/yyyy"/>
    <numFmt numFmtId="171" formatCode="0"/>
    <numFmt numFmtId="172" formatCode="#,##0.###"/>
    <numFmt numFmtId="173" formatCode="0.000"/>
    <numFmt numFmtId="174" formatCode="[$R$-416]\ #,##0.00"/>
    <numFmt numFmtId="175" formatCode="mmm\-yy"/>
    <numFmt numFmtId="176" formatCode="dd/mm/yy"/>
  </numFmts>
  <fonts count="38">
    <font>
      <sz val="11"/>
      <color theme="1"/>
      <name val="Calibri"/>
      <family val="2"/>
      <charset val="1"/>
    </font>
    <font>
      <sz val="10"/>
      <name val="Arial"/>
      <family val="0"/>
    </font>
    <font>
      <sz val="10"/>
      <name val="Arial"/>
      <family val="0"/>
    </font>
    <font>
      <sz val="10"/>
      <name val="Arial"/>
      <family val="0"/>
    </font>
    <font>
      <b val="true"/>
      <sz val="20"/>
      <color rgb="FFE6EDF3"/>
      <name val="Arial"/>
      <family val="0"/>
      <charset val="1"/>
    </font>
    <font>
      <sz val="10"/>
      <color rgb="FF8B949E"/>
      <name val="Arial"/>
      <family val="0"/>
      <charset val="1"/>
    </font>
    <font>
      <b val="true"/>
      <sz val="9"/>
      <color rgb="FF58A6FF"/>
      <name val="Arial"/>
      <family val="0"/>
      <charset val="1"/>
    </font>
    <font>
      <b val="true"/>
      <sz val="9"/>
      <color rgb="FF3FB950"/>
      <name val="Arial"/>
      <family val="0"/>
      <charset val="1"/>
    </font>
    <font>
      <b val="true"/>
      <sz val="9"/>
      <color rgb="FFE3B341"/>
      <name val="Arial"/>
      <family val="0"/>
      <charset val="1"/>
    </font>
    <font>
      <b val="true"/>
      <sz val="9"/>
      <color rgb="FFF778BA"/>
      <name val="Arial"/>
      <family val="0"/>
      <charset val="1"/>
    </font>
    <font>
      <b val="true"/>
      <sz val="9"/>
      <color rgb="FFBC8CFF"/>
      <name val="Arial"/>
      <family val="0"/>
      <charset val="1"/>
    </font>
    <font>
      <b val="true"/>
      <sz val="16"/>
      <color rgb="FFE6EDF3"/>
      <name val="Arial"/>
      <family val="0"/>
      <charset val="1"/>
    </font>
    <font>
      <b val="true"/>
      <sz val="13"/>
      <color rgb="FF58A6FF"/>
      <name val="Arial"/>
      <family val="0"/>
      <charset val="1"/>
    </font>
    <font>
      <sz val="9"/>
      <color rgb="FF8B949E"/>
      <name val="Arial"/>
      <family val="0"/>
      <charset val="1"/>
    </font>
    <font>
      <b val="true"/>
      <sz val="9"/>
      <color rgb="FFE6EDF3"/>
      <name val="Arial"/>
      <family val="0"/>
      <charset val="1"/>
    </font>
    <font>
      <sz val="10"/>
      <color rgb="FFE6EDF3"/>
      <name val="Arial"/>
      <family val="0"/>
      <charset val="1"/>
    </font>
    <font>
      <b val="true"/>
      <sz val="10"/>
      <color rgb="FFE3B341"/>
      <name val="Arial"/>
      <family val="0"/>
      <charset val="1"/>
    </font>
    <font>
      <b val="true"/>
      <sz val="12"/>
      <color rgb="FFE6EDF3"/>
      <name val="Calibri"/>
      <family val="2"/>
    </font>
    <font>
      <sz val="8.5"/>
      <color rgb="FF8B949E"/>
      <name val="Calibri"/>
      <family val="2"/>
    </font>
    <font>
      <b val="true"/>
      <sz val="9"/>
      <color rgb="FF8B949E"/>
      <name val="Arial"/>
      <family val="0"/>
      <charset val="1"/>
    </font>
    <font>
      <b val="true"/>
      <sz val="11"/>
      <color rgb="FFE3B341"/>
      <name val="Arial"/>
      <family val="0"/>
      <charset val="1"/>
    </font>
    <font>
      <u val="single"/>
      <sz val="11"/>
      <color theme="10"/>
      <name val="Calibri"/>
      <family val="2"/>
      <charset val="1"/>
    </font>
    <font>
      <b val="true"/>
      <sz val="10"/>
      <color rgb="FFE6EDF3"/>
      <name val="Arial"/>
      <family val="0"/>
      <charset val="1"/>
    </font>
    <font>
      <b val="true"/>
      <sz val="11"/>
      <color rgb="FFE6EDF3"/>
      <name val="Arial"/>
      <family val="0"/>
      <charset val="1"/>
    </font>
    <font>
      <sz val="10"/>
      <color theme="1"/>
      <name val="Aptos"/>
      <family val="2"/>
      <charset val="1"/>
    </font>
    <font>
      <b val="true"/>
      <sz val="12"/>
      <color rgb="FFFFFFFF"/>
      <name val="Aptos"/>
      <family val="0"/>
      <charset val="1"/>
    </font>
    <font>
      <i val="true"/>
      <sz val="10"/>
      <color rgb="FF4B5563"/>
      <name val="Aptos"/>
      <family val="0"/>
      <charset val="1"/>
    </font>
    <font>
      <b val="true"/>
      <sz val="10"/>
      <color rgb="FFFFFFFF"/>
      <name val="Aptos"/>
      <family val="0"/>
      <charset val="1"/>
    </font>
    <font>
      <sz val="10"/>
      <color rgb="FF000000"/>
      <name val="Calibri"/>
      <family val="0"/>
      <charset val="1"/>
    </font>
    <font>
      <sz val="10"/>
      <color theme="1"/>
      <name val="Calibri"/>
      <family val="0"/>
      <charset val="1"/>
    </font>
    <font>
      <sz val="10"/>
      <color theme="1"/>
      <name val="Calibri"/>
      <family val="2"/>
      <charset val="1"/>
    </font>
    <font>
      <sz val="10"/>
      <color rgb="FF000000"/>
      <name val="Aptos"/>
      <family val="0"/>
      <charset val="1"/>
    </font>
    <font>
      <sz val="10"/>
      <color theme="1"/>
      <name val="Aptos"/>
      <family val="0"/>
      <charset val="1"/>
    </font>
    <font>
      <b val="true"/>
      <sz val="14"/>
      <color rgb="FFE6EDF3"/>
      <name val="Arial"/>
      <family val="0"/>
      <charset val="1"/>
    </font>
    <font>
      <sz val="10"/>
      <color rgb="FF3FB950"/>
      <name val="Arial"/>
      <family val="0"/>
      <charset val="1"/>
    </font>
    <font>
      <sz val="8"/>
      <color rgb="FF8B949E"/>
      <name val="Arial"/>
      <family val="0"/>
      <charset val="1"/>
    </font>
    <font>
      <b val="true"/>
      <sz val="10"/>
      <color rgb="FFFFFFFF"/>
      <name val="Aptos"/>
      <family val="2"/>
      <charset val="1"/>
    </font>
    <font>
      <i val="true"/>
      <sz val="10"/>
      <color rgb="FF4B5563"/>
      <name val="Aptos"/>
      <family val="2"/>
      <charset val="1"/>
    </font>
  </fonts>
  <fills count="12">
    <fill>
      <patternFill patternType="none"/>
    </fill>
    <fill>
      <patternFill patternType="gray125"/>
    </fill>
    <fill>
      <patternFill patternType="solid">
        <fgColor rgb="FF0D1117"/>
        <bgColor rgb="FF161B22"/>
      </patternFill>
    </fill>
    <fill>
      <patternFill patternType="solid">
        <fgColor rgb="FF161B22"/>
        <bgColor rgb="FF1C2128"/>
      </patternFill>
    </fill>
    <fill>
      <patternFill patternType="solid">
        <fgColor rgb="FF30363D"/>
        <bgColor rgb="FF1C2E4A"/>
      </patternFill>
    </fill>
    <fill>
      <patternFill patternType="solid">
        <fgColor rgb="FF1C2128"/>
        <bgColor rgb="FF161B22"/>
      </patternFill>
    </fill>
    <fill>
      <patternFill patternType="solid">
        <fgColor rgb="FF3A3000"/>
        <bgColor rgb="FF2D2A00"/>
      </patternFill>
    </fill>
    <fill>
      <patternFill patternType="solid">
        <fgColor rgb="FF2D2A00"/>
        <bgColor rgb="FF3A3000"/>
      </patternFill>
    </fill>
    <fill>
      <patternFill patternType="solid">
        <fgColor rgb="FF1C2E4A"/>
        <bgColor rgb="FF30363D"/>
      </patternFill>
    </fill>
    <fill>
      <patternFill patternType="solid">
        <fgColor rgb="FF007570"/>
        <bgColor rgb="FF008080"/>
      </patternFill>
    </fill>
    <fill>
      <patternFill patternType="solid">
        <fgColor rgb="FFD9E1F2"/>
        <bgColor rgb="FFE6EDF3"/>
      </patternFill>
    </fill>
    <fill>
      <patternFill patternType="solid">
        <fgColor rgb="FFFFFFFF"/>
        <bgColor rgb="FFFFFFCC"/>
      </patternFill>
    </fill>
  </fills>
  <borders count="18">
    <border diagonalUp="false" diagonalDown="false">
      <left/>
      <right/>
      <top/>
      <bottom/>
      <diagonal/>
    </border>
    <border diagonalUp="false" diagonalDown="false">
      <left style="thin">
        <color rgb="FF30363D"/>
      </left>
      <right style="thin">
        <color rgb="FF30363D"/>
      </right>
      <top style="thin">
        <color rgb="FF30363D"/>
      </top>
      <bottom style="thin">
        <color rgb="FF30363D"/>
      </bottom>
      <diagonal/>
    </border>
    <border diagonalUp="false" diagonalDown="false">
      <left style="medium">
        <color rgb="FFE3B341"/>
      </left>
      <right style="medium">
        <color rgb="FFE3B341"/>
      </right>
      <top style="medium">
        <color rgb="FFE3B341"/>
      </top>
      <bottom style="medium">
        <color rgb="FFE3B341"/>
      </bottom>
      <diagonal/>
    </border>
    <border diagonalUp="false" diagonalDown="false">
      <left style="thin">
        <color rgb="FF8EA9DB"/>
      </left>
      <right/>
      <top style="thin">
        <color rgb="FF8EA9DB"/>
      </top>
      <bottom/>
      <diagonal/>
    </border>
    <border diagonalUp="false" diagonalDown="false">
      <left/>
      <right/>
      <top style="thin">
        <color rgb="FF8EA9DB"/>
      </top>
      <bottom/>
      <diagonal/>
    </border>
    <border diagonalUp="false" diagonalDown="false">
      <left/>
      <right style="thin">
        <color rgb="FF8EA9DB"/>
      </right>
      <top style="thin">
        <color rgb="FF8EA9DB"/>
      </top>
      <bottom/>
      <diagonal/>
    </border>
    <border diagonalUp="false" diagonalDown="false">
      <left style="thin">
        <color rgb="FF8EA9DB"/>
      </left>
      <right/>
      <top style="thin">
        <color rgb="FF8EA9DB"/>
      </top>
      <bottom style="thin">
        <color rgb="FF8EA9DB"/>
      </bottom>
      <diagonal/>
    </border>
    <border diagonalUp="false" diagonalDown="false">
      <left/>
      <right/>
      <top style="thin">
        <color rgb="FF8EA9DB"/>
      </top>
      <bottom style="thin">
        <color rgb="FF8EA9DB"/>
      </bottom>
      <diagonal/>
    </border>
    <border diagonalUp="false" diagonalDown="false">
      <left/>
      <right style="thin">
        <color rgb="FF8EA9DB"/>
      </right>
      <top style="thin">
        <color rgb="FF8EA9DB"/>
      </top>
      <bottom style="thin">
        <color rgb="FF8EA9DB"/>
      </bottom>
      <diagonal/>
    </border>
    <border diagonalUp="false" diagonalDown="false">
      <left style="thin">
        <color rgb="FF8EA9DB"/>
      </left>
      <right/>
      <top style="double">
        <color rgb="FF4472C4"/>
      </top>
      <bottom style="thin">
        <color rgb="FF8EA9DB"/>
      </bottom>
      <diagonal/>
    </border>
    <border diagonalUp="false" diagonalDown="false">
      <left/>
      <right/>
      <top style="double">
        <color rgb="FF4472C4"/>
      </top>
      <bottom style="thin">
        <color rgb="FF8EA9DB"/>
      </bottom>
      <diagonal/>
    </border>
    <border diagonalUp="false" diagonalDown="false">
      <left/>
      <right style="thin">
        <color rgb="FF8EA9DB"/>
      </right>
      <top style="double">
        <color rgb="FF4472C4"/>
      </top>
      <bottom style="thin">
        <color rgb="FF8EA9DB"/>
      </bottom>
      <diagonal/>
    </border>
    <border diagonalUp="false" diagonalDown="false">
      <left style="thin">
        <color rgb="FF8EA9DB"/>
      </left>
      <right/>
      <top/>
      <bottom style="thin">
        <color rgb="FF8EA9DB"/>
      </bottom>
      <diagonal/>
    </border>
    <border diagonalUp="false" diagonalDown="false">
      <left/>
      <right/>
      <top/>
      <bottom style="thin">
        <color rgb="FF8EA9DB"/>
      </bottom>
      <diagonal/>
    </border>
    <border diagonalUp="false" diagonalDown="false">
      <left/>
      <right style="thin">
        <color rgb="FF8EA9DB"/>
      </right>
      <top/>
      <bottom style="thin">
        <color rgb="FF8EA9DB"/>
      </bottom>
      <diagonal/>
    </border>
    <border diagonalUp="false" diagonalDown="false">
      <left style="thin">
        <color rgb="FF8EA9DB"/>
      </left>
      <right/>
      <top style="thin">
        <color rgb="FF8EA9DB"/>
      </top>
      <bottom style="double">
        <color rgb="FF4472C4"/>
      </bottom>
      <diagonal/>
    </border>
    <border diagonalUp="false" diagonalDown="false">
      <left/>
      <right/>
      <top style="thin">
        <color rgb="FF8EA9DB"/>
      </top>
      <bottom style="double">
        <color rgb="FF4472C4"/>
      </bottom>
      <diagonal/>
    </border>
    <border diagonalUp="false" diagonalDown="false">
      <left/>
      <right style="thin">
        <color rgb="FF8EA9DB"/>
      </right>
      <top style="thin">
        <color rgb="FF8EA9DB"/>
      </top>
      <bottom style="double">
        <color rgb="FF4472C4"/>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1" fillId="0" borderId="0" applyFont="true" applyBorder="true" applyAlignment="true" applyProtection="true">
      <alignment horizontal="general" vertical="bottom" textRotation="0" wrapText="false" indent="0" shrinkToFit="false"/>
      <protection locked="true" hidden="false"/>
    </xf>
  </cellStyleXfs>
  <cellXfs count="2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5" fillId="2" borderId="0" xfId="0" applyFont="true" applyBorder="false" applyAlignment="true" applyProtection="false">
      <alignment horizontal="left"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5" fontId="11" fillId="3" borderId="1" xfId="0" applyFont="true" applyBorder="true" applyAlignment="true" applyProtection="false">
      <alignment horizontal="center" vertical="center" textRotation="0" wrapText="false" indent="0" shrinkToFit="false"/>
      <protection locked="true" hidden="false"/>
    </xf>
    <xf numFmtId="166" fontId="11" fillId="3" borderId="1" xfId="0" applyFont="true" applyBorder="true" applyAlignment="true" applyProtection="false">
      <alignment horizontal="center" vertical="center" textRotation="0" wrapText="false" indent="0" shrinkToFit="false"/>
      <protection locked="true" hidden="false"/>
    </xf>
    <xf numFmtId="167" fontId="11" fillId="3" borderId="1" xfId="0" applyFont="true" applyBorder="true" applyAlignment="true" applyProtection="false">
      <alignment horizontal="center" vertical="center" textRotation="0" wrapText="false" indent="0" shrinkToFit="false"/>
      <protection locked="true" hidden="false"/>
    </xf>
    <xf numFmtId="168" fontId="11" fillId="3" borderId="1"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false" applyAlignment="true" applyProtection="false">
      <alignment horizontal="left" vertical="center" textRotation="0" wrapText="false" indent="0" shrinkToFit="false"/>
      <protection locked="true" hidden="false"/>
    </xf>
    <xf numFmtId="164" fontId="13" fillId="2" borderId="0" xfId="0" applyFont="true" applyBorder="false" applyAlignment="true" applyProtection="false">
      <alignment horizontal="left" vertical="center" textRotation="0" wrapText="false" indent="0" shrinkToFit="false"/>
      <protection locked="true" hidden="false"/>
    </xf>
    <xf numFmtId="164" fontId="14" fillId="4" borderId="1" xfId="0" applyFont="true" applyBorder="true" applyAlignment="true" applyProtection="false">
      <alignment horizontal="center" vertical="center" textRotation="0" wrapText="false" indent="0" shrinkToFit="false"/>
      <protection locked="true" hidden="false"/>
    </xf>
    <xf numFmtId="164" fontId="15" fillId="3" borderId="1" xfId="0" applyFont="true" applyBorder="true" applyAlignment="true" applyProtection="false">
      <alignment horizontal="left" vertical="center" textRotation="0" wrapText="false" indent="0" shrinkToFit="false"/>
      <protection locked="true" hidden="false"/>
    </xf>
    <xf numFmtId="167" fontId="15" fillId="3" borderId="1" xfId="0" applyFont="true" applyBorder="true" applyAlignment="true" applyProtection="false">
      <alignment horizontal="right" vertical="center" textRotation="0" wrapText="false" indent="0" shrinkToFit="false"/>
      <protection locked="true" hidden="false"/>
    </xf>
    <xf numFmtId="169" fontId="15" fillId="3" borderId="1" xfId="0" applyFont="true" applyBorder="true" applyAlignment="true" applyProtection="false">
      <alignment horizontal="right" vertical="center" textRotation="0" wrapText="false" indent="0" shrinkToFit="false"/>
      <protection locked="true" hidden="false"/>
    </xf>
    <xf numFmtId="164" fontId="15" fillId="5" borderId="1" xfId="0" applyFont="true" applyBorder="true" applyAlignment="true" applyProtection="false">
      <alignment horizontal="left" vertical="center" textRotation="0" wrapText="false" indent="0" shrinkToFit="false"/>
      <protection locked="true" hidden="false"/>
    </xf>
    <xf numFmtId="167" fontId="15" fillId="5" borderId="1" xfId="0" applyFont="true" applyBorder="true" applyAlignment="true" applyProtection="false">
      <alignment horizontal="right" vertical="center" textRotation="0" wrapText="false" indent="0" shrinkToFit="false"/>
      <protection locked="true" hidden="false"/>
    </xf>
    <xf numFmtId="169" fontId="15" fillId="5" borderId="1" xfId="0" applyFont="true" applyBorder="true" applyAlignment="true" applyProtection="false">
      <alignment horizontal="right" vertical="center" textRotation="0" wrapText="false" indent="0" shrinkToFit="false"/>
      <protection locked="true" hidden="false"/>
    </xf>
    <xf numFmtId="164" fontId="16" fillId="4" borderId="1" xfId="0" applyFont="true" applyBorder="true" applyAlignment="true" applyProtection="false">
      <alignment horizontal="left" vertical="center" textRotation="0" wrapText="false" indent="0" shrinkToFit="false"/>
      <protection locked="true" hidden="false"/>
    </xf>
    <xf numFmtId="167" fontId="16" fillId="4" borderId="1" xfId="0" applyFont="true" applyBorder="true" applyAlignment="true" applyProtection="false">
      <alignment horizontal="right" vertical="center" textRotation="0" wrapText="false" indent="0" shrinkToFit="false"/>
      <protection locked="true" hidden="false"/>
    </xf>
    <xf numFmtId="169" fontId="16" fillId="4" borderId="1" xfId="0" applyFont="true" applyBorder="true" applyAlignment="true" applyProtection="false">
      <alignment horizontal="right" vertical="center" textRotation="0" wrapText="false" indent="0" shrinkToFit="false"/>
      <protection locked="true" hidden="false"/>
    </xf>
    <xf numFmtId="164" fontId="15" fillId="3" borderId="1" xfId="0" applyFont="true" applyBorder="true" applyAlignment="true" applyProtection="false">
      <alignment horizontal="center" vertical="center" textRotation="0" wrapText="false" indent="0" shrinkToFit="false"/>
      <protection locked="true" hidden="false"/>
    </xf>
    <xf numFmtId="166" fontId="15" fillId="3" borderId="1" xfId="0" applyFont="true" applyBorder="true" applyAlignment="true" applyProtection="false">
      <alignment horizontal="right" vertical="center" textRotation="0" wrapText="false" indent="0" shrinkToFit="false"/>
      <protection locked="true" hidden="false"/>
    </xf>
    <xf numFmtId="164" fontId="15" fillId="5" borderId="1" xfId="0" applyFont="true" applyBorder="true" applyAlignment="true" applyProtection="false">
      <alignment horizontal="center" vertical="center" textRotation="0" wrapText="false" indent="0" shrinkToFit="false"/>
      <protection locked="true" hidden="false"/>
    </xf>
    <xf numFmtId="166" fontId="15" fillId="5" borderId="1" xfId="0" applyFont="true" applyBorder="true" applyAlignment="true" applyProtection="false">
      <alignment horizontal="right" vertical="center" textRotation="0" wrapText="false" indent="0" shrinkToFit="false"/>
      <protection locked="true" hidden="false"/>
    </xf>
    <xf numFmtId="166" fontId="16" fillId="4" borderId="1" xfId="0" applyFont="true" applyBorder="true" applyAlignment="true" applyProtection="false">
      <alignment horizontal="right" vertical="center" textRotation="0" wrapText="false" indent="0" shrinkToFit="false"/>
      <protection locked="true" hidden="false"/>
    </xf>
    <xf numFmtId="164" fontId="13" fillId="3" borderId="1" xfId="0" applyFont="true" applyBorder="true" applyAlignment="true" applyProtection="false">
      <alignment horizontal="left" vertical="center" textRotation="0" wrapText="false" indent="0" shrinkToFit="false"/>
      <protection locked="true" hidden="false"/>
    </xf>
    <xf numFmtId="167" fontId="16" fillId="3" borderId="1" xfId="0" applyFont="true" applyBorder="true" applyAlignment="true" applyProtection="false">
      <alignment horizontal="right" vertical="center" textRotation="0" wrapText="false" indent="0" shrinkToFit="false"/>
      <protection locked="true" hidden="false"/>
    </xf>
    <xf numFmtId="164" fontId="13" fillId="5" borderId="1" xfId="0" applyFont="true" applyBorder="true" applyAlignment="true" applyProtection="false">
      <alignment horizontal="left" vertical="center" textRotation="0" wrapText="false" indent="0" shrinkToFit="false"/>
      <protection locked="true" hidden="false"/>
    </xf>
    <xf numFmtId="167" fontId="16" fillId="5" borderId="1" xfId="0" applyFont="true" applyBorder="true" applyAlignment="true" applyProtection="false">
      <alignment horizontal="right" vertical="center" textRotation="0" wrapText="false" indent="0" shrinkToFit="false"/>
      <protection locked="true" hidden="false"/>
    </xf>
    <xf numFmtId="164" fontId="19" fillId="2" borderId="0" xfId="0" applyFont="true" applyBorder="false" applyAlignment="true" applyProtection="false">
      <alignment horizontal="left" vertical="center" textRotation="0" wrapText="false" indent="0" shrinkToFit="false"/>
      <protection locked="true" hidden="false"/>
    </xf>
    <xf numFmtId="164" fontId="20" fillId="6" borderId="2" xfId="0" applyFont="true" applyBorder="true" applyAlignment="true" applyProtection="false">
      <alignment horizontal="center" vertical="center" textRotation="0" wrapText="false" indent="0" shrinkToFit="false"/>
      <protection locked="true" hidden="false"/>
    </xf>
    <xf numFmtId="170" fontId="13" fillId="2" borderId="0" xfId="0" applyFont="true" applyBorder="false" applyAlignment="true" applyProtection="false">
      <alignment horizontal="left" vertical="center" textRotation="0" wrapText="false" indent="0" shrinkToFit="false"/>
      <protection locked="true" hidden="false"/>
    </xf>
    <xf numFmtId="169" fontId="11" fillId="3" borderId="1" xfId="0" applyFont="true" applyBorder="true" applyAlignment="true" applyProtection="false">
      <alignment horizontal="center" vertical="center" textRotation="0" wrapText="false" indent="0" shrinkToFit="false"/>
      <protection locked="true" hidden="false"/>
    </xf>
    <xf numFmtId="168" fontId="21" fillId="3" borderId="1" xfId="20" applyFont="true" applyBorder="true" applyAlignment="true" applyProtection="false">
      <alignment horizontal="center" vertical="center" textRotation="0" wrapText="false" indent="0" shrinkToFit="false"/>
      <protection locked="true" hidden="false"/>
    </xf>
    <xf numFmtId="170" fontId="15" fillId="3" borderId="1" xfId="0" applyFont="true" applyBorder="true" applyAlignment="true" applyProtection="false">
      <alignment horizontal="left" vertical="center" textRotation="0" wrapText="false" indent="0" shrinkToFit="false"/>
      <protection locked="true" hidden="false"/>
    </xf>
    <xf numFmtId="171" fontId="15" fillId="3" borderId="1" xfId="0" applyFont="true" applyBorder="true" applyAlignment="true" applyProtection="false">
      <alignment horizontal="right" vertical="center" textRotation="0" wrapText="false" indent="0" shrinkToFit="false"/>
      <protection locked="true" hidden="false"/>
    </xf>
    <xf numFmtId="164" fontId="22" fillId="3" borderId="1" xfId="0" applyFont="true" applyBorder="true" applyAlignment="true" applyProtection="false">
      <alignment horizontal="center" vertical="center" textRotation="0" wrapText="false" indent="0" shrinkToFit="false"/>
      <protection locked="true" hidden="false"/>
    </xf>
    <xf numFmtId="170" fontId="15" fillId="5" borderId="1" xfId="0" applyFont="true" applyBorder="true" applyAlignment="true" applyProtection="false">
      <alignment horizontal="left" vertical="center" textRotation="0" wrapText="false" indent="0" shrinkToFit="false"/>
      <protection locked="true" hidden="false"/>
    </xf>
    <xf numFmtId="171" fontId="15" fillId="5" borderId="1" xfId="0" applyFont="true" applyBorder="true" applyAlignment="true" applyProtection="false">
      <alignment horizontal="right" vertical="center" textRotation="0" wrapText="false" indent="0" shrinkToFit="false"/>
      <protection locked="true" hidden="false"/>
    </xf>
    <xf numFmtId="164" fontId="22" fillId="5" borderId="1" xfId="0" applyFont="true" applyBorder="true" applyAlignment="true" applyProtection="false">
      <alignment horizontal="center" vertical="center" textRotation="0" wrapText="false" indent="0" shrinkToFit="false"/>
      <protection locked="true" hidden="false"/>
    </xf>
    <xf numFmtId="168" fontId="15" fillId="3" borderId="1" xfId="0" applyFont="true" applyBorder="true" applyAlignment="true" applyProtection="false">
      <alignment horizontal="left" vertical="center" textRotation="0" wrapText="false" indent="0" shrinkToFit="false"/>
      <protection locked="true" hidden="false"/>
    </xf>
    <xf numFmtId="168" fontId="13" fillId="3" borderId="1" xfId="0" applyFont="true" applyBorder="true" applyAlignment="true" applyProtection="false">
      <alignment horizontal="left" vertical="center" textRotation="0" wrapText="false" indent="0" shrinkToFit="false"/>
      <protection locked="true" hidden="false"/>
    </xf>
    <xf numFmtId="164" fontId="15" fillId="4" borderId="1" xfId="0" applyFont="true" applyBorder="true" applyAlignment="true" applyProtection="false">
      <alignment horizontal="left" vertical="center" textRotation="0" wrapText="false" indent="0" shrinkToFit="false"/>
      <protection locked="true" hidden="false"/>
    </xf>
    <xf numFmtId="171" fontId="16" fillId="4" borderId="1" xfId="0" applyFont="true" applyBorder="true" applyAlignment="true" applyProtection="false">
      <alignment horizontal="right" vertical="center" textRotation="0" wrapText="false" indent="0" shrinkToFit="false"/>
      <protection locked="true" hidden="false"/>
    </xf>
    <xf numFmtId="164" fontId="23" fillId="7" borderId="0" xfId="0" applyFont="true" applyBorder="true" applyAlignment="true" applyProtection="false">
      <alignment horizontal="left" vertical="center" textRotation="0" wrapText="false" indent="0" shrinkToFit="false"/>
      <protection locked="true" hidden="false"/>
    </xf>
    <xf numFmtId="164" fontId="19" fillId="3" borderId="1" xfId="0" applyFont="true" applyBorder="true" applyAlignment="true" applyProtection="false">
      <alignment horizontal="left" vertical="center" textRotation="0" wrapText="false" indent="0" shrinkToFit="false"/>
      <protection locked="true" hidden="false"/>
    </xf>
    <xf numFmtId="168" fontId="16" fillId="6" borderId="1" xfId="0" applyFont="true" applyBorder="true" applyAlignment="true" applyProtection="false">
      <alignment horizontal="left" vertical="center" textRotation="0" wrapText="false" indent="0" shrinkToFit="false"/>
      <protection locked="true" hidden="false"/>
    </xf>
    <xf numFmtId="170" fontId="16" fillId="6" borderId="1" xfId="0" applyFont="true" applyBorder="true" applyAlignment="true" applyProtection="false">
      <alignment horizontal="left" vertical="center" textRotation="0" wrapText="false" indent="0" shrinkToFit="false"/>
      <protection locked="true" hidden="false"/>
    </xf>
    <xf numFmtId="171" fontId="16" fillId="6" borderId="1" xfId="0" applyFont="true" applyBorder="true" applyAlignment="true" applyProtection="false">
      <alignment horizontal="left" vertical="center" textRotation="0" wrapText="false" indent="0" shrinkToFit="false"/>
      <protection locked="true" hidden="false"/>
    </xf>
    <xf numFmtId="167" fontId="16" fillId="6" borderId="1" xfId="0" applyFont="true" applyBorder="true" applyAlignment="true" applyProtection="false">
      <alignment horizontal="left" vertical="center" textRotation="0" wrapText="false" indent="0" shrinkToFit="false"/>
      <protection locked="true" hidden="false"/>
    </xf>
    <xf numFmtId="171" fontId="15" fillId="3" borderId="1" xfId="0" applyFont="true" applyBorder="true" applyAlignment="true" applyProtection="false">
      <alignment horizontal="left" vertical="center" textRotation="0" wrapText="false" indent="0" shrinkToFit="false"/>
      <protection locked="true" hidden="false"/>
    </xf>
    <xf numFmtId="167" fontId="15" fillId="3" borderId="1" xfId="0" applyFont="true" applyBorder="true" applyAlignment="true" applyProtection="false">
      <alignment horizontal="left" vertical="center" textRotation="0" wrapText="false" indent="0" shrinkToFit="false"/>
      <protection locked="true" hidden="false"/>
    </xf>
    <xf numFmtId="164" fontId="22" fillId="3" borderId="1" xfId="0" applyFont="true" applyBorder="true" applyAlignment="true" applyProtection="false">
      <alignment horizontal="left" vertical="center" textRotation="0" wrapText="false" indent="0" shrinkToFit="false"/>
      <protection locked="true" hidden="false"/>
    </xf>
    <xf numFmtId="164" fontId="16" fillId="6" borderId="1" xfId="0" applyFont="true" applyBorder="true" applyAlignment="true" applyProtection="false">
      <alignment horizontal="left" vertical="center" textRotation="0" wrapText="false" indent="0" shrinkToFit="false"/>
      <protection locked="true" hidden="false"/>
    </xf>
    <xf numFmtId="172" fontId="16" fillId="6" borderId="1" xfId="0" applyFont="true" applyBorder="true" applyAlignment="true" applyProtection="false">
      <alignment horizontal="right" vertical="center" textRotation="0" wrapText="false" indent="0" shrinkToFit="false"/>
      <protection locked="true" hidden="false"/>
    </xf>
    <xf numFmtId="164" fontId="16" fillId="6" borderId="1" xfId="0" applyFont="true" applyBorder="true" applyAlignment="true" applyProtection="false">
      <alignment horizontal="center" vertical="center" textRotation="0" wrapText="false" indent="0" shrinkToFit="false"/>
      <protection locked="true" hidden="false"/>
    </xf>
    <xf numFmtId="167" fontId="16" fillId="6" borderId="1" xfId="0" applyFont="true" applyBorder="true" applyAlignment="true" applyProtection="false">
      <alignment horizontal="right" vertical="center" textRotation="0" wrapText="false" indent="0" shrinkToFit="false"/>
      <protection locked="true" hidden="false"/>
    </xf>
    <xf numFmtId="167" fontId="13" fillId="3" borderId="1" xfId="0" applyFont="true" applyBorder="true" applyAlignment="true" applyProtection="false">
      <alignment horizontal="right" vertical="center" textRotation="0" wrapText="false" indent="0" shrinkToFit="false"/>
      <protection locked="true" hidden="false"/>
    </xf>
    <xf numFmtId="164" fontId="23" fillId="4" borderId="0" xfId="0" applyFont="true" applyBorder="true" applyAlignment="true" applyProtection="false">
      <alignment horizontal="left" vertical="center" textRotation="0" wrapText="false" indent="0" shrinkToFit="false"/>
      <protection locked="true" hidden="false"/>
    </xf>
    <xf numFmtId="172" fontId="15" fillId="3" borderId="1" xfId="0" applyFont="true" applyBorder="true" applyAlignment="true" applyProtection="false">
      <alignment horizontal="right" vertical="center" textRotation="0" wrapText="false" indent="0" shrinkToFit="false"/>
      <protection locked="true" hidden="false"/>
    </xf>
    <xf numFmtId="172" fontId="15" fillId="5" borderId="1" xfId="0" applyFont="true" applyBorder="true" applyAlignment="true" applyProtection="false">
      <alignment horizontal="right" vertical="center" textRotation="0" wrapText="false" indent="0" shrinkToFit="false"/>
      <protection locked="true" hidden="false"/>
    </xf>
    <xf numFmtId="168" fontId="13" fillId="5" borderId="1" xfId="0" applyFont="true" applyBorder="true" applyAlignment="true" applyProtection="false">
      <alignment horizontal="left" vertical="center"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5" fillId="8"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27" fillId="9" borderId="0" xfId="0" applyFont="true" applyBorder="false" applyAlignment="true" applyProtection="false">
      <alignment horizontal="center"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0" fontId="28" fillId="10" borderId="3" xfId="0" applyFont="true" applyBorder="true" applyAlignment="false" applyProtection="false">
      <alignment horizontal="general" vertical="bottom" textRotation="0" wrapText="false" indent="0" shrinkToFit="false"/>
      <protection locked="true" hidden="false"/>
    </xf>
    <xf numFmtId="164" fontId="28" fillId="10" borderId="4" xfId="0" applyFont="true" applyBorder="true" applyAlignment="false" applyProtection="false">
      <alignment horizontal="general" vertical="bottom" textRotation="0" wrapText="false" indent="0" shrinkToFit="false"/>
      <protection locked="true" hidden="false"/>
    </xf>
    <xf numFmtId="173" fontId="28" fillId="10" borderId="4" xfId="0" applyFont="true" applyBorder="true" applyAlignment="false" applyProtection="false">
      <alignment horizontal="general" vertical="bottom" textRotation="0" wrapText="false" indent="0" shrinkToFit="false"/>
      <protection locked="true" hidden="false"/>
    </xf>
    <xf numFmtId="174" fontId="28" fillId="10" borderId="4" xfId="0" applyFont="true" applyBorder="true" applyAlignment="false" applyProtection="false">
      <alignment horizontal="general" vertical="bottom" textRotation="0" wrapText="false" indent="0" shrinkToFit="false"/>
      <protection locked="true" hidden="false"/>
    </xf>
    <xf numFmtId="164" fontId="28" fillId="10" borderId="5" xfId="0" applyFont="true" applyBorder="true" applyAlignment="false" applyProtection="false">
      <alignment horizontal="general" vertical="bottom" textRotation="0" wrapText="false" indent="0" shrinkToFit="false"/>
      <protection locked="true" hidden="false"/>
    </xf>
    <xf numFmtId="170" fontId="28" fillId="11" borderId="6" xfId="0" applyFont="true" applyBorder="true" applyAlignment="false" applyProtection="false">
      <alignment horizontal="general" vertical="bottom" textRotation="0" wrapText="false" indent="0" shrinkToFit="false"/>
      <protection locked="true" hidden="false"/>
    </xf>
    <xf numFmtId="164" fontId="28" fillId="11" borderId="7" xfId="0" applyFont="true" applyBorder="true" applyAlignment="false" applyProtection="false">
      <alignment horizontal="general" vertical="bottom" textRotation="0" wrapText="false" indent="0" shrinkToFit="false"/>
      <protection locked="true" hidden="false"/>
    </xf>
    <xf numFmtId="173" fontId="28" fillId="11" borderId="7" xfId="0" applyFont="true" applyBorder="true" applyAlignment="false" applyProtection="false">
      <alignment horizontal="general" vertical="bottom" textRotation="0" wrapText="false" indent="0" shrinkToFit="false"/>
      <protection locked="true" hidden="false"/>
    </xf>
    <xf numFmtId="174" fontId="28" fillId="11" borderId="7" xfId="0" applyFont="true" applyBorder="true" applyAlignment="false" applyProtection="false">
      <alignment horizontal="general" vertical="bottom" textRotation="0" wrapText="false" indent="0" shrinkToFit="false"/>
      <protection locked="true" hidden="false"/>
    </xf>
    <xf numFmtId="164" fontId="28" fillId="11" borderId="8" xfId="0" applyFont="true" applyBorder="true" applyAlignment="false" applyProtection="false">
      <alignment horizontal="general" vertical="bottom" textRotation="0" wrapText="false" indent="0" shrinkToFit="false"/>
      <protection locked="true" hidden="false"/>
    </xf>
    <xf numFmtId="170" fontId="28" fillId="11" borderId="0" xfId="0" applyFont="true" applyBorder="false" applyAlignment="false" applyProtection="false">
      <alignment horizontal="general" vertical="bottom" textRotation="0" wrapText="false" indent="0" shrinkToFit="false"/>
      <protection locked="true" hidden="false"/>
    </xf>
    <xf numFmtId="164" fontId="28" fillId="11" borderId="0" xfId="0" applyFont="true" applyBorder="false" applyAlignment="false" applyProtection="false">
      <alignment horizontal="general" vertical="bottom" textRotation="0" wrapText="false" indent="0" shrinkToFit="false"/>
      <protection locked="true" hidden="false"/>
    </xf>
    <xf numFmtId="173" fontId="28" fillId="11" borderId="0" xfId="0" applyFont="true" applyBorder="false" applyAlignment="false" applyProtection="false">
      <alignment horizontal="general" vertical="bottom" textRotation="0" wrapText="false" indent="0" shrinkToFit="false"/>
      <protection locked="true" hidden="false"/>
    </xf>
    <xf numFmtId="174" fontId="28" fillId="11" borderId="0" xfId="0" applyFont="true" applyBorder="false" applyAlignment="false" applyProtection="false">
      <alignment horizontal="general" vertical="bottom" textRotation="0" wrapText="false" indent="0" shrinkToFit="false"/>
      <protection locked="true" hidden="false"/>
    </xf>
    <xf numFmtId="170" fontId="28" fillId="10" borderId="0" xfId="0" applyFont="true" applyBorder="false" applyAlignment="false" applyProtection="false">
      <alignment horizontal="general" vertical="bottom" textRotation="0" wrapText="false" indent="0" shrinkToFit="false"/>
      <protection locked="true" hidden="false"/>
    </xf>
    <xf numFmtId="164" fontId="28" fillId="10" borderId="0" xfId="0" applyFont="true" applyBorder="false" applyAlignment="false" applyProtection="false">
      <alignment horizontal="general" vertical="bottom" textRotation="0" wrapText="false" indent="0" shrinkToFit="false"/>
      <protection locked="true" hidden="false"/>
    </xf>
    <xf numFmtId="173" fontId="28" fillId="10" borderId="0" xfId="0" applyFont="true" applyBorder="false" applyAlignment="false" applyProtection="false">
      <alignment horizontal="general" vertical="bottom" textRotation="0" wrapText="false" indent="0" shrinkToFit="false"/>
      <protection locked="true" hidden="false"/>
    </xf>
    <xf numFmtId="174" fontId="28" fillId="10" borderId="0" xfId="0" applyFont="true" applyBorder="false" applyAlignment="false" applyProtection="false">
      <alignment horizontal="general" vertical="bottom" textRotation="0" wrapText="false" indent="0" shrinkToFit="false"/>
      <protection locked="true" hidden="false"/>
    </xf>
    <xf numFmtId="170" fontId="29" fillId="10" borderId="3" xfId="0" applyFont="true" applyBorder="true" applyAlignment="true" applyProtection="false">
      <alignment horizontal="general" vertical="center" textRotation="0" wrapText="false" indent="0" shrinkToFit="false"/>
      <protection locked="true" hidden="false"/>
    </xf>
    <xf numFmtId="164" fontId="29" fillId="10" borderId="4" xfId="0" applyFont="true" applyBorder="true" applyAlignment="true" applyProtection="false">
      <alignment horizontal="general" vertical="center" textRotation="0" wrapText="false" indent="0" shrinkToFit="false"/>
      <protection locked="true" hidden="false"/>
    </xf>
    <xf numFmtId="173" fontId="29" fillId="10" borderId="4" xfId="0" applyFont="true" applyBorder="true" applyAlignment="true" applyProtection="false">
      <alignment horizontal="general" vertical="center" textRotation="0" wrapText="false" indent="0" shrinkToFit="false"/>
      <protection locked="true" hidden="false"/>
    </xf>
    <xf numFmtId="164" fontId="30" fillId="10" borderId="4" xfId="0" applyFont="true" applyBorder="true" applyAlignment="true" applyProtection="false">
      <alignment horizontal="general" vertical="center" textRotation="0" wrapText="false" indent="0" shrinkToFit="false"/>
      <protection locked="true" hidden="false"/>
    </xf>
    <xf numFmtId="174" fontId="29" fillId="10" borderId="4" xfId="0" applyFont="true" applyBorder="true" applyAlignment="true" applyProtection="false">
      <alignment horizontal="general" vertical="center" textRotation="0" wrapText="false" indent="0" shrinkToFit="false"/>
      <protection locked="true" hidden="false"/>
    </xf>
    <xf numFmtId="164" fontId="29" fillId="10" borderId="5" xfId="0" applyFont="true" applyBorder="true" applyAlignment="true" applyProtection="false">
      <alignment horizontal="general" vertical="center" textRotation="0" wrapText="false" indent="0" shrinkToFit="false"/>
      <protection locked="true" hidden="false"/>
    </xf>
    <xf numFmtId="170" fontId="29" fillId="11" borderId="3" xfId="0" applyFont="true" applyBorder="true" applyAlignment="true" applyProtection="false">
      <alignment horizontal="general" vertical="center" textRotation="0" wrapText="false" indent="0" shrinkToFit="false"/>
      <protection locked="true" hidden="false"/>
    </xf>
    <xf numFmtId="164" fontId="29" fillId="11" borderId="4" xfId="0" applyFont="true" applyBorder="true" applyAlignment="true" applyProtection="false">
      <alignment horizontal="general" vertical="center" textRotation="0" wrapText="false" indent="0" shrinkToFit="false"/>
      <protection locked="true" hidden="false"/>
    </xf>
    <xf numFmtId="173" fontId="29" fillId="11" borderId="4" xfId="0" applyFont="true" applyBorder="true" applyAlignment="true" applyProtection="false">
      <alignment horizontal="general" vertical="center" textRotation="0" wrapText="false" indent="0" shrinkToFit="false"/>
      <protection locked="true" hidden="false"/>
    </xf>
    <xf numFmtId="174" fontId="29" fillId="11" borderId="4" xfId="0" applyFont="true" applyBorder="true" applyAlignment="true" applyProtection="false">
      <alignment horizontal="general" vertical="center" textRotation="0" wrapText="false" indent="0" shrinkToFit="false"/>
      <protection locked="true" hidden="false"/>
    </xf>
    <xf numFmtId="164" fontId="29" fillId="11" borderId="5" xfId="0" applyFont="true" applyBorder="true" applyAlignment="true" applyProtection="false">
      <alignment horizontal="general" vertical="center" textRotation="0" wrapText="false" indent="0" shrinkToFit="false"/>
      <protection locked="true" hidden="false"/>
    </xf>
    <xf numFmtId="170" fontId="29" fillId="10" borderId="6" xfId="0" applyFont="true" applyBorder="true" applyAlignment="true" applyProtection="false">
      <alignment horizontal="general" vertical="center" textRotation="0" wrapText="false" indent="0" shrinkToFit="false"/>
      <protection locked="true" hidden="false"/>
    </xf>
    <xf numFmtId="164" fontId="29" fillId="10" borderId="7" xfId="0" applyFont="true" applyBorder="true" applyAlignment="true" applyProtection="false">
      <alignment horizontal="general" vertical="center" textRotation="0" wrapText="false" indent="0" shrinkToFit="false"/>
      <protection locked="true" hidden="false"/>
    </xf>
    <xf numFmtId="173" fontId="29" fillId="10" borderId="7" xfId="0" applyFont="true" applyBorder="true" applyAlignment="true" applyProtection="false">
      <alignment horizontal="general" vertical="center" textRotation="0" wrapText="false" indent="0" shrinkToFit="false"/>
      <protection locked="true" hidden="false"/>
    </xf>
    <xf numFmtId="174" fontId="29" fillId="10" borderId="7" xfId="0" applyFont="true" applyBorder="true" applyAlignment="true" applyProtection="false">
      <alignment horizontal="general" vertical="center" textRotation="0" wrapText="false" indent="0" shrinkToFit="false"/>
      <protection locked="true" hidden="false"/>
    </xf>
    <xf numFmtId="164" fontId="29" fillId="10" borderId="8" xfId="0" applyFont="true" applyBorder="true" applyAlignment="true" applyProtection="false">
      <alignment horizontal="general" vertical="center" textRotation="0" wrapText="false" indent="0" shrinkToFit="false"/>
      <protection locked="true" hidden="false"/>
    </xf>
    <xf numFmtId="170" fontId="29" fillId="10" borderId="0" xfId="0" applyFont="true" applyBorder="false" applyAlignment="true" applyProtection="false">
      <alignment horizontal="general" vertical="center" textRotation="0" wrapText="false" indent="0" shrinkToFit="false"/>
      <protection locked="true" hidden="false"/>
    </xf>
    <xf numFmtId="164" fontId="29" fillId="10" borderId="0" xfId="0" applyFont="true" applyBorder="false" applyAlignment="true" applyProtection="false">
      <alignment horizontal="general" vertical="center" textRotation="0" wrapText="false" indent="0" shrinkToFit="false"/>
      <protection locked="true" hidden="false"/>
    </xf>
    <xf numFmtId="173" fontId="29" fillId="10" borderId="0" xfId="0" applyFont="true" applyBorder="false" applyAlignment="true" applyProtection="false">
      <alignment horizontal="general" vertical="center" textRotation="0" wrapText="false" indent="0" shrinkToFit="false"/>
      <protection locked="true" hidden="false"/>
    </xf>
    <xf numFmtId="174" fontId="29" fillId="10" borderId="0" xfId="0" applyFont="true" applyBorder="false" applyAlignment="true" applyProtection="false">
      <alignment horizontal="general" vertical="center" textRotation="0" wrapText="false" indent="0" shrinkToFit="false"/>
      <protection locked="true" hidden="false"/>
    </xf>
    <xf numFmtId="170" fontId="24" fillId="10" borderId="0" xfId="0" applyFont="true" applyBorder="false" applyAlignment="true" applyProtection="false">
      <alignment horizontal="center" vertical="bottom" textRotation="0" wrapText="false" indent="0" shrinkToFit="false"/>
      <protection locked="true" hidden="false"/>
    </xf>
    <xf numFmtId="164" fontId="24" fillId="10" borderId="0" xfId="0" applyFont="true" applyBorder="false" applyAlignment="true" applyProtection="false">
      <alignment horizontal="center" vertical="bottom" textRotation="0" wrapText="false" indent="0" shrinkToFit="false"/>
      <protection locked="true" hidden="false"/>
    </xf>
    <xf numFmtId="164" fontId="24" fillId="10" borderId="0" xfId="0" applyFont="true" applyBorder="false" applyAlignment="false" applyProtection="false">
      <alignment horizontal="general" vertical="bottom" textRotation="0" wrapText="false" indent="0" shrinkToFit="false"/>
      <protection locked="true" hidden="false"/>
    </xf>
    <xf numFmtId="173" fontId="24" fillId="10" borderId="0" xfId="0" applyFont="true" applyBorder="false" applyAlignment="true" applyProtection="false">
      <alignment horizontal="right" vertical="bottom" textRotation="0" wrapText="false" indent="0" shrinkToFit="false"/>
      <protection locked="true" hidden="false"/>
    </xf>
    <xf numFmtId="174" fontId="24" fillId="10" borderId="0" xfId="0" applyFont="true" applyBorder="false" applyAlignment="false" applyProtection="false">
      <alignment horizontal="general" vertical="bottom" textRotation="0" wrapText="false" indent="0" shrinkToFit="false"/>
      <protection locked="true" hidden="false"/>
    </xf>
    <xf numFmtId="170" fontId="24" fillId="11" borderId="0" xfId="0" applyFont="true" applyBorder="false" applyAlignment="true" applyProtection="false">
      <alignment horizontal="center" vertical="bottom" textRotation="0" wrapText="false" indent="0" shrinkToFit="false"/>
      <protection locked="true" hidden="false"/>
    </xf>
    <xf numFmtId="164" fontId="24" fillId="11" borderId="0" xfId="0" applyFont="true" applyBorder="false" applyAlignment="true" applyProtection="false">
      <alignment horizontal="center" vertical="bottom" textRotation="0" wrapText="false" indent="0" shrinkToFit="false"/>
      <protection locked="true" hidden="false"/>
    </xf>
    <xf numFmtId="164" fontId="24" fillId="11" borderId="0" xfId="0" applyFont="true" applyBorder="false" applyAlignment="false" applyProtection="false">
      <alignment horizontal="general" vertical="bottom" textRotation="0" wrapText="false" indent="0" shrinkToFit="false"/>
      <protection locked="true" hidden="false"/>
    </xf>
    <xf numFmtId="173" fontId="24" fillId="11" borderId="0" xfId="0" applyFont="true" applyBorder="false" applyAlignment="true" applyProtection="false">
      <alignment horizontal="right" vertical="bottom" textRotation="0" wrapText="false" indent="0" shrinkToFit="false"/>
      <protection locked="true" hidden="false"/>
    </xf>
    <xf numFmtId="174" fontId="24" fillId="11" borderId="0" xfId="0" applyFont="true" applyBorder="false" applyAlignment="false" applyProtection="false">
      <alignment horizontal="general" vertical="bottom" textRotation="0" wrapText="false" indent="0" shrinkToFit="false"/>
      <protection locked="true" hidden="false"/>
    </xf>
    <xf numFmtId="170" fontId="31" fillId="10" borderId="0" xfId="0" applyFont="true" applyBorder="false" applyAlignment="true" applyProtection="false">
      <alignment horizontal="center" vertical="bottom" textRotation="0" wrapText="false" indent="0" shrinkToFit="false"/>
      <protection locked="true" hidden="false"/>
    </xf>
    <xf numFmtId="164" fontId="31" fillId="10" borderId="0" xfId="0" applyFont="true" applyBorder="false" applyAlignment="true" applyProtection="false">
      <alignment horizontal="center" vertical="bottom" textRotation="0" wrapText="false" indent="0" shrinkToFit="false"/>
      <protection locked="true" hidden="false"/>
    </xf>
    <xf numFmtId="164" fontId="31" fillId="10" borderId="0" xfId="0" applyFont="true" applyBorder="false" applyAlignment="false" applyProtection="false">
      <alignment horizontal="general" vertical="bottom" textRotation="0" wrapText="false" indent="0" shrinkToFit="false"/>
      <protection locked="true" hidden="false"/>
    </xf>
    <xf numFmtId="173" fontId="31" fillId="10" borderId="0" xfId="0" applyFont="true" applyBorder="false" applyAlignment="true" applyProtection="false">
      <alignment horizontal="right" vertical="bottom" textRotation="0" wrapText="false" indent="0" shrinkToFit="false"/>
      <protection locked="true" hidden="false"/>
    </xf>
    <xf numFmtId="174" fontId="31" fillId="10" borderId="0" xfId="0" applyFont="true" applyBorder="false" applyAlignment="false" applyProtection="false">
      <alignment horizontal="general" vertical="bottom" textRotation="0" wrapText="false" indent="0" shrinkToFit="false"/>
      <protection locked="true" hidden="false"/>
    </xf>
    <xf numFmtId="170" fontId="31" fillId="11" borderId="0" xfId="0" applyFont="true" applyBorder="false" applyAlignment="true" applyProtection="false">
      <alignment horizontal="center" vertical="bottom" textRotation="0" wrapText="false" indent="0" shrinkToFit="false"/>
      <protection locked="true" hidden="false"/>
    </xf>
    <xf numFmtId="164" fontId="31" fillId="11" borderId="0" xfId="0" applyFont="true" applyBorder="false" applyAlignment="true" applyProtection="false">
      <alignment horizontal="center" vertical="bottom" textRotation="0" wrapText="false" indent="0" shrinkToFit="false"/>
      <protection locked="true" hidden="false"/>
    </xf>
    <xf numFmtId="164" fontId="31" fillId="11" borderId="0" xfId="0" applyFont="true" applyBorder="false" applyAlignment="false" applyProtection="false">
      <alignment horizontal="general" vertical="bottom" textRotation="0" wrapText="false" indent="0" shrinkToFit="false"/>
      <protection locked="true" hidden="false"/>
    </xf>
    <xf numFmtId="173" fontId="31" fillId="11" borderId="0" xfId="0" applyFont="true" applyBorder="false" applyAlignment="true" applyProtection="false">
      <alignment horizontal="right" vertical="bottom" textRotation="0" wrapText="false" indent="0" shrinkToFit="false"/>
      <protection locked="true" hidden="false"/>
    </xf>
    <xf numFmtId="174" fontId="31" fillId="11" borderId="0" xfId="0" applyFont="true" applyBorder="false" applyAlignment="false" applyProtection="false">
      <alignment horizontal="general" vertical="bottom" textRotation="0" wrapText="false" indent="0" shrinkToFit="false"/>
      <protection locked="true" hidden="false"/>
    </xf>
    <xf numFmtId="170" fontId="32" fillId="10" borderId="0" xfId="0" applyFont="true" applyBorder="false" applyAlignment="true" applyProtection="false">
      <alignment horizontal="center" vertical="bottom" textRotation="0" wrapText="false" indent="0" shrinkToFit="false"/>
      <protection locked="true" hidden="false"/>
    </xf>
    <xf numFmtId="164" fontId="32" fillId="10" borderId="0" xfId="0" applyFont="true" applyBorder="false" applyAlignment="true" applyProtection="false">
      <alignment horizontal="center" vertical="bottom" textRotation="0" wrapText="false" indent="0" shrinkToFit="false"/>
      <protection locked="true" hidden="false"/>
    </xf>
    <xf numFmtId="164" fontId="32" fillId="10" borderId="0" xfId="0" applyFont="true" applyBorder="false" applyAlignment="false" applyProtection="false">
      <alignment horizontal="general" vertical="bottom" textRotation="0" wrapText="false" indent="0" shrinkToFit="false"/>
      <protection locked="true" hidden="false"/>
    </xf>
    <xf numFmtId="173" fontId="32" fillId="10" borderId="0" xfId="0" applyFont="true" applyBorder="false" applyAlignment="true" applyProtection="false">
      <alignment horizontal="center" vertical="bottom" textRotation="0" wrapText="false" indent="0" shrinkToFit="false"/>
      <protection locked="true" hidden="false"/>
    </xf>
    <xf numFmtId="174" fontId="32" fillId="10" borderId="0" xfId="0" applyFont="true" applyBorder="false" applyAlignment="false" applyProtection="false">
      <alignment horizontal="general" vertical="bottom" textRotation="0" wrapText="false" indent="0" shrinkToFit="false"/>
      <protection locked="true" hidden="false"/>
    </xf>
    <xf numFmtId="170" fontId="24" fillId="0" borderId="0" xfId="0" applyFont="true" applyBorder="false" applyAlignment="false" applyProtection="false">
      <alignment horizontal="general" vertical="bottom" textRotation="0" wrapText="false" indent="0" shrinkToFit="false"/>
      <protection locked="true" hidden="false"/>
    </xf>
    <xf numFmtId="173" fontId="24" fillId="0" borderId="0" xfId="0" applyFont="true" applyBorder="false" applyAlignment="false" applyProtection="false">
      <alignment horizontal="general" vertical="bottom" textRotation="0" wrapText="false" indent="0" shrinkToFit="false"/>
      <protection locked="true" hidden="false"/>
    </xf>
    <xf numFmtId="174" fontId="24" fillId="0" borderId="0" xfId="0" applyFont="true" applyBorder="false" applyAlignment="false" applyProtection="false">
      <alignment horizontal="general" vertical="bottom" textRotation="0" wrapText="false" indent="0" shrinkToFit="false"/>
      <protection locked="true" hidden="false"/>
    </xf>
    <xf numFmtId="170" fontId="31" fillId="11" borderId="9" xfId="0" applyFont="true" applyBorder="true" applyAlignment="false" applyProtection="false">
      <alignment horizontal="general" vertical="bottom" textRotation="0" wrapText="false" indent="0" shrinkToFit="false"/>
      <protection locked="true" hidden="false"/>
    </xf>
    <xf numFmtId="164" fontId="31" fillId="11" borderId="10" xfId="0" applyFont="true" applyBorder="true" applyAlignment="false" applyProtection="false">
      <alignment horizontal="general" vertical="bottom" textRotation="0" wrapText="false" indent="0" shrinkToFit="false"/>
      <protection locked="true" hidden="false"/>
    </xf>
    <xf numFmtId="173" fontId="31" fillId="11" borderId="10" xfId="0" applyFont="true" applyBorder="true" applyAlignment="false" applyProtection="false">
      <alignment horizontal="general" vertical="bottom" textRotation="0" wrapText="false" indent="0" shrinkToFit="false"/>
      <protection locked="true" hidden="false"/>
    </xf>
    <xf numFmtId="174" fontId="31" fillId="11" borderId="10" xfId="0" applyFont="true" applyBorder="true" applyAlignment="false" applyProtection="false">
      <alignment horizontal="general" vertical="bottom" textRotation="0" wrapText="false" indent="0" shrinkToFit="false"/>
      <protection locked="true" hidden="false"/>
    </xf>
    <xf numFmtId="164" fontId="31" fillId="11" borderId="11" xfId="0" applyFont="true" applyBorder="true" applyAlignment="false" applyProtection="false">
      <alignment horizontal="general" vertical="bottom" textRotation="0" wrapText="false" indent="0" shrinkToFit="false"/>
      <protection locked="true" hidden="false"/>
    </xf>
    <xf numFmtId="170" fontId="31" fillId="10" borderId="6" xfId="0" applyFont="true" applyBorder="true" applyAlignment="false" applyProtection="false">
      <alignment horizontal="general" vertical="bottom" textRotation="0" wrapText="false" indent="0" shrinkToFit="false"/>
      <protection locked="true" hidden="false"/>
    </xf>
    <xf numFmtId="164" fontId="31" fillId="10" borderId="7" xfId="0" applyFont="true" applyBorder="true" applyAlignment="false" applyProtection="false">
      <alignment horizontal="general" vertical="bottom" textRotation="0" wrapText="false" indent="0" shrinkToFit="false"/>
      <protection locked="true" hidden="false"/>
    </xf>
    <xf numFmtId="173" fontId="31" fillId="10" borderId="7" xfId="0" applyFont="true" applyBorder="true" applyAlignment="false" applyProtection="false">
      <alignment horizontal="general" vertical="bottom" textRotation="0" wrapText="false" indent="0" shrinkToFit="false"/>
      <protection locked="true" hidden="false"/>
    </xf>
    <xf numFmtId="174" fontId="31" fillId="10" borderId="7" xfId="0" applyFont="true" applyBorder="true" applyAlignment="false" applyProtection="false">
      <alignment horizontal="general" vertical="bottom" textRotation="0" wrapText="false" indent="0" shrinkToFit="false"/>
      <protection locked="true" hidden="false"/>
    </xf>
    <xf numFmtId="164" fontId="31" fillId="10" borderId="8" xfId="0" applyFont="true" applyBorder="true" applyAlignment="false" applyProtection="false">
      <alignment horizontal="general" vertical="bottom" textRotation="0" wrapText="false" indent="0" shrinkToFit="false"/>
      <protection locked="true" hidden="false"/>
    </xf>
    <xf numFmtId="170" fontId="31" fillId="11" borderId="6" xfId="0" applyFont="true" applyBorder="true" applyAlignment="false" applyProtection="false">
      <alignment horizontal="general" vertical="bottom" textRotation="0" wrapText="false" indent="0" shrinkToFit="false"/>
      <protection locked="true" hidden="false"/>
    </xf>
    <xf numFmtId="164" fontId="31" fillId="11" borderId="7" xfId="0" applyFont="true" applyBorder="true" applyAlignment="false" applyProtection="false">
      <alignment horizontal="general" vertical="bottom" textRotation="0" wrapText="false" indent="0" shrinkToFit="false"/>
      <protection locked="true" hidden="false"/>
    </xf>
    <xf numFmtId="173" fontId="31" fillId="11" borderId="7" xfId="0" applyFont="true" applyBorder="true" applyAlignment="false" applyProtection="false">
      <alignment horizontal="general" vertical="bottom" textRotation="0" wrapText="false" indent="0" shrinkToFit="false"/>
      <protection locked="true" hidden="false"/>
    </xf>
    <xf numFmtId="174" fontId="31" fillId="11" borderId="7" xfId="0" applyFont="true" applyBorder="true" applyAlignment="false" applyProtection="false">
      <alignment horizontal="general" vertical="bottom" textRotation="0" wrapText="false" indent="0" shrinkToFit="false"/>
      <protection locked="true" hidden="false"/>
    </xf>
    <xf numFmtId="164" fontId="31" fillId="11" borderId="8" xfId="0" applyFont="true" applyBorder="true" applyAlignment="false" applyProtection="false">
      <alignment horizontal="general" vertical="bottom" textRotation="0" wrapText="false" indent="0" shrinkToFit="false"/>
      <protection locked="true" hidden="false"/>
    </xf>
    <xf numFmtId="170" fontId="31" fillId="11" borderId="3" xfId="0" applyFont="true" applyBorder="true" applyAlignment="false" applyProtection="false">
      <alignment horizontal="general" vertical="bottom" textRotation="0" wrapText="false" indent="0" shrinkToFit="false"/>
      <protection locked="true" hidden="false"/>
    </xf>
    <xf numFmtId="164" fontId="31" fillId="11" borderId="4" xfId="0" applyFont="true" applyBorder="true" applyAlignment="false" applyProtection="false">
      <alignment horizontal="general" vertical="bottom" textRotation="0" wrapText="false" indent="0" shrinkToFit="false"/>
      <protection locked="true" hidden="false"/>
    </xf>
    <xf numFmtId="173" fontId="31" fillId="11" borderId="4" xfId="0" applyFont="true" applyBorder="true" applyAlignment="false" applyProtection="false">
      <alignment horizontal="general" vertical="bottom" textRotation="0" wrapText="false" indent="0" shrinkToFit="false"/>
      <protection locked="true" hidden="false"/>
    </xf>
    <xf numFmtId="174" fontId="31" fillId="11" borderId="4" xfId="0" applyFont="true" applyBorder="true" applyAlignment="false" applyProtection="false">
      <alignment horizontal="general" vertical="bottom" textRotation="0" wrapText="false" indent="0" shrinkToFit="false"/>
      <protection locked="true" hidden="false"/>
    </xf>
    <xf numFmtId="164" fontId="31" fillId="11" borderId="5" xfId="0" applyFont="true" applyBorder="true" applyAlignment="false" applyProtection="false">
      <alignment horizontal="general" vertical="bottom" textRotation="0" wrapText="false" indent="0" shrinkToFit="false"/>
      <protection locked="true" hidden="false"/>
    </xf>
    <xf numFmtId="170" fontId="31" fillId="10" borderId="12" xfId="0" applyFont="true" applyBorder="true" applyAlignment="false" applyProtection="false">
      <alignment horizontal="general" vertical="bottom" textRotation="0" wrapText="false" indent="0" shrinkToFit="false"/>
      <protection locked="true" hidden="false"/>
    </xf>
    <xf numFmtId="164" fontId="31" fillId="10" borderId="13" xfId="0" applyFont="true" applyBorder="true" applyAlignment="false" applyProtection="false">
      <alignment horizontal="general" vertical="bottom" textRotation="0" wrapText="false" indent="0" shrinkToFit="false"/>
      <protection locked="true" hidden="false"/>
    </xf>
    <xf numFmtId="173" fontId="31" fillId="10" borderId="13" xfId="0" applyFont="true" applyBorder="true" applyAlignment="false" applyProtection="false">
      <alignment horizontal="general" vertical="bottom" textRotation="0" wrapText="false" indent="0" shrinkToFit="false"/>
      <protection locked="true" hidden="false"/>
    </xf>
    <xf numFmtId="174" fontId="31" fillId="10" borderId="13" xfId="0" applyFont="true" applyBorder="true" applyAlignment="false" applyProtection="false">
      <alignment horizontal="general" vertical="bottom" textRotation="0" wrapText="false" indent="0" shrinkToFit="false"/>
      <protection locked="true" hidden="false"/>
    </xf>
    <xf numFmtId="164" fontId="31" fillId="10" borderId="14" xfId="0" applyFont="true" applyBorder="true" applyAlignment="false" applyProtection="false">
      <alignment horizontal="general" vertical="bottom" textRotation="0" wrapText="false" indent="0" shrinkToFit="false"/>
      <protection locked="true" hidden="false"/>
    </xf>
    <xf numFmtId="170" fontId="31" fillId="11" borderId="12" xfId="0" applyFont="true" applyBorder="true" applyAlignment="false" applyProtection="false">
      <alignment horizontal="general" vertical="bottom" textRotation="0" wrapText="false" indent="0" shrinkToFit="false"/>
      <protection locked="true" hidden="false"/>
    </xf>
    <xf numFmtId="164" fontId="31" fillId="11" borderId="13" xfId="0" applyFont="true" applyBorder="true" applyAlignment="false" applyProtection="false">
      <alignment horizontal="general" vertical="bottom" textRotation="0" wrapText="false" indent="0" shrinkToFit="false"/>
      <protection locked="true" hidden="false"/>
    </xf>
    <xf numFmtId="173" fontId="31" fillId="11" borderId="13" xfId="0" applyFont="true" applyBorder="true" applyAlignment="false" applyProtection="false">
      <alignment horizontal="general" vertical="bottom" textRotation="0" wrapText="false" indent="0" shrinkToFit="false"/>
      <protection locked="true" hidden="false"/>
    </xf>
    <xf numFmtId="174" fontId="31" fillId="11" borderId="13" xfId="0" applyFont="true" applyBorder="true" applyAlignment="false" applyProtection="false">
      <alignment horizontal="general" vertical="bottom" textRotation="0" wrapText="false" indent="0" shrinkToFit="false"/>
      <protection locked="true" hidden="false"/>
    </xf>
    <xf numFmtId="164" fontId="31" fillId="11" borderId="14" xfId="0" applyFont="true" applyBorder="true" applyAlignment="false" applyProtection="false">
      <alignment horizontal="general" vertical="bottom" textRotation="0" wrapText="false" indent="0" shrinkToFit="false"/>
      <protection locked="true" hidden="false"/>
    </xf>
    <xf numFmtId="170" fontId="31" fillId="10" borderId="15" xfId="0" applyFont="true" applyBorder="true" applyAlignment="false" applyProtection="false">
      <alignment horizontal="general" vertical="bottom" textRotation="0" wrapText="false" indent="0" shrinkToFit="false"/>
      <protection locked="true" hidden="false"/>
    </xf>
    <xf numFmtId="164" fontId="31" fillId="10" borderId="16" xfId="0" applyFont="true" applyBorder="true" applyAlignment="false" applyProtection="false">
      <alignment horizontal="general" vertical="bottom" textRotation="0" wrapText="false" indent="0" shrinkToFit="false"/>
      <protection locked="true" hidden="false"/>
    </xf>
    <xf numFmtId="173" fontId="31" fillId="10" borderId="16" xfId="0" applyFont="true" applyBorder="true" applyAlignment="false" applyProtection="false">
      <alignment horizontal="general" vertical="bottom" textRotation="0" wrapText="false" indent="0" shrinkToFit="false"/>
      <protection locked="true" hidden="false"/>
    </xf>
    <xf numFmtId="174" fontId="31" fillId="10" borderId="16" xfId="0" applyFont="true" applyBorder="true" applyAlignment="false" applyProtection="false">
      <alignment horizontal="general" vertical="bottom" textRotation="0" wrapText="false" indent="0" shrinkToFit="false"/>
      <protection locked="true" hidden="false"/>
    </xf>
    <xf numFmtId="164" fontId="31" fillId="10" borderId="17" xfId="0" applyFont="true" applyBorder="true" applyAlignment="false" applyProtection="false">
      <alignment horizontal="general" vertical="bottom" textRotation="0" wrapText="false" indent="0" shrinkToFit="false"/>
      <protection locked="true" hidden="false"/>
    </xf>
    <xf numFmtId="170" fontId="31" fillId="11" borderId="0" xfId="0" applyFont="true" applyBorder="false" applyAlignment="false" applyProtection="false">
      <alignment horizontal="general" vertical="bottom" textRotation="0" wrapText="false" indent="0" shrinkToFit="false"/>
      <protection locked="true" hidden="false"/>
    </xf>
    <xf numFmtId="173" fontId="31" fillId="11" borderId="0" xfId="0" applyFont="true" applyBorder="false" applyAlignment="false" applyProtection="false">
      <alignment horizontal="general" vertical="bottom" textRotation="0" wrapText="false" indent="0" shrinkToFit="false"/>
      <protection locked="true" hidden="false"/>
    </xf>
    <xf numFmtId="170" fontId="31" fillId="10" borderId="0" xfId="0" applyFont="true" applyBorder="false" applyAlignment="false" applyProtection="false">
      <alignment horizontal="general" vertical="bottom" textRotation="0" wrapText="false" indent="0" shrinkToFit="false"/>
      <protection locked="true" hidden="false"/>
    </xf>
    <xf numFmtId="173" fontId="31" fillId="10" borderId="0" xfId="0" applyFont="true" applyBorder="false" applyAlignment="false" applyProtection="false">
      <alignment horizontal="general" vertical="bottom" textRotation="0" wrapText="false" indent="0" shrinkToFit="false"/>
      <protection locked="true" hidden="false"/>
    </xf>
    <xf numFmtId="175" fontId="31" fillId="11" borderId="0" xfId="0" applyFont="true" applyBorder="false" applyAlignment="false" applyProtection="false">
      <alignment horizontal="general" vertical="bottom" textRotation="0" wrapText="false" indent="0" shrinkToFit="false"/>
      <protection locked="true" hidden="false"/>
    </xf>
    <xf numFmtId="175" fontId="24"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left" vertical="center" textRotation="0" wrapText="false" indent="1" shrinkToFit="false"/>
      <protection locked="true" hidden="false"/>
    </xf>
    <xf numFmtId="164" fontId="6" fillId="3" borderId="0" xfId="0" applyFont="true" applyBorder="true" applyAlignment="true" applyProtection="false">
      <alignment horizontal="left" vertical="center" textRotation="0" wrapText="false" indent="1" shrinkToFit="false"/>
      <protection locked="true" hidden="false"/>
    </xf>
    <xf numFmtId="164" fontId="7" fillId="3" borderId="0" xfId="0" applyFont="true" applyBorder="true" applyAlignment="true" applyProtection="false">
      <alignment horizontal="left" vertical="center" textRotation="0" wrapText="false" indent="1" shrinkToFit="false"/>
      <protection locked="true" hidden="false"/>
    </xf>
    <xf numFmtId="164" fontId="8" fillId="3" borderId="0" xfId="0" applyFont="true" applyBorder="true" applyAlignment="true" applyProtection="false">
      <alignment horizontal="left" vertical="center" textRotation="0" wrapText="false" indent="1" shrinkToFit="false"/>
      <protection locked="true" hidden="false"/>
    </xf>
    <xf numFmtId="164" fontId="9" fillId="3" borderId="0" xfId="0" applyFont="true" applyBorder="true" applyAlignment="true" applyProtection="false">
      <alignment horizontal="left" vertical="center" textRotation="0" wrapText="false" indent="1" shrinkToFit="false"/>
      <protection locked="true" hidden="false"/>
    </xf>
    <xf numFmtId="164" fontId="33" fillId="3" borderId="0" xfId="0" applyFont="true" applyBorder="false" applyAlignment="true" applyProtection="false">
      <alignment horizontal="left" vertical="center" textRotation="0" wrapText="false" indent="1" shrinkToFit="false"/>
      <protection locked="true" hidden="false"/>
    </xf>
    <xf numFmtId="166" fontId="33" fillId="3" borderId="0" xfId="0" applyFont="true" applyBorder="true" applyAlignment="true" applyProtection="false">
      <alignment horizontal="left" vertical="center" textRotation="0" wrapText="false" indent="1" shrinkToFit="false"/>
      <protection locked="true" hidden="false"/>
    </xf>
    <xf numFmtId="167" fontId="33" fillId="3" borderId="0" xfId="0" applyFont="true" applyBorder="true" applyAlignment="true" applyProtection="false">
      <alignment horizontal="left" vertical="center" textRotation="0" wrapText="false" indent="1" shrinkToFit="false"/>
      <protection locked="true" hidden="false"/>
    </xf>
    <xf numFmtId="164" fontId="12" fillId="2" borderId="0" xfId="0" applyFont="true" applyBorder="true" applyAlignment="false" applyProtection="false">
      <alignment horizontal="general" vertical="bottom" textRotation="0" wrapText="false" indent="0" shrinkToFit="false"/>
      <protection locked="true" hidden="false"/>
    </xf>
    <xf numFmtId="164" fontId="13" fillId="2" borderId="0" xfId="0" applyFont="true" applyBorder="true" applyAlignment="false" applyProtection="false">
      <alignment horizontal="general" vertical="bottom" textRotation="0" wrapText="false" indent="0" shrinkToFit="false"/>
      <protection locked="true" hidden="false"/>
    </xf>
    <xf numFmtId="164" fontId="14" fillId="4" borderId="0" xfId="0" applyFont="true" applyBorder="false" applyAlignment="true" applyProtection="false">
      <alignment horizontal="left" vertical="center" textRotation="0" wrapText="false" indent="1" shrinkToFit="false"/>
      <protection locked="true" hidden="false"/>
    </xf>
    <xf numFmtId="164" fontId="14" fillId="4" borderId="0" xfId="0" applyFont="true" applyBorder="true" applyAlignment="true" applyProtection="false">
      <alignment horizontal="left" vertical="center" textRotation="0" wrapText="false" indent="1" shrinkToFit="false"/>
      <protection locked="true" hidden="false"/>
    </xf>
    <xf numFmtId="164" fontId="14" fillId="4" borderId="0" xfId="0" applyFont="true" applyBorder="false" applyAlignment="true" applyProtection="false">
      <alignment horizontal="right" vertical="center" textRotation="0" wrapText="false" indent="1" shrinkToFit="false"/>
      <protection locked="true" hidden="false"/>
    </xf>
    <xf numFmtId="164" fontId="14" fillId="4" borderId="0" xfId="0" applyFont="true" applyBorder="true" applyAlignment="true" applyProtection="false">
      <alignment horizontal="right" vertical="center" textRotation="0" wrapText="false" indent="1" shrinkToFit="false"/>
      <protection locked="true" hidden="false"/>
    </xf>
    <xf numFmtId="164" fontId="15" fillId="3" borderId="0" xfId="0" applyFont="true" applyBorder="false" applyAlignment="true" applyProtection="false">
      <alignment horizontal="left" vertical="center" textRotation="0" wrapText="false" indent="1" shrinkToFit="false"/>
      <protection locked="true" hidden="false"/>
    </xf>
    <xf numFmtId="164" fontId="15" fillId="3" borderId="0" xfId="0" applyFont="true" applyBorder="true" applyAlignment="true" applyProtection="false">
      <alignment horizontal="left" vertical="center" textRotation="0" wrapText="false" indent="1" shrinkToFit="false"/>
      <protection locked="true" hidden="false"/>
    </xf>
    <xf numFmtId="167" fontId="34" fillId="3" borderId="0" xfId="0" applyFont="true" applyBorder="false" applyAlignment="true" applyProtection="false">
      <alignment horizontal="right" vertical="center" textRotation="0" wrapText="false" indent="1" shrinkToFit="false"/>
      <protection locked="true" hidden="false"/>
    </xf>
    <xf numFmtId="167" fontId="15" fillId="3" borderId="0" xfId="0" applyFont="true" applyBorder="false" applyAlignment="true" applyProtection="false">
      <alignment horizontal="right" vertical="center" textRotation="0" wrapText="false" indent="1" shrinkToFit="false"/>
      <protection locked="true" hidden="false"/>
    </xf>
    <xf numFmtId="167" fontId="16" fillId="3" borderId="0" xfId="0" applyFont="true" applyBorder="true" applyAlignment="true" applyProtection="false">
      <alignment horizontal="right" vertical="center" textRotation="0" wrapText="false" indent="1" shrinkToFit="false"/>
      <protection locked="true" hidden="false"/>
    </xf>
    <xf numFmtId="164" fontId="15" fillId="5" borderId="0" xfId="0" applyFont="true" applyBorder="false" applyAlignment="true" applyProtection="false">
      <alignment horizontal="left" vertical="center" textRotation="0" wrapText="false" indent="1" shrinkToFit="false"/>
      <protection locked="true" hidden="false"/>
    </xf>
    <xf numFmtId="164" fontId="15" fillId="5" borderId="0" xfId="0" applyFont="true" applyBorder="true" applyAlignment="true" applyProtection="false">
      <alignment horizontal="left" vertical="center" textRotation="0" wrapText="false" indent="1" shrinkToFit="false"/>
      <protection locked="true" hidden="false"/>
    </xf>
    <xf numFmtId="167" fontId="34" fillId="5" borderId="0" xfId="0" applyFont="true" applyBorder="false" applyAlignment="true" applyProtection="false">
      <alignment horizontal="right" vertical="center" textRotation="0" wrapText="false" indent="1" shrinkToFit="false"/>
      <protection locked="true" hidden="false"/>
    </xf>
    <xf numFmtId="167" fontId="15" fillId="5" borderId="0" xfId="0" applyFont="true" applyBorder="false" applyAlignment="true" applyProtection="false">
      <alignment horizontal="right" vertical="center" textRotation="0" wrapText="false" indent="1" shrinkToFit="false"/>
      <protection locked="true" hidden="false"/>
    </xf>
    <xf numFmtId="167" fontId="16" fillId="5" borderId="0" xfId="0" applyFont="true" applyBorder="true" applyAlignment="true" applyProtection="false">
      <alignment horizontal="right" vertical="center" textRotation="0" wrapText="false" indent="1" shrinkToFit="false"/>
      <protection locked="true" hidden="false"/>
    </xf>
    <xf numFmtId="164" fontId="14" fillId="4" borderId="0" xfId="0" applyFont="true" applyBorder="false" applyAlignment="true" applyProtection="false">
      <alignment horizontal="left" vertical="center" textRotation="0" wrapText="true" indent="1" shrinkToFit="false"/>
      <protection locked="true" hidden="false"/>
    </xf>
    <xf numFmtId="164" fontId="14" fillId="4" borderId="0" xfId="0" applyFont="true" applyBorder="false" applyAlignment="true" applyProtection="false">
      <alignment horizontal="right" vertical="center" textRotation="0" wrapText="true" indent="1" shrinkToFit="false"/>
      <protection locked="true" hidden="false"/>
    </xf>
    <xf numFmtId="164" fontId="5" fillId="3" borderId="0" xfId="0" applyFont="true" applyBorder="false" applyAlignment="true" applyProtection="false">
      <alignment horizontal="left" vertical="center" textRotation="0" wrapText="false" indent="1" shrinkToFit="false"/>
      <protection locked="true" hidden="false"/>
    </xf>
    <xf numFmtId="176" fontId="5" fillId="3" borderId="0" xfId="0" applyFont="true" applyBorder="false" applyAlignment="true" applyProtection="false">
      <alignment horizontal="right" vertical="center" textRotation="0" wrapText="false" indent="1" shrinkToFit="false"/>
      <protection locked="true" hidden="false"/>
    </xf>
    <xf numFmtId="167" fontId="22" fillId="3" borderId="0" xfId="0" applyFont="true" applyBorder="false" applyAlignment="true" applyProtection="false">
      <alignment horizontal="right" vertical="center" textRotation="0" wrapText="false" indent="1" shrinkToFit="false"/>
      <protection locked="true" hidden="false"/>
    </xf>
    <xf numFmtId="169" fontId="15" fillId="3" borderId="0" xfId="0" applyFont="true" applyBorder="false" applyAlignment="true" applyProtection="false">
      <alignment horizontal="right" vertical="center" textRotation="0" wrapText="false" indent="1" shrinkToFit="false"/>
      <protection locked="true" hidden="false"/>
    </xf>
    <xf numFmtId="164" fontId="5" fillId="5" borderId="0" xfId="0" applyFont="true" applyBorder="false" applyAlignment="true" applyProtection="false">
      <alignment horizontal="left" vertical="center" textRotation="0" wrapText="false" indent="1" shrinkToFit="false"/>
      <protection locked="true" hidden="false"/>
    </xf>
    <xf numFmtId="176" fontId="5" fillId="5" borderId="0" xfId="0" applyFont="true" applyBorder="false" applyAlignment="true" applyProtection="false">
      <alignment horizontal="right" vertical="center" textRotation="0" wrapText="false" indent="1" shrinkToFit="false"/>
      <protection locked="true" hidden="false"/>
    </xf>
    <xf numFmtId="167" fontId="22" fillId="5" borderId="0" xfId="0" applyFont="true" applyBorder="false" applyAlignment="true" applyProtection="false">
      <alignment horizontal="right" vertical="center" textRotation="0" wrapText="false" indent="1" shrinkToFit="false"/>
      <protection locked="true" hidden="false"/>
    </xf>
    <xf numFmtId="169" fontId="15" fillId="5" borderId="0" xfId="0" applyFont="true" applyBorder="false" applyAlignment="true" applyProtection="false">
      <alignment horizontal="right" vertical="center" textRotation="0" wrapText="false" indent="1" shrinkToFit="false"/>
      <protection locked="true" hidden="false"/>
    </xf>
    <xf numFmtId="164" fontId="35" fillId="2" borderId="0" xfId="0" applyFont="true" applyBorder="true" applyAlignment="false" applyProtection="false">
      <alignment horizontal="general" vertical="bottom" textRotation="0" wrapText="false" indent="0" shrinkToFit="false"/>
      <protection locked="true" hidden="false"/>
    </xf>
    <xf numFmtId="164" fontId="36" fillId="8" borderId="0"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6" fillId="9"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70" fontId="13" fillId="0" borderId="0" xfId="0" applyFont="true" applyBorder="false" applyAlignment="true" applyProtection="false">
      <alignment horizontal="left"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10">
    <dxf>
      <font>
        <name val="Arial"/>
        <charset val="1"/>
        <family val="0"/>
        <b val="1"/>
        <color rgb="FFF85149"/>
        <sz val="10"/>
      </font>
    </dxf>
    <dxf>
      <font>
        <name val="Arial"/>
        <charset val="1"/>
        <family val="0"/>
        <b val="1"/>
        <color rgb="FF3FB950"/>
        <sz val="10"/>
      </font>
    </dxf>
    <dxf>
      <font>
        <name val="Arial"/>
        <charset val="1"/>
        <family val="0"/>
        <color rgb="FF8B949E"/>
        <sz val="10"/>
      </font>
    </dxf>
    <dxf>
      <fill>
        <patternFill patternType="solid">
          <fgColor rgb="FF007570"/>
          <bgColor rgb="FF000000"/>
        </patternFill>
      </fill>
    </dxf>
    <dxf>
      <fill>
        <patternFill patternType="solid">
          <fgColor rgb="FFD9E1F2"/>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ont>
        <name val="Arial"/>
        <charset val="1"/>
        <family val="0"/>
        <b val="1"/>
        <color rgb="FF3FB950"/>
        <sz val="10"/>
      </font>
    </dxf>
    <dxf>
      <font>
        <name val="Arial"/>
        <charset val="1"/>
        <family val="0"/>
        <b val="1"/>
        <color rgb="FFF85149"/>
        <sz val="10"/>
      </font>
    </dxf>
  </dxfs>
  <colors>
    <indexedColors>
      <rgbColor rgb="FF000000"/>
      <rgbColor rgb="FFFFFFFF"/>
      <rgbColor rgb="FFFF0000"/>
      <rgbColor rgb="FF00FF00"/>
      <rgbColor rgb="FF0000FF"/>
      <rgbColor rgb="FFFFFF00"/>
      <rgbColor rgb="FFFF00FF"/>
      <rgbColor rgb="FF00FFFF"/>
      <rgbColor rgb="FF800000"/>
      <rgbColor rgb="FF008000"/>
      <rgbColor rgb="FF0D1117"/>
      <rgbColor rgb="FF808000"/>
      <rgbColor rgb="FF800080"/>
      <rgbColor rgb="FF007570"/>
      <rgbColor rgb="FFBC8CFF"/>
      <rgbColor rgb="FF58A6FF"/>
      <rgbColor rgb="FF8EA9DB"/>
      <rgbColor rgb="FF993366"/>
      <rgbColor rgb="FFFFFFCC"/>
      <rgbColor rgb="FFE6EDF3"/>
      <rgbColor rgb="FF660066"/>
      <rgbColor rgb="FFFF7B72"/>
      <rgbColor rgb="FF0563C1"/>
      <rgbColor rgb="FFD9E1F2"/>
      <rgbColor rgb="FF161B22"/>
      <rgbColor rgb="FFFF00FF"/>
      <rgbColor rgb="FFFFFF00"/>
      <rgbColor rgb="FF00FFFF"/>
      <rgbColor rgb="FF800080"/>
      <rgbColor rgb="FF800000"/>
      <rgbColor rgb="FF008080"/>
      <rgbColor rgb="FF0000FF"/>
      <rgbColor rgb="FF00CCFF"/>
      <rgbColor rgb="FFCCFFFF"/>
      <rgbColor rgb="FFCCFFCC"/>
      <rgbColor rgb="FFFFFF99"/>
      <rgbColor rgb="FF79C0FF"/>
      <rgbColor rgb="FFF778BA"/>
      <rgbColor rgb="FFD2A8FF"/>
      <rgbColor rgb="FFFFA657"/>
      <rgbColor rgb="FF4472C4"/>
      <rgbColor rgb="FF56D4DD"/>
      <rgbColor rgb="FF7EE787"/>
      <rgbColor rgb="FFE3B341"/>
      <rgbColor rgb="FFF0883E"/>
      <rgbColor rgb="FFF85149"/>
      <rgbColor rgb="FF4B5563"/>
      <rgbColor rgb="FF8B949E"/>
      <rgbColor rgb="FF1C2E4A"/>
      <rgbColor rgb="FF3FB950"/>
      <rgbColor rgb="FF1C2128"/>
      <rgbColor rgb="FF3A3000"/>
      <rgbColor rgb="FF993300"/>
      <rgbColor rgb="FF993366"/>
      <rgbColor rgb="FF2D2A00"/>
      <rgbColor rgb="FF3036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pt-BR" sz="1200" spc="-1" strike="noStrike">
                <a:solidFill>
                  <a:srgbClr val="e6edf3"/>
                </a:solidFill>
                <a:latin typeface="Calibri"/>
              </a:defRPr>
            </a:pPr>
            <a:r>
              <a:rPr b="1" lang="pt-BR" sz="1200" spc="-1" strike="noStrike">
                <a:solidFill>
                  <a:srgbClr val="e6edf3"/>
                </a:solidFill>
                <a:latin typeface="Calibri"/>
              </a:rPr>
              <a:t>Gasto por categoria (R$)</a:t>
            </a:r>
          </a:p>
        </c:rich>
      </c:tx>
      <c:overlay val="0"/>
      <c:spPr>
        <a:noFill/>
        <a:ln w="0">
          <a:noFill/>
        </a:ln>
      </c:spPr>
    </c:title>
    <c:autoTitleDeleted val="0"/>
    <c:plotArea>
      <c:barChart>
        <c:barDir val="bar"/>
        <c:grouping val="clustered"/>
        <c:varyColors val="0"/>
        <c:ser>
          <c:idx val="0"/>
          <c:order val="0"/>
          <c:tx>
            <c:strRef>
              <c:f>Painel!$C$12</c:f>
              <c:strCache>
                <c:ptCount val="1"/>
                <c:pt idx="0">
                  <c:v>Total</c:v>
                </c:pt>
              </c:strCache>
            </c:strRef>
          </c:tx>
          <c:spPr>
            <a:solidFill>
              <a:srgbClr val="58a6ff"/>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Painel!$B$13:$B$28</c:f>
              <c:strCache>
                <c:ptCount val="16"/>
                <c:pt idx="0">
                  <c:v>Mercearia</c:v>
                </c:pt>
                <c:pt idx="1">
                  <c:v>Laticinios</c:v>
                </c:pt>
                <c:pt idx="2">
                  <c:v>Padaria</c:v>
                </c:pt>
                <c:pt idx="3">
                  <c:v>Hortifruti</c:v>
                </c:pt>
                <c:pt idx="4">
                  <c:v>Bebidas</c:v>
                </c:pt>
                <c:pt idx="5">
                  <c:v>Carnes</c:v>
                </c:pt>
                <c:pt idx="6">
                  <c:v>Higiene</c:v>
                </c:pt>
                <c:pt idx="7">
                  <c:v>Limpeza</c:v>
                </c:pt>
                <c:pt idx="8">
                  <c:v>Laticínios</c:v>
                </c:pt>
                <c:pt idx="9">
                  <c:v>Saúde</c:v>
                </c:pt>
                <c:pt idx="10">
                  <c:v>Pet</c:v>
                </c:pt>
                <c:pt idx="11">
                  <c:v>Café</c:v>
                </c:pt>
                <c:pt idx="12">
                  <c:v>Rotisseria</c:v>
                </c:pt>
                <c:pt idx="13">
                  <c:v>Frios</c:v>
                </c:pt>
                <c:pt idx="14">
                  <c:v>Açougue</c:v>
                </c:pt>
                <c:pt idx="15">
                  <c:v>Frutas</c:v>
                </c:pt>
              </c:strCache>
            </c:strRef>
          </c:cat>
          <c:val>
            <c:numRef>
              <c:f>Painel!$C$13:$C$28</c:f>
              <c:numCache>
                <c:formatCode>"R$ "#,##0.00;"-R$ "#,##0.00;\—</c:formatCode>
                <c:ptCount val="16"/>
                <c:pt idx="0">
                  <c:v>2590.26</c:v>
                </c:pt>
                <c:pt idx="1">
                  <c:v>871.89</c:v>
                </c:pt>
                <c:pt idx="2">
                  <c:v>845.46</c:v>
                </c:pt>
                <c:pt idx="3">
                  <c:v>547.56</c:v>
                </c:pt>
                <c:pt idx="4">
                  <c:v>311.84</c:v>
                </c:pt>
                <c:pt idx="5">
                  <c:v>205.97</c:v>
                </c:pt>
                <c:pt idx="6">
                  <c:v>164.96</c:v>
                </c:pt>
                <c:pt idx="7">
                  <c:v>141.39</c:v>
                </c:pt>
                <c:pt idx="8">
                  <c:v>73.92</c:v>
                </c:pt>
                <c:pt idx="9">
                  <c:v>51.15</c:v>
                </c:pt>
                <c:pt idx="10">
                  <c:v>43.81</c:v>
                </c:pt>
                <c:pt idx="11">
                  <c:v>34.6</c:v>
                </c:pt>
                <c:pt idx="12">
                  <c:v>33.7</c:v>
                </c:pt>
                <c:pt idx="13">
                  <c:v>30.57</c:v>
                </c:pt>
                <c:pt idx="14">
                  <c:v>11.1</c:v>
                </c:pt>
                <c:pt idx="15">
                  <c:v>5.04</c:v>
                </c:pt>
              </c:numCache>
            </c:numRef>
          </c:val>
        </c:ser>
        <c:gapWidth val="60"/>
        <c:overlap val="0"/>
        <c:axId val="16486817"/>
        <c:axId val="61816443"/>
      </c:barChart>
      <c:catAx>
        <c:axId val="16486817"/>
        <c:scaling>
          <c:orientation val="minMax"/>
        </c:scaling>
        <c:delete val="0"/>
        <c:axPos val="b"/>
        <c:numFmt formatCode="General" sourceLinked="0"/>
        <c:majorTickMark val="none"/>
        <c:minorTickMark val="none"/>
        <c:tickLblPos val="nextTo"/>
        <c:spPr>
          <a:ln w="6480">
            <a:solidFill>
              <a:srgbClr val="30363d"/>
            </a:solidFill>
            <a:round/>
          </a:ln>
        </c:spPr>
        <c:txPr>
          <a:bodyPr/>
          <a:lstStyle/>
          <a:p>
            <a:pPr>
              <a:defRPr b="0" sz="850" spc="-1" strike="noStrike">
                <a:solidFill>
                  <a:srgbClr val="8b949e"/>
                </a:solidFill>
                <a:latin typeface="Calibri"/>
              </a:defRPr>
            </a:pPr>
          </a:p>
        </c:txPr>
        <c:crossAx val="61816443"/>
        <c:crosses val="autoZero"/>
        <c:auto val="1"/>
        <c:lblAlgn val="ctr"/>
        <c:lblOffset val="100"/>
        <c:noMultiLvlLbl val="0"/>
      </c:catAx>
      <c:valAx>
        <c:axId val="61816443"/>
        <c:scaling>
          <c:orientation val="minMax"/>
        </c:scaling>
        <c:delete val="0"/>
        <c:axPos val="l"/>
        <c:majorGridlines>
          <c:spPr>
            <a:ln w="6480">
              <a:solidFill>
                <a:srgbClr val="30363d"/>
              </a:solidFill>
              <a:round/>
            </a:ln>
          </c:spPr>
        </c:majorGridlines>
        <c:numFmt formatCode="&quot;R$ &quot;#,##0.00;&quot;-R$ &quot;#,##0.00;\—" sourceLinked="0"/>
        <c:majorTickMark val="none"/>
        <c:minorTickMark val="none"/>
        <c:tickLblPos val="nextTo"/>
        <c:spPr>
          <a:ln w="6480">
            <a:solidFill>
              <a:srgbClr val="30363d"/>
            </a:solidFill>
            <a:round/>
          </a:ln>
        </c:spPr>
        <c:txPr>
          <a:bodyPr/>
          <a:lstStyle/>
          <a:p>
            <a:pPr>
              <a:defRPr b="0" sz="850" spc="-1" strike="noStrike">
                <a:solidFill>
                  <a:srgbClr val="8b949e"/>
                </a:solidFill>
                <a:latin typeface="Calibri"/>
              </a:defRPr>
            </a:pPr>
          </a:p>
        </c:txPr>
        <c:crossAx val="16486817"/>
        <c:crosses val="autoZero"/>
        <c:crossBetween val="between"/>
      </c:valAx>
      <c:spPr>
        <a:noFill/>
        <a:ln w="0">
          <a:noFill/>
        </a:ln>
      </c:spPr>
    </c:plotArea>
    <c:plotVisOnly val="1"/>
    <c:dispBlanksAs val="gap"/>
  </c:chart>
  <c:spPr>
    <a:solidFill>
      <a:srgbClr val="161b22"/>
    </a:solidFill>
    <a:ln w="9360">
      <a:solidFill>
        <a:srgbClr val="30363d"/>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pt-BR" sz="1200" spc="-1" strike="noStrike">
                <a:solidFill>
                  <a:srgbClr val="e6edf3"/>
                </a:solidFill>
                <a:latin typeface="Calibri"/>
              </a:defRPr>
            </a:pPr>
            <a:r>
              <a:rPr b="1" lang="pt-BR" sz="1200" spc="-1" strike="noStrike">
                <a:solidFill>
                  <a:srgbClr val="e6edf3"/>
                </a:solidFill>
                <a:latin typeface="Calibri"/>
              </a:rPr>
              <a:t>Gasto por mês (R$)</a:t>
            </a:r>
          </a:p>
        </c:rich>
      </c:tx>
      <c:overlay val="0"/>
      <c:spPr>
        <a:noFill/>
        <a:ln w="0">
          <a:noFill/>
        </a:ln>
      </c:spPr>
    </c:title>
    <c:autoTitleDeleted val="0"/>
    <c:plotArea>
      <c:barChart>
        <c:barDir val="col"/>
        <c:grouping val="clustered"/>
        <c:varyColors val="0"/>
        <c:ser>
          <c:idx val="0"/>
          <c:order val="0"/>
          <c:tx>
            <c:strRef>
              <c:f>Painel!$C$35</c:f>
              <c:strCache>
                <c:ptCount val="1"/>
                <c:pt idx="0">
                  <c:v>Total</c:v>
                </c:pt>
              </c:strCache>
            </c:strRef>
          </c:tx>
          <c:spPr>
            <a:solidFill>
              <a:srgbClr val="3fb950"/>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Painel!$B$36:$B$47</c:f>
              <c:strCache>
                <c:ptCount val="12"/>
                <c:pt idx="0">
                  <c:v>mai/2026</c:v>
                </c:pt>
                <c:pt idx="1">
                  <c:v>jun/2026</c:v>
                </c:pt>
                <c:pt idx="2">
                  <c:v>jul/2026</c:v>
                </c:pt>
                <c:pt idx="3">
                  <c:v>ago/2026</c:v>
                </c:pt>
                <c:pt idx="4">
                  <c:v/>
                </c:pt>
                <c:pt idx="5">
                  <c:v/>
                </c:pt>
                <c:pt idx="6">
                  <c:v/>
                </c:pt>
                <c:pt idx="7">
                  <c:v/>
                </c:pt>
                <c:pt idx="8">
                  <c:v/>
                </c:pt>
                <c:pt idx="9">
                  <c:v/>
                </c:pt>
                <c:pt idx="10">
                  <c:v/>
                </c:pt>
                <c:pt idx="11">
                  <c:v/>
                </c:pt>
              </c:strCache>
            </c:strRef>
          </c:cat>
          <c:val>
            <c:numRef>
              <c:f>Painel!$C$36:$C$47</c:f>
              <c:numCache>
                <c:formatCode>"R$ "#,##0.00;"-R$ "#,##0.00;\—</c:formatCode>
                <c:ptCount val="12"/>
                <c:pt idx="0">
                  <c:v>2153.03</c:v>
                </c:pt>
                <c:pt idx="1">
                  <c:v>1585.03</c:v>
                </c:pt>
                <c:pt idx="2">
                  <c:v>1969.23</c:v>
                </c:pt>
                <c:pt idx="3">
                  <c:v>255.93</c:v>
                </c:pt>
              </c:numCache>
            </c:numRef>
          </c:val>
        </c:ser>
        <c:gapWidth val="45"/>
        <c:overlap val="0"/>
        <c:axId val="69718312"/>
        <c:axId val="81279734"/>
      </c:barChart>
      <c:catAx>
        <c:axId val="69718312"/>
        <c:scaling>
          <c:orientation val="minMax"/>
        </c:scaling>
        <c:delete val="0"/>
        <c:axPos val="b"/>
        <c:numFmt formatCode="General" sourceLinked="0"/>
        <c:majorTickMark val="none"/>
        <c:minorTickMark val="none"/>
        <c:tickLblPos val="nextTo"/>
        <c:spPr>
          <a:ln w="6480">
            <a:solidFill>
              <a:srgbClr val="30363d"/>
            </a:solidFill>
            <a:round/>
          </a:ln>
        </c:spPr>
        <c:txPr>
          <a:bodyPr/>
          <a:lstStyle/>
          <a:p>
            <a:pPr>
              <a:defRPr b="0" sz="850" spc="-1" strike="noStrike">
                <a:solidFill>
                  <a:srgbClr val="8b949e"/>
                </a:solidFill>
                <a:latin typeface="Calibri"/>
              </a:defRPr>
            </a:pPr>
          </a:p>
        </c:txPr>
        <c:crossAx val="81279734"/>
        <c:crosses val="autoZero"/>
        <c:auto val="1"/>
        <c:lblAlgn val="ctr"/>
        <c:lblOffset val="100"/>
        <c:noMultiLvlLbl val="0"/>
      </c:catAx>
      <c:valAx>
        <c:axId val="81279734"/>
        <c:scaling>
          <c:orientation val="minMax"/>
        </c:scaling>
        <c:delete val="0"/>
        <c:axPos val="l"/>
        <c:majorGridlines>
          <c:spPr>
            <a:ln w="6480">
              <a:solidFill>
                <a:srgbClr val="30363d"/>
              </a:solidFill>
              <a:round/>
            </a:ln>
          </c:spPr>
        </c:majorGridlines>
        <c:numFmt formatCode="&quot;R$ &quot;#,##0.00;&quot;-R$ &quot;#,##0.00;\—" sourceLinked="0"/>
        <c:majorTickMark val="none"/>
        <c:minorTickMark val="none"/>
        <c:tickLblPos val="nextTo"/>
        <c:spPr>
          <a:ln w="6480">
            <a:solidFill>
              <a:srgbClr val="30363d"/>
            </a:solidFill>
            <a:round/>
          </a:ln>
        </c:spPr>
        <c:txPr>
          <a:bodyPr/>
          <a:lstStyle/>
          <a:p>
            <a:pPr>
              <a:defRPr b="0" sz="850" spc="-1" strike="noStrike">
                <a:solidFill>
                  <a:srgbClr val="8b949e"/>
                </a:solidFill>
                <a:latin typeface="Calibri"/>
              </a:defRPr>
            </a:pPr>
          </a:p>
        </c:txPr>
        <c:crossAx val="69718312"/>
        <c:crosses val="autoZero"/>
        <c:crossBetween val="between"/>
      </c:valAx>
      <c:spPr>
        <a:noFill/>
        <a:ln w="0">
          <a:noFill/>
        </a:ln>
      </c:spPr>
    </c:plotArea>
    <c:plotVisOnly val="1"/>
    <c:dispBlanksAs val="gap"/>
  </c:chart>
  <c:spPr>
    <a:solidFill>
      <a:srgbClr val="161b22"/>
    </a:solidFill>
    <a:ln w="9360">
      <a:solidFill>
        <a:srgbClr val="30363d"/>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pt-BR" sz="1200" spc="-1" strike="noStrike">
                <a:solidFill>
                  <a:srgbClr val="e6edf3"/>
                </a:solidFill>
                <a:latin typeface="Calibri"/>
              </a:defRPr>
            </a:pPr>
            <a:r>
              <a:rPr b="1" lang="pt-BR" sz="1200" spc="-1" strike="noStrike">
                <a:solidFill>
                  <a:srgbClr val="e6edf3"/>
                </a:solidFill>
                <a:latin typeface="Calibri"/>
              </a:rPr>
              <a:t>Participação por mercado</a:t>
            </a:r>
          </a:p>
        </c:rich>
      </c:tx>
      <c:overlay val="0"/>
      <c:spPr>
        <a:noFill/>
        <a:ln w="0">
          <a:noFill/>
        </a:ln>
      </c:spPr>
    </c:title>
    <c:autoTitleDeleted val="0"/>
    <c:plotArea>
      <c:doughnutChart>
        <c:varyColors val="1"/>
        <c:ser>
          <c:idx val="0"/>
          <c:order val="0"/>
          <c:tx>
            <c:strRef>
              <c:f>Painel!$C$54</c:f>
              <c:strCache>
                <c:ptCount val="1"/>
                <c:pt idx="0">
                  <c:v>Total</c:v>
                </c:pt>
              </c:strCache>
            </c:strRef>
          </c:tx>
          <c:spPr>
            <a:solidFill>
              <a:srgbClr val="4472c4"/>
            </a:solidFill>
            <a:ln w="0">
              <a:noFill/>
            </a:ln>
          </c:spPr>
          <c:explosion val="0"/>
          <c:dPt>
            <c:idx val="0"/>
            <c:spPr>
              <a:solidFill>
                <a:srgbClr val="58a6ff"/>
              </a:solidFill>
              <a:ln w="0">
                <a:noFill/>
              </a:ln>
            </c:spPr>
          </c:dPt>
          <c:dPt>
            <c:idx val="1"/>
            <c:spPr>
              <a:solidFill>
                <a:srgbClr val="3fb950"/>
              </a:solidFill>
              <a:ln w="0">
                <a:noFill/>
              </a:ln>
            </c:spPr>
          </c:dPt>
          <c:dPt>
            <c:idx val="2"/>
            <c:spPr>
              <a:solidFill>
                <a:srgbClr val="e3b341"/>
              </a:solidFill>
              <a:ln w="0">
                <a:noFill/>
              </a:ln>
            </c:spPr>
          </c:dPt>
          <c:dPt>
            <c:idx val="3"/>
            <c:spPr>
              <a:solidFill>
                <a:srgbClr val="f778ba"/>
              </a:solidFill>
              <a:ln w="0">
                <a:noFill/>
              </a:ln>
            </c:spPr>
          </c:dPt>
          <c:dPt>
            <c:idx val="4"/>
            <c:spPr>
              <a:solidFill>
                <a:srgbClr val="f0883e"/>
              </a:solidFill>
              <a:ln w="0">
                <a:noFill/>
              </a:ln>
            </c:spPr>
          </c:dPt>
          <c:dPt>
            <c:idx val="5"/>
            <c:spPr>
              <a:solidFill>
                <a:srgbClr val="bc8cff"/>
              </a:solidFill>
              <a:ln w="0">
                <a:noFill/>
              </a:ln>
            </c:spPr>
          </c:dPt>
          <c:dPt>
            <c:idx val="6"/>
            <c:spPr>
              <a:solidFill>
                <a:srgbClr val="f85149"/>
              </a:solidFill>
              <a:ln w="0">
                <a:noFill/>
              </a:ln>
            </c:spPr>
          </c:dPt>
          <c:dPt>
            <c:idx val="7"/>
            <c:spPr>
              <a:solidFill>
                <a:srgbClr val="56d4dd"/>
              </a:solidFill>
              <a:ln w="0">
                <a:noFill/>
              </a:ln>
            </c:spPr>
          </c:dPt>
          <c:dPt>
            <c:idx val="8"/>
            <c:spPr>
              <a:solidFill>
                <a:srgbClr val="79c0ff"/>
              </a:solidFill>
              <a:ln w="0">
                <a:noFill/>
              </a:ln>
            </c:spPr>
          </c:dPt>
          <c:dPt>
            <c:idx val="9"/>
            <c:spPr>
              <a:solidFill>
                <a:srgbClr val="d2a8ff"/>
              </a:solidFill>
              <a:ln w="0">
                <a:noFill/>
              </a:ln>
            </c:spPr>
          </c:dPt>
          <c:dPt>
            <c:idx val="10"/>
            <c:spPr>
              <a:solidFill>
                <a:srgbClr val="ffa657"/>
              </a:solidFill>
              <a:ln w="0">
                <a:noFill/>
              </a:ln>
            </c:spPr>
          </c:dPt>
          <c:dPt>
            <c:idx val="11"/>
            <c:spPr>
              <a:solidFill>
                <a:srgbClr val="7ee787"/>
              </a:solidFill>
              <a:ln w="0">
                <a:noFill/>
              </a:ln>
            </c:spPr>
          </c:dPt>
          <c:dPt>
            <c:idx val="12"/>
            <c:spPr>
              <a:solidFill>
                <a:srgbClr val="ff7b72"/>
              </a:solidFill>
              <a:ln w="0">
                <a:noFill/>
              </a:ln>
            </c:spPr>
          </c:dPt>
          <c:dLbls>
            <c:dLbl>
              <c:idx val="0"/>
              <c:txPr>
                <a:bodyPr wrap="square"/>
                <a:lstStyle/>
                <a:p>
                  <a:pPr>
                    <a:defRPr b="0" sz="1000" spc="-1" strike="noStrike">
                      <a:solidFill>
                        <a:srgbClr val="000000"/>
                      </a:solidFill>
                      <a:latin typeface="Arial"/>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Arial"/>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Arial"/>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Arial"/>
                    </a:defRPr>
                  </a:pPr>
                </a:p>
              </c:txPr>
              <c:showLegendKey val="0"/>
              <c:showVal val="0"/>
              <c:showCatName val="0"/>
              <c:showSerName val="0"/>
              <c:showPercent val="0"/>
              <c:separator>; </c:separator>
            </c:dLbl>
            <c:dLbl>
              <c:idx val="4"/>
              <c:txPr>
                <a:bodyPr wrap="square"/>
                <a:lstStyle/>
                <a:p>
                  <a:pPr>
                    <a:defRPr b="0" sz="1000" spc="-1" strike="noStrike">
                      <a:solidFill>
                        <a:srgbClr val="000000"/>
                      </a:solidFill>
                      <a:latin typeface="Arial"/>
                    </a:defRPr>
                  </a:pPr>
                </a:p>
              </c:txPr>
              <c:showLegendKey val="0"/>
              <c:showVal val="0"/>
              <c:showCatName val="0"/>
              <c:showSerName val="0"/>
              <c:showPercent val="0"/>
              <c:separator>; </c:separator>
            </c:dLbl>
            <c:dLbl>
              <c:idx val="5"/>
              <c:txPr>
                <a:bodyPr wrap="square"/>
                <a:lstStyle/>
                <a:p>
                  <a:pPr>
                    <a:defRPr b="0" sz="1000" spc="-1" strike="noStrike">
                      <a:solidFill>
                        <a:srgbClr val="000000"/>
                      </a:solidFill>
                      <a:latin typeface="Arial"/>
                    </a:defRPr>
                  </a:pPr>
                </a:p>
              </c:txPr>
              <c:showLegendKey val="0"/>
              <c:showVal val="0"/>
              <c:showCatName val="0"/>
              <c:showSerName val="0"/>
              <c:showPercent val="0"/>
              <c:separator>; </c:separator>
            </c:dLbl>
            <c:dLbl>
              <c:idx val="6"/>
              <c:txPr>
                <a:bodyPr wrap="square"/>
                <a:lstStyle/>
                <a:p>
                  <a:pPr>
                    <a:defRPr b="0" sz="1000" spc="-1" strike="noStrike">
                      <a:solidFill>
                        <a:srgbClr val="000000"/>
                      </a:solidFill>
                      <a:latin typeface="Arial"/>
                    </a:defRPr>
                  </a:pPr>
                </a:p>
              </c:txPr>
              <c:showLegendKey val="0"/>
              <c:showVal val="0"/>
              <c:showCatName val="0"/>
              <c:showSerName val="0"/>
              <c:showPercent val="0"/>
              <c:separator>; </c:separator>
            </c:dLbl>
            <c:dLbl>
              <c:idx val="7"/>
              <c:txPr>
                <a:bodyPr wrap="square"/>
                <a:lstStyle/>
                <a:p>
                  <a:pPr>
                    <a:defRPr b="0" sz="1000" spc="-1" strike="noStrike">
                      <a:solidFill>
                        <a:srgbClr val="000000"/>
                      </a:solidFill>
                      <a:latin typeface="Arial"/>
                    </a:defRPr>
                  </a:pPr>
                </a:p>
              </c:txPr>
              <c:showLegendKey val="0"/>
              <c:showVal val="0"/>
              <c:showCatName val="0"/>
              <c:showSerName val="0"/>
              <c:showPercent val="0"/>
              <c:separator>; </c:separator>
            </c:dLbl>
            <c:dLbl>
              <c:idx val="8"/>
              <c:txPr>
                <a:bodyPr wrap="square"/>
                <a:lstStyle/>
                <a:p>
                  <a:pPr>
                    <a:defRPr b="0" sz="1000" spc="-1" strike="noStrike">
                      <a:solidFill>
                        <a:srgbClr val="000000"/>
                      </a:solidFill>
                      <a:latin typeface="Arial"/>
                    </a:defRPr>
                  </a:pPr>
                </a:p>
              </c:txPr>
              <c:showLegendKey val="0"/>
              <c:showVal val="0"/>
              <c:showCatName val="0"/>
              <c:showSerName val="0"/>
              <c:showPercent val="0"/>
              <c:separator>; </c:separator>
            </c:dLbl>
            <c:dLbl>
              <c:idx val="9"/>
              <c:txPr>
                <a:bodyPr wrap="square"/>
                <a:lstStyle/>
                <a:p>
                  <a:pPr>
                    <a:defRPr b="0" sz="1000" spc="-1" strike="noStrike">
                      <a:solidFill>
                        <a:srgbClr val="000000"/>
                      </a:solidFill>
                      <a:latin typeface="Arial"/>
                    </a:defRPr>
                  </a:pPr>
                </a:p>
              </c:txPr>
              <c:showLegendKey val="0"/>
              <c:showVal val="0"/>
              <c:showCatName val="0"/>
              <c:showSerName val="0"/>
              <c:showPercent val="0"/>
              <c:separator>; </c:separator>
            </c:dLbl>
            <c:dLbl>
              <c:idx val="10"/>
              <c:txPr>
                <a:bodyPr wrap="square"/>
                <a:lstStyle/>
                <a:p>
                  <a:pPr>
                    <a:defRPr b="0" sz="1000" spc="-1" strike="noStrike">
                      <a:solidFill>
                        <a:srgbClr val="000000"/>
                      </a:solidFill>
                      <a:latin typeface="Arial"/>
                    </a:defRPr>
                  </a:pPr>
                </a:p>
              </c:txPr>
              <c:showLegendKey val="0"/>
              <c:showVal val="0"/>
              <c:showCatName val="0"/>
              <c:showSerName val="0"/>
              <c:showPercent val="0"/>
              <c:separator>; </c:separator>
            </c:dLbl>
            <c:dLbl>
              <c:idx val="11"/>
              <c:txPr>
                <a:bodyPr wrap="square"/>
                <a:lstStyle/>
                <a:p>
                  <a:pPr>
                    <a:defRPr b="0" sz="1000" spc="-1" strike="noStrike">
                      <a:solidFill>
                        <a:srgbClr val="000000"/>
                      </a:solidFill>
                      <a:latin typeface="Arial"/>
                    </a:defRPr>
                  </a:pPr>
                </a:p>
              </c:txPr>
              <c:showLegendKey val="0"/>
              <c:showVal val="0"/>
              <c:showCatName val="0"/>
              <c:showSerName val="0"/>
              <c:showPercent val="0"/>
              <c:separator>; </c:separator>
            </c:dLbl>
            <c:dLbl>
              <c:idx val="12"/>
              <c:txPr>
                <a:bodyPr wrap="square"/>
                <a:lstStyle/>
                <a:p>
                  <a:pPr>
                    <a:defRPr b="0" sz="1000" spc="-1" strike="noStrike">
                      <a:solidFill>
                        <a:srgbClr val="000000"/>
                      </a:solidFill>
                      <a:latin typeface="Arial"/>
                    </a:defRPr>
                  </a:pPr>
                </a:p>
              </c:txPr>
              <c:showLegendKey val="0"/>
              <c:showVal val="0"/>
              <c:showCatName val="0"/>
              <c:showSerName val="0"/>
              <c:showPercent val="0"/>
              <c:separator>; </c:separator>
            </c:dLbl>
            <c:txPr>
              <a:bodyPr wrap="square"/>
              <a:lstStyle/>
              <a:p>
                <a:pPr>
                  <a:defRPr b="0" sz="1000" spc="-1" strike="noStrike">
                    <a:solidFill>
                      <a:srgbClr val="000000"/>
                    </a:solidFill>
                    <a:latin typeface="Arial"/>
                  </a:defRPr>
                </a:pPr>
              </a:p>
            </c:txPr>
            <c:showLegendKey val="0"/>
            <c:showVal val="0"/>
            <c:showCatName val="0"/>
            <c:showSerName val="0"/>
            <c:showPercent val="0"/>
            <c:separator>; </c:separator>
            <c:showLeaderLines val="1"/>
          </c:dLbls>
          <c:cat>
            <c:strRef>
              <c:f>Painel!$B$55:$B$67</c:f>
              <c:strCache>
                <c:ptCount val="13"/>
                <c:pt idx="0">
                  <c:v>Supermercados Nori</c:v>
                </c:pt>
                <c:pt idx="1">
                  <c:v>Supermercado Canesin</c:v>
                </c:pt>
                <c:pt idx="2">
                  <c:v>Varejao Monteverde</c:v>
                </c:pt>
                <c:pt idx="3">
                  <c:v>Andre Eduardo Hipolito</c:v>
                </c:pt>
                <c:pt idx="4">
                  <c:v>Varejao Nova Brasil</c:v>
                </c:pt>
                <c:pt idx="5">
                  <c:v>Casa de Carnes Barao da Carne</c:v>
                </c:pt>
                <c:pt idx="6">
                  <c:v>Lanchoti e Martins</c:v>
                </c:pt>
                <c:pt idx="7">
                  <c:v>Andre Novato Ribeiro</c:v>
                </c:pt>
                <c:pt idx="8">
                  <c:v>Real Atacamix</c:v>
                </c:pt>
                <c:pt idx="9">
                  <c:v>Crystal</c:v>
                </c:pt>
                <c:pt idx="10">
                  <c:v>André</c:v>
                </c:pt>
                <c:pt idx="11">
                  <c:v>Andre Supermercado</c:v>
                </c:pt>
                <c:pt idx="12">
                  <c:v>Canesin</c:v>
                </c:pt>
              </c:strCache>
            </c:strRef>
          </c:cat>
          <c:val>
            <c:numRef>
              <c:f>Painel!$C$55:$C$67</c:f>
              <c:numCache>
                <c:formatCode>"R$ "#,##0.00;"-R$ "#,##0.00;\—</c:formatCode>
                <c:ptCount val="13"/>
                <c:pt idx="0">
                  <c:v>3935.17</c:v>
                </c:pt>
                <c:pt idx="1">
                  <c:v>959.88</c:v>
                </c:pt>
                <c:pt idx="2">
                  <c:v>547.35</c:v>
                </c:pt>
                <c:pt idx="3">
                  <c:v>148.6</c:v>
                </c:pt>
                <c:pt idx="4">
                  <c:v>81.9</c:v>
                </c:pt>
                <c:pt idx="5">
                  <c:v>78.48</c:v>
                </c:pt>
                <c:pt idx="6">
                  <c:v>51.15</c:v>
                </c:pt>
                <c:pt idx="7">
                  <c:v>39.98</c:v>
                </c:pt>
                <c:pt idx="8">
                  <c:v>39.96</c:v>
                </c:pt>
                <c:pt idx="9">
                  <c:v>27.67</c:v>
                </c:pt>
                <c:pt idx="10">
                  <c:v>20.92</c:v>
                </c:pt>
                <c:pt idx="11">
                  <c:v>18.18</c:v>
                </c:pt>
                <c:pt idx="12">
                  <c:v>13.98</c:v>
                </c:pt>
              </c:numCache>
            </c:numRef>
          </c:val>
        </c:ser>
        <c:firstSliceAng val="0"/>
        <c:holeSize val="50"/>
      </c:doughnutChart>
      <c:spPr>
        <a:noFill/>
        <a:ln w="0">
          <a:noFill/>
        </a:ln>
      </c:spPr>
    </c:plotArea>
    <c:legend>
      <c:legendPos val="r"/>
      <c:overlay val="0"/>
      <c:spPr>
        <a:noFill/>
        <a:ln w="0">
          <a:noFill/>
        </a:ln>
      </c:spPr>
      <c:txPr>
        <a:bodyPr/>
        <a:lstStyle/>
        <a:p>
          <a:pPr>
            <a:defRPr b="0" sz="850" spc="-1" strike="noStrike">
              <a:solidFill>
                <a:srgbClr val="8b949e"/>
              </a:solidFill>
              <a:latin typeface="Calibri"/>
            </a:defRPr>
          </a:pPr>
        </a:p>
      </c:txPr>
    </c:legend>
    <c:plotVisOnly val="1"/>
    <c:dispBlanksAs val="gap"/>
  </c:chart>
  <c:spPr>
    <a:solidFill>
      <a:srgbClr val="161b22"/>
    </a:solidFill>
    <a:ln w="9360">
      <a:solidFill>
        <a:srgbClr val="30363d"/>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pt-BR" sz="1200" spc="-1" strike="noStrike">
                <a:solidFill>
                  <a:srgbClr val="e6edf3"/>
                </a:solidFill>
                <a:latin typeface="Calibri"/>
              </a:defRPr>
            </a:pPr>
            <a:r>
              <a:rPr b="1" lang="pt-BR" sz="1200" spc="-1" strike="noStrike">
                <a:solidFill>
                  <a:srgbClr val="e6edf3"/>
                </a:solidFill>
                <a:latin typeface="Calibri"/>
              </a:rPr>
              <a:t>Categorias (com filtros aplicados)</a:t>
            </a:r>
          </a:p>
        </c:rich>
      </c:tx>
      <c:overlay val="0"/>
      <c:spPr>
        <a:noFill/>
        <a:ln w="0">
          <a:noFill/>
        </a:ln>
      </c:spPr>
    </c:title>
    <c:autoTitleDeleted val="0"/>
    <c:plotArea>
      <c:barChart>
        <c:barDir val="bar"/>
        <c:grouping val="clustered"/>
        <c:varyColors val="0"/>
        <c:ser>
          <c:idx val="0"/>
          <c:order val="0"/>
          <c:tx>
            <c:strRef>
              <c:f>'Análise Dinâmica'!$C$15</c:f>
              <c:strCache>
                <c:ptCount val="1"/>
                <c:pt idx="0">
                  <c:v>Total</c:v>
                </c:pt>
              </c:strCache>
            </c:strRef>
          </c:tx>
          <c:spPr>
            <a:solidFill>
              <a:srgbClr val="58a6ff"/>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'Análise Dinâmica'!$B$16:$B$31</c:f>
              <c:strCache>
                <c:ptCount val="16"/>
                <c:pt idx="0">
                  <c:v>Mercearia</c:v>
                </c:pt>
                <c:pt idx="1">
                  <c:v>Laticinios</c:v>
                </c:pt>
                <c:pt idx="2">
                  <c:v>Padaria</c:v>
                </c:pt>
                <c:pt idx="3">
                  <c:v>Hortifruti</c:v>
                </c:pt>
                <c:pt idx="4">
                  <c:v>Bebidas</c:v>
                </c:pt>
                <c:pt idx="5">
                  <c:v>Carnes</c:v>
                </c:pt>
                <c:pt idx="6">
                  <c:v>Higiene</c:v>
                </c:pt>
                <c:pt idx="7">
                  <c:v>Limpeza</c:v>
                </c:pt>
                <c:pt idx="8">
                  <c:v>Laticínios</c:v>
                </c:pt>
                <c:pt idx="9">
                  <c:v>Saúde</c:v>
                </c:pt>
                <c:pt idx="10">
                  <c:v>Pet</c:v>
                </c:pt>
                <c:pt idx="11">
                  <c:v>Café</c:v>
                </c:pt>
                <c:pt idx="12">
                  <c:v>Rotisseria</c:v>
                </c:pt>
                <c:pt idx="13">
                  <c:v>Frios</c:v>
                </c:pt>
                <c:pt idx="14">
                  <c:v>Açougue</c:v>
                </c:pt>
                <c:pt idx="15">
                  <c:v>Frutas</c:v>
                </c:pt>
              </c:strCache>
            </c:strRef>
          </c:cat>
          <c:val>
            <c:numRef>
              <c:f>'Análise Dinâmica'!$C$16:$C$31</c:f>
              <c:numCache>
                <c:formatCode>"R$ "#,##0.00;"-R$ "#,##0.00;\—</c:formatCode>
                <c:ptCount val="16"/>
                <c:pt idx="0">
                  <c:v>862.17</c:v>
                </c:pt>
                <c:pt idx="1">
                  <c:v>338.09</c:v>
                </c:pt>
                <c:pt idx="2">
                  <c:v>332.25</c:v>
                </c:pt>
                <c:pt idx="3">
                  <c:v>169.31</c:v>
                </c:pt>
                <c:pt idx="4">
                  <c:v>122.28</c:v>
                </c:pt>
                <c:pt idx="5">
                  <c:v>69.08</c:v>
                </c:pt>
                <c:pt idx="6">
                  <c:v>38.82</c:v>
                </c:pt>
                <c:pt idx="7">
                  <c:v>37.23</c:v>
                </c:pt>
                <c:pt idx="8">
                  <c:v>0</c:v>
                </c:pt>
                <c:pt idx="9">
                  <c:v>0</c:v>
                </c:pt>
                <c:pt idx="10">
                  <c:v>0</c:v>
                </c:pt>
                <c:pt idx="11">
                  <c:v>0</c:v>
                </c:pt>
                <c:pt idx="12">
                  <c:v>0</c:v>
                </c:pt>
                <c:pt idx="13">
                  <c:v>0</c:v>
                </c:pt>
                <c:pt idx="14">
                  <c:v>0</c:v>
                </c:pt>
                <c:pt idx="15">
                  <c:v>0</c:v>
                </c:pt>
              </c:numCache>
            </c:numRef>
          </c:val>
        </c:ser>
        <c:gapWidth val="60"/>
        <c:overlap val="0"/>
        <c:axId val="14896113"/>
        <c:axId val="86230428"/>
      </c:barChart>
      <c:catAx>
        <c:axId val="14896113"/>
        <c:scaling>
          <c:orientation val="minMax"/>
        </c:scaling>
        <c:delete val="0"/>
        <c:axPos val="b"/>
        <c:numFmt formatCode="General" sourceLinked="0"/>
        <c:majorTickMark val="none"/>
        <c:minorTickMark val="none"/>
        <c:tickLblPos val="nextTo"/>
        <c:spPr>
          <a:ln w="6480">
            <a:solidFill>
              <a:srgbClr val="30363d"/>
            </a:solidFill>
            <a:round/>
          </a:ln>
        </c:spPr>
        <c:txPr>
          <a:bodyPr/>
          <a:lstStyle/>
          <a:p>
            <a:pPr>
              <a:defRPr b="0" sz="850" spc="-1" strike="noStrike">
                <a:solidFill>
                  <a:srgbClr val="8b949e"/>
                </a:solidFill>
                <a:latin typeface="Calibri"/>
              </a:defRPr>
            </a:pPr>
          </a:p>
        </c:txPr>
        <c:crossAx val="86230428"/>
        <c:crosses val="autoZero"/>
        <c:auto val="1"/>
        <c:lblAlgn val="ctr"/>
        <c:lblOffset val="100"/>
        <c:noMultiLvlLbl val="0"/>
      </c:catAx>
      <c:valAx>
        <c:axId val="86230428"/>
        <c:scaling>
          <c:orientation val="minMax"/>
        </c:scaling>
        <c:delete val="0"/>
        <c:axPos val="l"/>
        <c:majorGridlines>
          <c:spPr>
            <a:ln w="6480">
              <a:solidFill>
                <a:srgbClr val="30363d"/>
              </a:solidFill>
              <a:round/>
            </a:ln>
          </c:spPr>
        </c:majorGridlines>
        <c:numFmt formatCode="&quot;R$ &quot;#,##0.00;&quot;-R$ &quot;#,##0.00;\—" sourceLinked="0"/>
        <c:majorTickMark val="none"/>
        <c:minorTickMark val="none"/>
        <c:tickLblPos val="nextTo"/>
        <c:spPr>
          <a:ln w="6480">
            <a:solidFill>
              <a:srgbClr val="30363d"/>
            </a:solidFill>
            <a:round/>
          </a:ln>
        </c:spPr>
        <c:txPr>
          <a:bodyPr/>
          <a:lstStyle/>
          <a:p>
            <a:pPr>
              <a:defRPr b="0" sz="850" spc="-1" strike="noStrike">
                <a:solidFill>
                  <a:srgbClr val="8b949e"/>
                </a:solidFill>
                <a:latin typeface="Calibri"/>
              </a:defRPr>
            </a:pPr>
          </a:p>
        </c:txPr>
        <c:crossAx val="14896113"/>
        <c:crosses val="autoZero"/>
        <c:crossBetween val="between"/>
      </c:valAx>
      <c:spPr>
        <a:noFill/>
        <a:ln w="0">
          <a:noFill/>
        </a:ln>
      </c:spPr>
    </c:plotArea>
    <c:plotVisOnly val="1"/>
    <c:dispBlanksAs val="gap"/>
  </c:chart>
  <c:spPr>
    <a:solidFill>
      <a:srgbClr val="161b22"/>
    </a:solidFill>
    <a:ln w="9360">
      <a:solidFill>
        <a:srgbClr val="30363d"/>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pt-BR" sz="1200" spc="-1" strike="noStrike">
                <a:solidFill>
                  <a:srgbClr val="e6edf3"/>
                </a:solidFill>
                <a:latin typeface="Calibri"/>
              </a:defRPr>
            </a:pPr>
            <a:r>
              <a:rPr b="1" lang="pt-BR" sz="1200" spc="-1" strike="noStrike">
                <a:solidFill>
                  <a:srgbClr val="e6edf3"/>
                </a:solidFill>
                <a:latin typeface="Calibri"/>
              </a:rPr>
              <a:t>Meses (com filtros aplicados)</a:t>
            </a:r>
          </a:p>
        </c:rich>
      </c:tx>
      <c:overlay val="0"/>
      <c:spPr>
        <a:noFill/>
        <a:ln w="0">
          <a:noFill/>
        </a:ln>
      </c:spPr>
    </c:title>
    <c:autoTitleDeleted val="0"/>
    <c:plotArea>
      <c:barChart>
        <c:barDir val="col"/>
        <c:grouping val="clustered"/>
        <c:varyColors val="0"/>
        <c:ser>
          <c:idx val="0"/>
          <c:order val="0"/>
          <c:tx>
            <c:strRef>
              <c:f>'Análise Dinâmica'!$C$38</c:f>
              <c:strCache>
                <c:ptCount val="1"/>
                <c:pt idx="0">
                  <c:v>Total</c:v>
                </c:pt>
              </c:strCache>
            </c:strRef>
          </c:tx>
          <c:spPr>
            <a:solidFill>
              <a:srgbClr val="3fb950"/>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'Análise Dinâmica'!$B$39:$B$50</c:f>
              <c:strCache>
                <c:ptCount val="12"/>
                <c:pt idx="0">
                  <c:v>mai/2026</c:v>
                </c:pt>
                <c:pt idx="1">
                  <c:v>jun/2026</c:v>
                </c:pt>
                <c:pt idx="2">
                  <c:v>jul/2026</c:v>
                </c:pt>
                <c:pt idx="3">
                  <c:v>ago/2026</c:v>
                </c:pt>
                <c:pt idx="4">
                  <c:v/>
                </c:pt>
                <c:pt idx="5">
                  <c:v/>
                </c:pt>
                <c:pt idx="6">
                  <c:v/>
                </c:pt>
                <c:pt idx="7">
                  <c:v/>
                </c:pt>
                <c:pt idx="8">
                  <c:v/>
                </c:pt>
                <c:pt idx="9">
                  <c:v/>
                </c:pt>
                <c:pt idx="10">
                  <c:v/>
                </c:pt>
                <c:pt idx="11">
                  <c:v/>
                </c:pt>
              </c:strCache>
            </c:strRef>
          </c:cat>
          <c:val>
            <c:numRef>
              <c:f>'Análise Dinâmica'!$C$39:$C$50</c:f>
              <c:numCache>
                <c:formatCode>"R$ "#,##0.00;"-R$ "#,##0.00;\—</c:formatCode>
                <c:ptCount val="12"/>
                <c:pt idx="0">
                  <c:v>2153.03</c:v>
                </c:pt>
                <c:pt idx="1">
                  <c:v>1585.03</c:v>
                </c:pt>
                <c:pt idx="2">
                  <c:v>1969.23</c:v>
                </c:pt>
                <c:pt idx="3">
                  <c:v>255.93</c:v>
                </c:pt>
              </c:numCache>
            </c:numRef>
          </c:val>
        </c:ser>
        <c:gapWidth val="45"/>
        <c:overlap val="0"/>
        <c:axId val="6803174"/>
        <c:axId val="2852727"/>
      </c:barChart>
      <c:catAx>
        <c:axId val="6803174"/>
        <c:scaling>
          <c:orientation val="minMax"/>
        </c:scaling>
        <c:delete val="0"/>
        <c:axPos val="b"/>
        <c:numFmt formatCode="General" sourceLinked="0"/>
        <c:majorTickMark val="none"/>
        <c:minorTickMark val="none"/>
        <c:tickLblPos val="nextTo"/>
        <c:spPr>
          <a:ln w="6480">
            <a:solidFill>
              <a:srgbClr val="30363d"/>
            </a:solidFill>
            <a:round/>
          </a:ln>
        </c:spPr>
        <c:txPr>
          <a:bodyPr/>
          <a:lstStyle/>
          <a:p>
            <a:pPr>
              <a:defRPr b="0" sz="850" spc="-1" strike="noStrike">
                <a:solidFill>
                  <a:srgbClr val="8b949e"/>
                </a:solidFill>
                <a:latin typeface="Calibri"/>
              </a:defRPr>
            </a:pPr>
          </a:p>
        </c:txPr>
        <c:crossAx val="2852727"/>
        <c:crosses val="autoZero"/>
        <c:auto val="1"/>
        <c:lblAlgn val="ctr"/>
        <c:lblOffset val="100"/>
        <c:noMultiLvlLbl val="0"/>
      </c:catAx>
      <c:valAx>
        <c:axId val="2852727"/>
        <c:scaling>
          <c:orientation val="minMax"/>
        </c:scaling>
        <c:delete val="0"/>
        <c:axPos val="l"/>
        <c:majorGridlines>
          <c:spPr>
            <a:ln w="6480">
              <a:solidFill>
                <a:srgbClr val="30363d"/>
              </a:solidFill>
              <a:round/>
            </a:ln>
          </c:spPr>
        </c:majorGridlines>
        <c:numFmt formatCode="&quot;R$ &quot;#,##0.00;&quot;-R$ &quot;#,##0.00;\—" sourceLinked="0"/>
        <c:majorTickMark val="none"/>
        <c:minorTickMark val="none"/>
        <c:tickLblPos val="nextTo"/>
        <c:spPr>
          <a:ln w="6480">
            <a:solidFill>
              <a:srgbClr val="30363d"/>
            </a:solidFill>
            <a:round/>
          </a:ln>
        </c:spPr>
        <c:txPr>
          <a:bodyPr/>
          <a:lstStyle/>
          <a:p>
            <a:pPr>
              <a:defRPr b="0" sz="850" spc="-1" strike="noStrike">
                <a:solidFill>
                  <a:srgbClr val="8b949e"/>
                </a:solidFill>
                <a:latin typeface="Calibri"/>
              </a:defRPr>
            </a:pPr>
          </a:p>
        </c:txPr>
        <c:crossAx val="6803174"/>
        <c:crosses val="autoZero"/>
        <c:crossBetween val="between"/>
      </c:valAx>
      <c:spPr>
        <a:noFill/>
        <a:ln w="0">
          <a:noFill/>
        </a:ln>
      </c:spPr>
    </c:plotArea>
    <c:plotVisOnly val="1"/>
    <c:dispBlanksAs val="gap"/>
  </c:chart>
  <c:spPr>
    <a:solidFill>
      <a:srgbClr val="161b22"/>
    </a:solidFill>
    <a:ln w="9360">
      <a:solidFill>
        <a:srgbClr val="30363d"/>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_rels/drawing2.xml.rels><?xml version="1.0" encoding="UTF-8"?>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8</xdr:row>
      <xdr:rowOff>190440</xdr:rowOff>
    </xdr:from>
    <xdr:to>
      <xdr:col>12</xdr:col>
      <xdr:colOff>628920</xdr:colOff>
      <xdr:row>28</xdr:row>
      <xdr:rowOff>144000</xdr:rowOff>
    </xdr:to>
    <xdr:graphicFrame>
      <xdr:nvGraphicFramePr>
        <xdr:cNvPr id="0" name="Chart 1"/>
        <xdr:cNvGraphicFramePr/>
      </xdr:nvGraphicFramePr>
      <xdr:xfrm>
        <a:off x="9347040" y="2076480"/>
        <a:ext cx="5963040" cy="3773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31</xdr:row>
      <xdr:rowOff>176040</xdr:rowOff>
    </xdr:from>
    <xdr:to>
      <xdr:col>12</xdr:col>
      <xdr:colOff>628920</xdr:colOff>
      <xdr:row>48</xdr:row>
      <xdr:rowOff>160920</xdr:rowOff>
    </xdr:to>
    <xdr:graphicFrame>
      <xdr:nvGraphicFramePr>
        <xdr:cNvPr id="1" name="Chart 2"/>
        <xdr:cNvGraphicFramePr/>
      </xdr:nvGraphicFramePr>
      <xdr:xfrm>
        <a:off x="9347040" y="6453000"/>
        <a:ext cx="5963040" cy="32328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50</xdr:row>
      <xdr:rowOff>161280</xdr:rowOff>
    </xdr:from>
    <xdr:to>
      <xdr:col>12</xdr:col>
      <xdr:colOff>628920</xdr:colOff>
      <xdr:row>69</xdr:row>
      <xdr:rowOff>125280</xdr:rowOff>
    </xdr:to>
    <xdr:graphicFrame>
      <xdr:nvGraphicFramePr>
        <xdr:cNvPr id="2" name="Chart 3"/>
        <xdr:cNvGraphicFramePr/>
      </xdr:nvGraphicFramePr>
      <xdr:xfrm>
        <a:off x="9347040" y="10067400"/>
        <a:ext cx="5963040" cy="3592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11</xdr:row>
      <xdr:rowOff>190440</xdr:rowOff>
    </xdr:from>
    <xdr:to>
      <xdr:col>12</xdr:col>
      <xdr:colOff>441360</xdr:colOff>
      <xdr:row>31</xdr:row>
      <xdr:rowOff>144000</xdr:rowOff>
    </xdr:to>
    <xdr:graphicFrame>
      <xdr:nvGraphicFramePr>
        <xdr:cNvPr id="3" name="Chart 1"/>
        <xdr:cNvGraphicFramePr/>
      </xdr:nvGraphicFramePr>
      <xdr:xfrm>
        <a:off x="7861320" y="2762280"/>
        <a:ext cx="5775480" cy="3773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34</xdr:row>
      <xdr:rowOff>176040</xdr:rowOff>
    </xdr:from>
    <xdr:to>
      <xdr:col>12</xdr:col>
      <xdr:colOff>441360</xdr:colOff>
      <xdr:row>51</xdr:row>
      <xdr:rowOff>160920</xdr:rowOff>
    </xdr:to>
    <xdr:graphicFrame>
      <xdr:nvGraphicFramePr>
        <xdr:cNvPr id="4" name="Chart 2"/>
        <xdr:cNvGraphicFramePr/>
      </xdr:nvGraphicFramePr>
      <xdr:xfrm>
        <a:off x="7861320" y="7138800"/>
        <a:ext cx="5775480" cy="32328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tblCompras" displayName="tblCompras" ref="A4:K675" headerRowCount="1" totalsRowCount="0" totalsRowShown="0">
  <autoFilter ref="A4:K675"/>
  <tableColumns count="11">
    <tableColumn id="1" name="Data"/>
    <tableColumn id="2" name="Mês/Ano"/>
    <tableColumn id="3" name="Mercado"/>
    <tableColumn id="4" name="Produto"/>
    <tableColumn id="5" name="Categoria"/>
    <tableColumn id="6" name="Qtd."/>
    <tableColumn id="7" name="Unid."/>
    <tableColumn id="8" name="Total Pago"/>
    <tableColumn id="9" name="Preço Unit."/>
    <tableColumn id="10" name="Origem"/>
    <tableColumn id="11" name="Obs."/>
  </tableColumns>
</table>
</file>

<file path=xl/theme/theme1.xml><?xml version="1.0" encoding="utf-8"?>
<a:theme xmlns:a="http://schemas.openxmlformats.org/drawingml/2006/main" xmlns:r="http://schemas.openxmlformats.org/officeDocument/2006/relationships" name="Tema do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8A6FF"/>
    <pageSetUpPr fitToPage="false"/>
  </sheetPr>
  <dimension ref="A1:N9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F6" activeCellId="0" sqref="F6"/>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13"/>
    <col collapsed="false" customWidth="true" hidden="false" outlineLevel="0" max="4" min="4" style="0" width="27.43"/>
    <col collapsed="false" customWidth="true" hidden="false" outlineLevel="0" max="5" min="5" style="0" width="12"/>
    <col collapsed="false" customWidth="true" hidden="false" outlineLevel="0" max="6" min="6" style="0" width="22.71"/>
    <col collapsed="false" customWidth="true" hidden="false" outlineLevel="0" max="7" min="7" style="0" width="2"/>
    <col collapsed="false" customWidth="true" hidden="false" outlineLevel="0" max="12" min="8" style="0" width="12"/>
    <col collapsed="false" customWidth="true" hidden="false" outlineLevel="0" max="13" min="13" style="0" width="143.71"/>
    <col collapsed="false" customWidth="true" hidden="false" outlineLevel="0" max="14" min="14" style="0" width="2"/>
  </cols>
  <sheetData>
    <row r="1" customFormat="false" ht="15" hidden="false" customHeight="true" outlineLevel="0" collapsed="false">
      <c r="A1" s="1"/>
      <c r="B1" s="1"/>
      <c r="C1" s="1"/>
      <c r="D1" s="1"/>
      <c r="E1" s="1"/>
      <c r="F1" s="1"/>
      <c r="G1" s="1"/>
      <c r="H1" s="1"/>
      <c r="I1" s="1"/>
      <c r="J1" s="1"/>
      <c r="K1" s="1"/>
      <c r="L1" s="1"/>
      <c r="M1" s="1"/>
      <c r="N1" s="1"/>
    </row>
    <row r="2" customFormat="false" ht="30" hidden="false" customHeight="true" outlineLevel="0" collapsed="false">
      <c r="A2" s="1"/>
      <c r="B2" s="2" t="s">
        <v>0</v>
      </c>
      <c r="C2" s="1"/>
      <c r="D2" s="1"/>
      <c r="E2" s="1"/>
      <c r="F2" s="1"/>
      <c r="G2" s="1"/>
      <c r="H2" s="1"/>
      <c r="I2" s="1"/>
      <c r="J2" s="1"/>
      <c r="K2" s="1"/>
      <c r="L2" s="1"/>
      <c r="M2" s="1"/>
      <c r="N2" s="1"/>
    </row>
    <row r="3" customFormat="false" ht="15" hidden="false" customHeight="true" outlineLevel="0" collapsed="false">
      <c r="A3" s="1"/>
      <c r="B3" s="3" t="s">
        <v>1</v>
      </c>
      <c r="C3" s="1"/>
      <c r="D3" s="1"/>
      <c r="E3" s="1"/>
      <c r="F3" s="1"/>
      <c r="G3" s="1"/>
      <c r="H3" s="1"/>
      <c r="I3" s="1"/>
      <c r="J3" s="1"/>
      <c r="K3" s="1"/>
      <c r="L3" s="1"/>
      <c r="M3" s="1"/>
      <c r="N3" s="1"/>
    </row>
    <row r="4" customFormat="false" ht="15" hidden="false" customHeight="true" outlineLevel="0" collapsed="false">
      <c r="A4" s="1"/>
      <c r="B4" s="1"/>
      <c r="C4" s="1"/>
      <c r="D4" s="1"/>
      <c r="E4" s="1"/>
      <c r="F4" s="1"/>
      <c r="G4" s="1"/>
      <c r="H4" s="1"/>
      <c r="I4" s="1"/>
      <c r="J4" s="1"/>
      <c r="K4" s="1"/>
      <c r="L4" s="1"/>
      <c r="M4" s="1"/>
      <c r="N4" s="1"/>
    </row>
    <row r="5" customFormat="false" ht="15.75" hidden="false" customHeight="true" outlineLevel="0" collapsed="false">
      <c r="A5" s="1"/>
      <c r="B5" s="4" t="s">
        <v>2</v>
      </c>
      <c r="C5" s="5" t="s">
        <v>3</v>
      </c>
      <c r="D5" s="6" t="s">
        <v>4</v>
      </c>
      <c r="E5" s="7" t="s">
        <v>5</v>
      </c>
      <c r="F5" s="8" t="s">
        <v>6</v>
      </c>
      <c r="G5" s="1"/>
      <c r="H5" s="1"/>
      <c r="I5" s="1"/>
      <c r="J5" s="1"/>
      <c r="K5" s="1"/>
      <c r="L5" s="1"/>
      <c r="M5" s="1"/>
      <c r="N5" s="1"/>
    </row>
    <row r="6" customFormat="false" ht="27.75" hidden="false" customHeight="true" outlineLevel="0" collapsed="false">
      <c r="A6" s="1"/>
      <c r="B6" s="9" t="n">
        <f aca="false">SUM(tblCompras[Total Pago])</f>
        <v>5963.22</v>
      </c>
      <c r="C6" s="10" t="n">
        <f aca="false">COUNTA(tblCompras[Produto])</f>
        <v>671</v>
      </c>
      <c r="D6" s="11" t="n">
        <f aca="false">IFERROR(B6/C6,0)</f>
        <v>8.88706408345753</v>
      </c>
      <c r="E6" s="10" t="n">
        <f aca="false">SUMPRODUCT(1/COUNTIF(tblCompras[Mercado],tblCompras[Mercado]))</f>
        <v>13</v>
      </c>
      <c r="F6" s="12" t="str">
        <f aca="false">DAY(MIN(tblCompras[Data]))&amp;"/"&amp;MONTH(MIN(tblCompras[Data]))&amp;" → "&amp;DAY(MAX(tblCompras[Data]))&amp;"/"&amp;MONTH(MAX(tblCompras[Data]))&amp;"/"&amp;YEAR(MAX(tblCompras[Data]))</f>
        <v>2/5 → 10/8/2026</v>
      </c>
      <c r="G6" s="1"/>
      <c r="H6" s="1"/>
      <c r="I6" s="1"/>
      <c r="J6" s="1"/>
      <c r="K6" s="1"/>
      <c r="L6" s="1"/>
      <c r="M6" s="1"/>
      <c r="N6" s="1"/>
    </row>
    <row r="7" customFormat="false" ht="15" hidden="false" customHeight="true" outlineLevel="0" collapsed="false">
      <c r="A7" s="1"/>
      <c r="B7" s="1"/>
      <c r="C7" s="1"/>
      <c r="D7" s="1"/>
      <c r="E7" s="1"/>
      <c r="F7" s="1"/>
      <c r="G7" s="1"/>
      <c r="H7" s="1"/>
      <c r="I7" s="1"/>
      <c r="J7" s="1"/>
      <c r="K7" s="1"/>
      <c r="L7" s="1"/>
      <c r="M7" s="1"/>
      <c r="N7" s="1"/>
    </row>
    <row r="8" customFormat="false" ht="15" hidden="false" customHeight="true" outlineLevel="0" collapsed="false">
      <c r="A8" s="1"/>
      <c r="B8" s="1"/>
      <c r="C8" s="1"/>
      <c r="D8" s="1"/>
      <c r="E8" s="1"/>
      <c r="F8" s="1"/>
      <c r="G8" s="1"/>
      <c r="H8" s="1"/>
      <c r="I8" s="1"/>
      <c r="J8" s="1"/>
      <c r="K8" s="1"/>
      <c r="L8" s="1"/>
      <c r="M8" s="1"/>
      <c r="N8" s="1"/>
    </row>
    <row r="9" customFormat="false" ht="15.75" hidden="false" customHeight="true" outlineLevel="0" collapsed="false">
      <c r="A9" s="1"/>
      <c r="B9" s="13" t="s">
        <v>7</v>
      </c>
      <c r="C9" s="1"/>
      <c r="D9" s="1"/>
      <c r="E9" s="1"/>
      <c r="F9" s="1"/>
      <c r="G9" s="1"/>
      <c r="H9" s="1"/>
      <c r="I9" s="1"/>
      <c r="J9" s="1"/>
      <c r="K9" s="1"/>
      <c r="L9" s="1"/>
      <c r="M9" s="1"/>
      <c r="N9" s="1"/>
    </row>
    <row r="10" customFormat="false" ht="15" hidden="false" customHeight="true" outlineLevel="0" collapsed="false">
      <c r="A10" s="1"/>
      <c r="B10" s="14" t="s">
        <v>8</v>
      </c>
      <c r="C10" s="1"/>
      <c r="D10" s="1"/>
      <c r="E10" s="1"/>
      <c r="F10" s="1"/>
      <c r="G10" s="1"/>
      <c r="H10" s="1"/>
      <c r="I10" s="1"/>
      <c r="J10" s="1"/>
      <c r="K10" s="1"/>
      <c r="L10" s="1"/>
      <c r="M10" s="1"/>
      <c r="N10" s="1"/>
    </row>
    <row r="11" customFormat="false" ht="15" hidden="false" customHeight="true" outlineLevel="0" collapsed="false">
      <c r="A11" s="1"/>
      <c r="B11" s="1"/>
      <c r="C11" s="1"/>
      <c r="D11" s="1"/>
      <c r="E11" s="1"/>
      <c r="F11" s="1"/>
      <c r="G11" s="1"/>
      <c r="H11" s="1"/>
      <c r="I11" s="1"/>
      <c r="J11" s="1"/>
      <c r="K11" s="1"/>
      <c r="L11" s="1"/>
      <c r="M11" s="1"/>
      <c r="N11" s="1"/>
    </row>
    <row r="12" customFormat="false" ht="15" hidden="false" customHeight="true" outlineLevel="0" collapsed="false">
      <c r="A12" s="1"/>
      <c r="B12" s="15" t="s">
        <v>9</v>
      </c>
      <c r="C12" s="15" t="s">
        <v>10</v>
      </c>
      <c r="D12" s="15" t="s">
        <v>11</v>
      </c>
      <c r="E12" s="1"/>
      <c r="F12" s="1"/>
      <c r="G12" s="1"/>
      <c r="H12" s="1"/>
      <c r="I12" s="1"/>
      <c r="J12" s="1"/>
      <c r="K12" s="1"/>
      <c r="L12" s="1"/>
      <c r="M12" s="1"/>
      <c r="N12" s="1"/>
    </row>
    <row r="13" customFormat="false" ht="15" hidden="false" customHeight="true" outlineLevel="0" collapsed="false">
      <c r="A13" s="1"/>
      <c r="B13" s="16" t="s">
        <v>12</v>
      </c>
      <c r="C13" s="17" t="n">
        <f aca="false">SUMIF(tblCompras[Categoria],B13,tblCompras[Total Pago])</f>
        <v>2590.26</v>
      </c>
      <c r="D13" s="18" t="n">
        <f aca="false">IFERROR(C13/$B$6,0)</f>
        <v>0.434372704679686</v>
      </c>
      <c r="E13" s="1"/>
      <c r="F13" s="1"/>
      <c r="G13" s="1"/>
      <c r="H13" s="1"/>
      <c r="I13" s="1"/>
      <c r="J13" s="1"/>
      <c r="K13" s="1"/>
      <c r="L13" s="1"/>
      <c r="M13" s="1"/>
      <c r="N13" s="1"/>
    </row>
    <row r="14" customFormat="false" ht="15" hidden="false" customHeight="true" outlineLevel="0" collapsed="false">
      <c r="A14" s="1"/>
      <c r="B14" s="19" t="s">
        <v>13</v>
      </c>
      <c r="C14" s="20" t="n">
        <f aca="false">SUMIF(tblCompras[Categoria],B14,tblCompras[Total Pago])</f>
        <v>871.89</v>
      </c>
      <c r="D14" s="21" t="n">
        <f aca="false">IFERROR(C14/$B$6,0)</f>
        <v>0.146211275116464</v>
      </c>
      <c r="E14" s="1"/>
      <c r="F14" s="1"/>
      <c r="G14" s="1"/>
      <c r="H14" s="1"/>
      <c r="I14" s="1"/>
      <c r="J14" s="1"/>
      <c r="K14" s="1"/>
      <c r="L14" s="1"/>
      <c r="M14" s="1"/>
      <c r="N14" s="1"/>
    </row>
    <row r="15" customFormat="false" ht="15" hidden="false" customHeight="true" outlineLevel="0" collapsed="false">
      <c r="A15" s="1"/>
      <c r="B15" s="16" t="s">
        <v>14</v>
      </c>
      <c r="C15" s="17" t="n">
        <f aca="false">SUMIF(tblCompras[Categoria],B15,tblCompras[Total Pago])</f>
        <v>845.46</v>
      </c>
      <c r="D15" s="18" t="n">
        <f aca="false">IFERROR(C15/$B$6,0)</f>
        <v>0.141779105919285</v>
      </c>
      <c r="E15" s="1"/>
      <c r="F15" s="1"/>
      <c r="G15" s="1"/>
      <c r="H15" s="1"/>
      <c r="I15" s="1"/>
      <c r="J15" s="1"/>
      <c r="K15" s="1"/>
      <c r="L15" s="1"/>
      <c r="M15" s="1"/>
      <c r="N15" s="1"/>
    </row>
    <row r="16" customFormat="false" ht="15" hidden="false" customHeight="true" outlineLevel="0" collapsed="false">
      <c r="A16" s="1"/>
      <c r="B16" s="19" t="s">
        <v>15</v>
      </c>
      <c r="C16" s="20" t="n">
        <f aca="false">SUMIF(tblCompras[Categoria],B16,tblCompras[Total Pago])</f>
        <v>547.56</v>
      </c>
      <c r="D16" s="21" t="n">
        <f aca="false">IFERROR(C16/$B$6,0)</f>
        <v>0.0918228742189623</v>
      </c>
      <c r="E16" s="1"/>
      <c r="F16" s="1"/>
      <c r="G16" s="1"/>
      <c r="H16" s="1"/>
      <c r="I16" s="1"/>
      <c r="J16" s="1"/>
      <c r="K16" s="1"/>
      <c r="L16" s="1"/>
      <c r="M16" s="1"/>
      <c r="N16" s="1"/>
    </row>
    <row r="17" customFormat="false" ht="15" hidden="false" customHeight="true" outlineLevel="0" collapsed="false">
      <c r="A17" s="1"/>
      <c r="B17" s="16" t="s">
        <v>16</v>
      </c>
      <c r="C17" s="17" t="n">
        <f aca="false">SUMIF(tblCompras[Categoria],B17,tblCompras[Total Pago])</f>
        <v>311.84</v>
      </c>
      <c r="D17" s="18" t="n">
        <f aca="false">IFERROR(C17/$B$6,0)</f>
        <v>0.0522938949091263</v>
      </c>
      <c r="E17" s="1"/>
      <c r="F17" s="1"/>
      <c r="G17" s="1"/>
      <c r="H17" s="1"/>
      <c r="I17" s="1"/>
      <c r="J17" s="1"/>
      <c r="K17" s="1"/>
      <c r="L17" s="1"/>
      <c r="M17" s="1"/>
      <c r="N17" s="1"/>
    </row>
    <row r="18" customFormat="false" ht="15" hidden="false" customHeight="true" outlineLevel="0" collapsed="false">
      <c r="A18" s="1"/>
      <c r="B18" s="19" t="s">
        <v>17</v>
      </c>
      <c r="C18" s="20" t="n">
        <f aca="false">SUMIF(tblCompras[Categoria],B18,tblCompras[Total Pago])</f>
        <v>205.97</v>
      </c>
      <c r="D18" s="21" t="n">
        <f aca="false">IFERROR(C18/$B$6,0)</f>
        <v>0.0345400639251948</v>
      </c>
      <c r="E18" s="1"/>
      <c r="F18" s="1"/>
      <c r="G18" s="1"/>
      <c r="H18" s="1"/>
      <c r="I18" s="1"/>
      <c r="J18" s="1"/>
      <c r="K18" s="1"/>
      <c r="L18" s="1"/>
      <c r="M18" s="1"/>
      <c r="N18" s="1"/>
    </row>
    <row r="19" customFormat="false" ht="15" hidden="false" customHeight="true" outlineLevel="0" collapsed="false">
      <c r="A19" s="1"/>
      <c r="B19" s="16" t="s">
        <v>18</v>
      </c>
      <c r="C19" s="17" t="n">
        <f aca="false">SUMIF(tblCompras[Categoria],B19,tblCompras[Total Pago])</f>
        <v>164.96</v>
      </c>
      <c r="D19" s="18" t="n">
        <f aca="false">IFERROR(C19/$B$6,0)</f>
        <v>0.027662906952955</v>
      </c>
      <c r="E19" s="1"/>
      <c r="F19" s="1"/>
      <c r="G19" s="1"/>
      <c r="H19" s="1"/>
      <c r="I19" s="1"/>
      <c r="J19" s="1"/>
      <c r="K19" s="1"/>
      <c r="L19" s="1"/>
      <c r="M19" s="1"/>
      <c r="N19" s="1"/>
    </row>
    <row r="20" customFormat="false" ht="15" hidden="false" customHeight="true" outlineLevel="0" collapsed="false">
      <c r="A20" s="1"/>
      <c r="B20" s="19" t="s">
        <v>19</v>
      </c>
      <c r="C20" s="20" t="n">
        <f aca="false">SUMIF(tblCompras[Categoria],B20,tblCompras[Total Pago])</f>
        <v>141.39</v>
      </c>
      <c r="D20" s="21" t="n">
        <f aca="false">IFERROR(C20/$B$6,0)</f>
        <v>0.0237103444112409</v>
      </c>
      <c r="E20" s="1"/>
      <c r="F20" s="1"/>
      <c r="G20" s="1"/>
      <c r="H20" s="1"/>
      <c r="I20" s="1"/>
      <c r="J20" s="1"/>
      <c r="K20" s="1"/>
      <c r="L20" s="1"/>
      <c r="M20" s="1"/>
      <c r="N20" s="1"/>
    </row>
    <row r="21" customFormat="false" ht="15" hidden="false" customHeight="true" outlineLevel="0" collapsed="false">
      <c r="A21" s="1"/>
      <c r="B21" s="16" t="s">
        <v>20</v>
      </c>
      <c r="C21" s="17" t="n">
        <f aca="false">SUMIF(tblCompras[Categoria],B21,tblCompras[Total Pago])</f>
        <v>73.92</v>
      </c>
      <c r="D21" s="18" t="n">
        <f aca="false">IFERROR(C21/$B$6,0)</f>
        <v>0.012395987402779</v>
      </c>
      <c r="E21" s="1"/>
      <c r="F21" s="1"/>
      <c r="G21" s="1"/>
      <c r="H21" s="1"/>
      <c r="I21" s="1"/>
      <c r="J21" s="1"/>
      <c r="K21" s="1"/>
      <c r="L21" s="1"/>
      <c r="M21" s="1"/>
      <c r="N21" s="1"/>
    </row>
    <row r="22" customFormat="false" ht="15" hidden="false" customHeight="true" outlineLevel="0" collapsed="false">
      <c r="A22" s="1"/>
      <c r="B22" s="19" t="s">
        <v>21</v>
      </c>
      <c r="C22" s="20" t="n">
        <f aca="false">SUMIF(tblCompras[Categoria],B22,tblCompras[Total Pago])</f>
        <v>51.15</v>
      </c>
      <c r="D22" s="21" t="n">
        <f aca="false">IFERROR(C22/$B$6,0)</f>
        <v>0.00857758056888728</v>
      </c>
      <c r="E22" s="1"/>
      <c r="F22" s="1"/>
      <c r="G22" s="1"/>
      <c r="H22" s="1"/>
      <c r="I22" s="1"/>
      <c r="J22" s="1"/>
      <c r="K22" s="1"/>
      <c r="L22" s="1"/>
      <c r="M22" s="1"/>
      <c r="N22" s="1"/>
    </row>
    <row r="23" customFormat="false" ht="15" hidden="false" customHeight="true" outlineLevel="0" collapsed="false">
      <c r="A23" s="1"/>
      <c r="B23" s="16" t="s">
        <v>22</v>
      </c>
      <c r="C23" s="17" t="n">
        <f aca="false">SUMIF(tblCompras[Categoria],B23,tblCompras[Total Pago])</f>
        <v>43.81</v>
      </c>
      <c r="D23" s="18" t="n">
        <f aca="false">IFERROR(C23/$B$6,0)</f>
        <v>0.00734670194961782</v>
      </c>
      <c r="E23" s="1"/>
      <c r="F23" s="1"/>
      <c r="G23" s="1"/>
      <c r="H23" s="1"/>
      <c r="I23" s="1"/>
      <c r="J23" s="1"/>
      <c r="K23" s="1"/>
      <c r="L23" s="1"/>
      <c r="M23" s="1"/>
      <c r="N23" s="1"/>
    </row>
    <row r="24" customFormat="false" ht="15" hidden="false" customHeight="true" outlineLevel="0" collapsed="false">
      <c r="A24" s="1"/>
      <c r="B24" s="19" t="s">
        <v>23</v>
      </c>
      <c r="C24" s="20" t="n">
        <f aca="false">SUMIF(tblCompras[Categoria],B24,tblCompras[Total Pago])</f>
        <v>34.6</v>
      </c>
      <c r="D24" s="21" t="n">
        <f aca="false">IFERROR(C24/$B$6,0)</f>
        <v>0.00580223436331378</v>
      </c>
      <c r="E24" s="1"/>
      <c r="F24" s="1"/>
      <c r="G24" s="1"/>
      <c r="H24" s="1"/>
      <c r="I24" s="1"/>
      <c r="J24" s="1"/>
      <c r="K24" s="1"/>
      <c r="L24" s="1"/>
      <c r="M24" s="1"/>
      <c r="N24" s="1"/>
    </row>
    <row r="25" customFormat="false" ht="15" hidden="false" customHeight="true" outlineLevel="0" collapsed="false">
      <c r="A25" s="1"/>
      <c r="B25" s="16" t="s">
        <v>24</v>
      </c>
      <c r="C25" s="17" t="n">
        <f aca="false">SUMIF(tblCompras[Categoria],B25,tblCompras[Total Pago])</f>
        <v>33.7</v>
      </c>
      <c r="D25" s="18" t="n">
        <f aca="false">IFERROR(C25/$B$6,0)</f>
        <v>0.00565130919201371</v>
      </c>
      <c r="E25" s="1"/>
      <c r="F25" s="1"/>
      <c r="G25" s="1"/>
      <c r="H25" s="1"/>
      <c r="I25" s="1"/>
      <c r="J25" s="1"/>
      <c r="K25" s="1"/>
      <c r="L25" s="1"/>
      <c r="M25" s="1"/>
      <c r="N25" s="1"/>
    </row>
    <row r="26" customFormat="false" ht="15" hidden="false" customHeight="true" outlineLevel="0" collapsed="false">
      <c r="A26" s="1"/>
      <c r="B26" s="19" t="s">
        <v>25</v>
      </c>
      <c r="C26" s="20" t="n">
        <f aca="false">SUMIF(tblCompras[Categoria],B26,tblCompras[Total Pago])</f>
        <v>30.57</v>
      </c>
      <c r="D26" s="21" t="n">
        <f aca="false">IFERROR(C26/$B$6,0)</f>
        <v>0.00512642498515903</v>
      </c>
      <c r="E26" s="1"/>
      <c r="F26" s="1"/>
      <c r="G26" s="1"/>
      <c r="H26" s="1"/>
      <c r="I26" s="1"/>
      <c r="J26" s="1"/>
      <c r="K26" s="1"/>
      <c r="L26" s="1"/>
      <c r="M26" s="1"/>
      <c r="N26" s="1"/>
    </row>
    <row r="27" customFormat="false" ht="15" hidden="false" customHeight="true" outlineLevel="0" collapsed="false">
      <c r="A27" s="1"/>
      <c r="B27" s="16" t="s">
        <v>26</v>
      </c>
      <c r="C27" s="17" t="n">
        <f aca="false">SUMIF(tblCompras[Categoria],B27,tblCompras[Total Pago])</f>
        <v>11.1</v>
      </c>
      <c r="D27" s="18" t="n">
        <f aca="false">IFERROR(C27/$B$6,0)</f>
        <v>0.00186141044603419</v>
      </c>
      <c r="E27" s="1"/>
      <c r="F27" s="1"/>
      <c r="G27" s="1"/>
      <c r="H27" s="1"/>
      <c r="I27" s="1"/>
      <c r="J27" s="1"/>
      <c r="K27" s="1"/>
      <c r="L27" s="1"/>
      <c r="M27" s="1"/>
      <c r="N27" s="1"/>
    </row>
    <row r="28" customFormat="false" ht="15" hidden="false" customHeight="true" outlineLevel="0" collapsed="false">
      <c r="A28" s="1"/>
      <c r="B28" s="19" t="s">
        <v>27</v>
      </c>
      <c r="C28" s="20" t="n">
        <f aca="false">SUMIF(tblCompras[Categoria],B28,tblCompras[Total Pago])</f>
        <v>5.04</v>
      </c>
      <c r="D28" s="21" t="n">
        <f aca="false">IFERROR(C28/$B$6,0)</f>
        <v>0.000845180959280389</v>
      </c>
      <c r="E28" s="1"/>
      <c r="F28" s="1"/>
      <c r="G28" s="1"/>
      <c r="H28" s="1"/>
      <c r="I28" s="1"/>
      <c r="J28" s="1"/>
      <c r="K28" s="1"/>
      <c r="L28" s="1"/>
      <c r="M28" s="1"/>
      <c r="N28" s="1"/>
    </row>
    <row r="29" customFormat="false" ht="15" hidden="false" customHeight="true" outlineLevel="0" collapsed="false">
      <c r="A29" s="1"/>
      <c r="B29" s="22" t="s">
        <v>10</v>
      </c>
      <c r="C29" s="23" t="n">
        <f aca="false">SUM(C13:C28)</f>
        <v>5963.22</v>
      </c>
      <c r="D29" s="24" t="n">
        <f aca="false">SUM(D13:D28)</f>
        <v>1</v>
      </c>
      <c r="E29" s="1"/>
      <c r="F29" s="1"/>
      <c r="G29" s="1"/>
      <c r="H29" s="1"/>
      <c r="I29" s="1"/>
      <c r="J29" s="1"/>
      <c r="K29" s="1"/>
      <c r="L29" s="1"/>
      <c r="M29" s="1"/>
      <c r="N29" s="1"/>
    </row>
    <row r="30" customFormat="false" ht="15" hidden="false" customHeight="true" outlineLevel="0" collapsed="false">
      <c r="A30" s="1"/>
      <c r="B30" s="1"/>
      <c r="C30" s="1"/>
      <c r="D30" s="1"/>
      <c r="E30" s="1"/>
      <c r="F30" s="1"/>
      <c r="G30" s="1"/>
      <c r="H30" s="1"/>
      <c r="I30" s="1"/>
      <c r="J30" s="1"/>
      <c r="K30" s="1"/>
      <c r="L30" s="1"/>
      <c r="M30" s="1"/>
      <c r="N30" s="1"/>
    </row>
    <row r="31" customFormat="false" ht="15" hidden="false" customHeight="true" outlineLevel="0" collapsed="false">
      <c r="A31" s="1"/>
      <c r="B31" s="1"/>
      <c r="C31" s="1"/>
      <c r="D31" s="1"/>
      <c r="E31" s="1"/>
      <c r="F31" s="1"/>
      <c r="G31" s="1"/>
      <c r="H31" s="1"/>
      <c r="I31" s="1"/>
      <c r="J31" s="1"/>
      <c r="K31" s="1"/>
      <c r="L31" s="1"/>
      <c r="M31" s="1"/>
      <c r="N31" s="1"/>
    </row>
    <row r="32" customFormat="false" ht="15.75" hidden="false" customHeight="true" outlineLevel="0" collapsed="false">
      <c r="A32" s="1"/>
      <c r="B32" s="13" t="s">
        <v>28</v>
      </c>
      <c r="C32" s="1"/>
      <c r="D32" s="1"/>
      <c r="E32" s="1"/>
      <c r="F32" s="1"/>
      <c r="G32" s="1"/>
      <c r="H32" s="1"/>
      <c r="I32" s="1"/>
      <c r="J32" s="1"/>
      <c r="K32" s="1"/>
      <c r="L32" s="1"/>
      <c r="M32" s="1"/>
      <c r="N32" s="1"/>
    </row>
    <row r="33" customFormat="false" ht="15" hidden="false" customHeight="true" outlineLevel="0" collapsed="false">
      <c r="A33" s="1"/>
      <c r="B33" s="14" t="s">
        <v>29</v>
      </c>
      <c r="C33" s="1"/>
      <c r="D33" s="1"/>
      <c r="E33" s="1"/>
      <c r="F33" s="1"/>
      <c r="G33" s="1"/>
      <c r="H33" s="1"/>
      <c r="I33" s="1"/>
      <c r="J33" s="1"/>
      <c r="K33" s="1"/>
      <c r="L33" s="1"/>
      <c r="M33" s="1"/>
      <c r="N33" s="1"/>
    </row>
    <row r="34" customFormat="false" ht="15" hidden="false" customHeight="true" outlineLevel="0" collapsed="false">
      <c r="A34" s="1"/>
      <c r="B34" s="1"/>
      <c r="C34" s="1"/>
      <c r="D34" s="1"/>
      <c r="E34" s="1"/>
      <c r="F34" s="1"/>
      <c r="G34" s="1"/>
      <c r="H34" s="1"/>
      <c r="I34" s="1"/>
      <c r="J34" s="1"/>
      <c r="K34" s="1"/>
      <c r="L34" s="1"/>
      <c r="M34" s="1"/>
      <c r="N34" s="1"/>
    </row>
    <row r="35" customFormat="false" ht="15" hidden="false" customHeight="true" outlineLevel="0" collapsed="false">
      <c r="A35" s="1"/>
      <c r="B35" s="15" t="s">
        <v>30</v>
      </c>
      <c r="C35" s="15" t="s">
        <v>10</v>
      </c>
      <c r="D35" s="15" t="s">
        <v>31</v>
      </c>
      <c r="E35" s="1"/>
      <c r="F35" s="1"/>
      <c r="G35" s="1"/>
      <c r="H35" s="1"/>
      <c r="I35" s="1"/>
      <c r="J35" s="1"/>
      <c r="K35" s="1"/>
      <c r="L35" s="1"/>
      <c r="M35" s="1"/>
      <c r="N35" s="1"/>
    </row>
    <row r="36" customFormat="false" ht="15" hidden="false" customHeight="true" outlineLevel="0" collapsed="false">
      <c r="A36" s="1"/>
      <c r="B36" s="25" t="str">
        <f aca="false">IF(Listas!E6="","",Listas!E6)</f>
        <v>mai/2026</v>
      </c>
      <c r="C36" s="17" t="n">
        <f aca="false">IF($B36="","",SUMIFS(tblCompras[Total Pago],tblCompras[Data],"&gt;="&amp;Listas!$H$6,tblCompras[Data],"&lt;="&amp;EOMONTH(Listas!$H$6,0)))</f>
        <v>2153.03</v>
      </c>
      <c r="D36" s="26" t="n">
        <f aca="false">IF($B36="","",COUNTIFS(tblCompras[Data],"&gt;="&amp;Listas!$H$6,tblCompras[Data],"&lt;="&amp;EOMONTH(Listas!$H$6,0)))</f>
        <v>240</v>
      </c>
      <c r="E36" s="1"/>
      <c r="F36" s="1"/>
      <c r="G36" s="1"/>
      <c r="H36" s="1"/>
      <c r="I36" s="1"/>
      <c r="J36" s="1"/>
      <c r="K36" s="1"/>
      <c r="L36" s="1"/>
      <c r="M36" s="1"/>
      <c r="N36" s="1"/>
    </row>
    <row r="37" customFormat="false" ht="15" hidden="false" customHeight="true" outlineLevel="0" collapsed="false">
      <c r="A37" s="1"/>
      <c r="B37" s="27" t="str">
        <f aca="false">IF(Listas!E7="","",Listas!E7)</f>
        <v>jun/2026</v>
      </c>
      <c r="C37" s="20" t="n">
        <f aca="false">IF($B37="","",SUMIFS(tblCompras[Total Pago],tblCompras[Data],"&gt;="&amp;Listas!$H$7,tblCompras[Data],"&lt;="&amp;EOMONTH(Listas!$H$7,0)))</f>
        <v>1585.03</v>
      </c>
      <c r="D37" s="28" t="n">
        <f aca="false">IF($B37="","",COUNTIFS(tblCompras[Data],"&gt;="&amp;Listas!$H$7,tblCompras[Data],"&lt;="&amp;EOMONTH(Listas!$H$7,0)))</f>
        <v>199</v>
      </c>
      <c r="E37" s="1"/>
      <c r="F37" s="1"/>
      <c r="G37" s="1"/>
      <c r="H37" s="1"/>
      <c r="I37" s="1"/>
      <c r="J37" s="1"/>
      <c r="K37" s="1"/>
      <c r="L37" s="1"/>
      <c r="M37" s="1"/>
      <c r="N37" s="1"/>
    </row>
    <row r="38" customFormat="false" ht="15" hidden="false" customHeight="true" outlineLevel="0" collapsed="false">
      <c r="A38" s="1"/>
      <c r="B38" s="25" t="str">
        <f aca="false">IF(Listas!E8="","",Listas!E8)</f>
        <v>jul/2026</v>
      </c>
      <c r="C38" s="17" t="n">
        <f aca="false">IF($B38="","",SUMIFS(tblCompras[Total Pago],tblCompras[Data],"&gt;="&amp;Listas!$H$8,tblCompras[Data],"&lt;="&amp;EOMONTH(Listas!$H$8,0)))</f>
        <v>1969.23</v>
      </c>
      <c r="D38" s="26" t="n">
        <f aca="false">IF($B38="","",COUNTIFS(tblCompras[Data],"&gt;="&amp;Listas!$H$8,tblCompras[Data],"&lt;="&amp;EOMONTH(Listas!$H$8,0)))</f>
        <v>207</v>
      </c>
      <c r="E38" s="1"/>
      <c r="F38" s="1"/>
      <c r="G38" s="1"/>
      <c r="H38" s="1"/>
      <c r="I38" s="1"/>
      <c r="J38" s="1"/>
      <c r="K38" s="1"/>
      <c r="L38" s="1"/>
      <c r="M38" s="1"/>
      <c r="N38" s="1"/>
    </row>
    <row r="39" customFormat="false" ht="15" hidden="false" customHeight="true" outlineLevel="0" collapsed="false">
      <c r="A39" s="1"/>
      <c r="B39" s="27" t="str">
        <f aca="false">IF(Listas!E9="","",Listas!E9)</f>
        <v>ago/2026</v>
      </c>
      <c r="C39" s="20" t="n">
        <f aca="false">IF($B39="","",SUMIFS(tblCompras[Total Pago],tblCompras[Data],"&gt;="&amp;Listas!$H$9,tblCompras[Data],"&lt;="&amp;EOMONTH(Listas!$H$9,0)))</f>
        <v>255.93</v>
      </c>
      <c r="D39" s="28" t="n">
        <f aca="false">IF($B39="","",COUNTIFS(tblCompras[Data],"&gt;="&amp;Listas!$H$9,tblCompras[Data],"&lt;="&amp;EOMONTH(Listas!$H$9,0)))</f>
        <v>25</v>
      </c>
      <c r="E39" s="1"/>
      <c r="F39" s="1"/>
      <c r="G39" s="1"/>
      <c r="H39" s="1"/>
      <c r="I39" s="1"/>
      <c r="J39" s="1"/>
      <c r="K39" s="1"/>
      <c r="L39" s="1"/>
      <c r="M39" s="1"/>
      <c r="N39" s="1"/>
    </row>
    <row r="40" customFormat="false" ht="15" hidden="false" customHeight="true" outlineLevel="0" collapsed="false">
      <c r="A40" s="1"/>
      <c r="B40" s="25" t="str">
        <f aca="false">IF(Listas!E10="","",Listas!E10)</f>
        <v/>
      </c>
      <c r="C40" s="17" t="str">
        <f aca="false">IF($B40="","",SUMIFS(tblCompras[Total Pago],tblCompras[Data],"&gt;="&amp;Listas!$H$10,tblCompras[Data],"&lt;="&amp;EOMONTH(Listas!$H$10,0)))</f>
        <v/>
      </c>
      <c r="D40" s="26" t="str">
        <f aca="false">IF($B40="","",COUNTIFS(tblCompras[Data],"&gt;="&amp;Listas!$H$10,tblCompras[Data],"&lt;="&amp;EOMONTH(Listas!$H$10,0)))</f>
        <v/>
      </c>
      <c r="E40" s="1"/>
      <c r="F40" s="1"/>
      <c r="G40" s="1"/>
      <c r="H40" s="1"/>
      <c r="I40" s="1"/>
      <c r="J40" s="1"/>
      <c r="K40" s="1"/>
      <c r="L40" s="1"/>
      <c r="M40" s="1"/>
      <c r="N40" s="1"/>
    </row>
    <row r="41" customFormat="false" ht="15" hidden="false" customHeight="true" outlineLevel="0" collapsed="false">
      <c r="A41" s="1"/>
      <c r="B41" s="27" t="str">
        <f aca="false">IF(Listas!E11="","",Listas!E11)</f>
        <v/>
      </c>
      <c r="C41" s="20" t="str">
        <f aca="false">IF($B41="","",SUMIFS(tblCompras[Total Pago],tblCompras[Data],"&gt;="&amp;Listas!$H$11,tblCompras[Data],"&lt;="&amp;EOMONTH(Listas!$H$11,0)))</f>
        <v/>
      </c>
      <c r="D41" s="28" t="str">
        <f aca="false">IF($B41="","",COUNTIFS(tblCompras[Data],"&gt;="&amp;Listas!$H$11,tblCompras[Data],"&lt;="&amp;EOMONTH(Listas!$H$11,0)))</f>
        <v/>
      </c>
      <c r="E41" s="1"/>
      <c r="F41" s="1"/>
      <c r="G41" s="1"/>
      <c r="H41" s="1"/>
      <c r="I41" s="1"/>
      <c r="J41" s="1"/>
      <c r="K41" s="1"/>
      <c r="L41" s="1"/>
      <c r="M41" s="1"/>
      <c r="N41" s="1"/>
    </row>
    <row r="42" customFormat="false" ht="15" hidden="false" customHeight="true" outlineLevel="0" collapsed="false">
      <c r="A42" s="1"/>
      <c r="B42" s="25" t="str">
        <f aca="false">IF(Listas!E12="","",Listas!E12)</f>
        <v/>
      </c>
      <c r="C42" s="17" t="str">
        <f aca="false">IF($B42="","",SUMIFS(tblCompras[Total Pago],tblCompras[Data],"&gt;="&amp;Listas!$H$12,tblCompras[Data],"&lt;="&amp;EOMONTH(Listas!$H$12,0)))</f>
        <v/>
      </c>
      <c r="D42" s="26" t="str">
        <f aca="false">IF($B42="","",COUNTIFS(tblCompras[Data],"&gt;="&amp;Listas!$H$12,tblCompras[Data],"&lt;="&amp;EOMONTH(Listas!$H$12,0)))</f>
        <v/>
      </c>
      <c r="E42" s="1"/>
      <c r="F42" s="1"/>
      <c r="G42" s="1"/>
      <c r="H42" s="1"/>
      <c r="I42" s="1"/>
      <c r="J42" s="1"/>
      <c r="K42" s="1"/>
      <c r="L42" s="1"/>
      <c r="M42" s="1"/>
      <c r="N42" s="1"/>
    </row>
    <row r="43" customFormat="false" ht="15" hidden="false" customHeight="true" outlineLevel="0" collapsed="false">
      <c r="A43" s="1"/>
      <c r="B43" s="27" t="str">
        <f aca="false">IF(Listas!E13="","",Listas!E13)</f>
        <v/>
      </c>
      <c r="C43" s="20" t="str">
        <f aca="false">IF($B43="","",SUMIFS(tblCompras[Total Pago],tblCompras[Data],"&gt;="&amp;Listas!$H$13,tblCompras[Data],"&lt;="&amp;EOMONTH(Listas!$H$13,0)))</f>
        <v/>
      </c>
      <c r="D43" s="28" t="str">
        <f aca="false">IF($B43="","",COUNTIFS(tblCompras[Data],"&gt;="&amp;Listas!$H$13,tblCompras[Data],"&lt;="&amp;EOMONTH(Listas!$H$13,0)))</f>
        <v/>
      </c>
      <c r="E43" s="1"/>
      <c r="F43" s="1"/>
      <c r="G43" s="1"/>
      <c r="H43" s="1"/>
      <c r="I43" s="1"/>
      <c r="J43" s="1"/>
      <c r="K43" s="1"/>
      <c r="L43" s="1"/>
      <c r="M43" s="1"/>
      <c r="N43" s="1"/>
    </row>
    <row r="44" customFormat="false" ht="15" hidden="false" customHeight="true" outlineLevel="0" collapsed="false">
      <c r="A44" s="1"/>
      <c r="B44" s="25" t="str">
        <f aca="false">IF(Listas!E14="","",Listas!E14)</f>
        <v/>
      </c>
      <c r="C44" s="17" t="str">
        <f aca="false">IF($B44="","",SUMIFS(tblCompras[Total Pago],tblCompras[Data],"&gt;="&amp;Listas!$H$14,tblCompras[Data],"&lt;="&amp;EOMONTH(Listas!$H$14,0)))</f>
        <v/>
      </c>
      <c r="D44" s="26" t="str">
        <f aca="false">IF($B44="","",COUNTIFS(tblCompras[Data],"&gt;="&amp;Listas!$H$14,tblCompras[Data],"&lt;="&amp;EOMONTH(Listas!$H$14,0)))</f>
        <v/>
      </c>
      <c r="E44" s="1"/>
      <c r="F44" s="1"/>
      <c r="G44" s="1"/>
      <c r="H44" s="1"/>
      <c r="I44" s="1"/>
      <c r="J44" s="1"/>
      <c r="K44" s="1"/>
      <c r="L44" s="1"/>
      <c r="M44" s="1"/>
      <c r="N44" s="1"/>
    </row>
    <row r="45" customFormat="false" ht="15" hidden="false" customHeight="true" outlineLevel="0" collapsed="false">
      <c r="A45" s="1"/>
      <c r="B45" s="27" t="str">
        <f aca="false">IF(Listas!E15="","",Listas!E15)</f>
        <v/>
      </c>
      <c r="C45" s="20" t="str">
        <f aca="false">IF($B45="","",SUMIFS(tblCompras[Total Pago],tblCompras[Data],"&gt;="&amp;Listas!$H$15,tblCompras[Data],"&lt;="&amp;EOMONTH(Listas!$H$15,0)))</f>
        <v/>
      </c>
      <c r="D45" s="28" t="str">
        <f aca="false">IF($B45="","",COUNTIFS(tblCompras[Data],"&gt;="&amp;Listas!$H$15,tblCompras[Data],"&lt;="&amp;EOMONTH(Listas!$H$15,0)))</f>
        <v/>
      </c>
      <c r="E45" s="1"/>
      <c r="F45" s="1"/>
      <c r="G45" s="1"/>
      <c r="H45" s="1"/>
      <c r="I45" s="1"/>
      <c r="J45" s="1"/>
      <c r="K45" s="1"/>
      <c r="L45" s="1"/>
      <c r="M45" s="1"/>
      <c r="N45" s="1"/>
    </row>
    <row r="46" customFormat="false" ht="15" hidden="false" customHeight="true" outlineLevel="0" collapsed="false">
      <c r="A46" s="1"/>
      <c r="B46" s="25" t="str">
        <f aca="false">IF(Listas!E16="","",Listas!E16)</f>
        <v/>
      </c>
      <c r="C46" s="17" t="str">
        <f aca="false">IF($B46="","",SUMIFS(tblCompras[Total Pago],tblCompras[Data],"&gt;="&amp;Listas!$H$16,tblCompras[Data],"&lt;="&amp;EOMONTH(Listas!$H$16,0)))</f>
        <v/>
      </c>
      <c r="D46" s="26" t="str">
        <f aca="false">IF($B46="","",COUNTIFS(tblCompras[Data],"&gt;="&amp;Listas!$H$16,tblCompras[Data],"&lt;="&amp;EOMONTH(Listas!$H$16,0)))</f>
        <v/>
      </c>
      <c r="E46" s="1"/>
      <c r="F46" s="1"/>
      <c r="G46" s="1"/>
      <c r="H46" s="1"/>
      <c r="I46" s="1"/>
      <c r="J46" s="1"/>
      <c r="K46" s="1"/>
      <c r="L46" s="1"/>
      <c r="M46" s="1"/>
      <c r="N46" s="1"/>
    </row>
    <row r="47" customFormat="false" ht="15" hidden="false" customHeight="true" outlineLevel="0" collapsed="false">
      <c r="A47" s="1"/>
      <c r="B47" s="27" t="str">
        <f aca="false">IF(Listas!E17="","",Listas!E17)</f>
        <v/>
      </c>
      <c r="C47" s="20" t="str">
        <f aca="false">IF($B47="","",SUMIFS(tblCompras[Total Pago],tblCompras[Data],"&gt;="&amp;Listas!$H$17,tblCompras[Data],"&lt;="&amp;EOMONTH(Listas!$H$17,0)))</f>
        <v/>
      </c>
      <c r="D47" s="28" t="str">
        <f aca="false">IF($B47="","",COUNTIFS(tblCompras[Data],"&gt;="&amp;Listas!$H$17,tblCompras[Data],"&lt;="&amp;EOMONTH(Listas!$H$17,0)))</f>
        <v/>
      </c>
      <c r="E47" s="1"/>
      <c r="F47" s="1"/>
      <c r="G47" s="1"/>
      <c r="H47" s="1"/>
      <c r="I47" s="1"/>
      <c r="J47" s="1"/>
      <c r="K47" s="1"/>
      <c r="L47" s="1"/>
      <c r="M47" s="1"/>
      <c r="N47" s="1"/>
    </row>
    <row r="48" customFormat="false" ht="15" hidden="false" customHeight="true" outlineLevel="0" collapsed="false">
      <c r="A48" s="1"/>
      <c r="B48" s="22" t="s">
        <v>10</v>
      </c>
      <c r="C48" s="23" t="n">
        <f aca="false">SUM(C36:C47)</f>
        <v>5963.22</v>
      </c>
      <c r="D48" s="29" t="n">
        <f aca="false">SUM(D36:D47)</f>
        <v>671</v>
      </c>
      <c r="E48" s="1"/>
      <c r="F48" s="1"/>
      <c r="G48" s="1"/>
      <c r="H48" s="1"/>
      <c r="I48" s="1"/>
      <c r="J48" s="1"/>
      <c r="K48" s="1"/>
      <c r="L48" s="1"/>
      <c r="M48" s="1"/>
      <c r="N48" s="1"/>
    </row>
    <row r="49" customFormat="false" ht="15" hidden="false" customHeight="true" outlineLevel="0" collapsed="false">
      <c r="A49" s="1"/>
      <c r="B49" s="1"/>
      <c r="C49" s="1"/>
      <c r="D49" s="1"/>
      <c r="E49" s="1"/>
      <c r="F49" s="1"/>
      <c r="G49" s="1"/>
      <c r="H49" s="1"/>
      <c r="I49" s="1"/>
      <c r="J49" s="1"/>
      <c r="K49" s="1"/>
      <c r="L49" s="1"/>
      <c r="M49" s="1"/>
      <c r="N49" s="1"/>
    </row>
    <row r="50" customFormat="false" ht="15" hidden="false" customHeight="true" outlineLevel="0" collapsed="false">
      <c r="A50" s="1"/>
      <c r="B50" s="1"/>
      <c r="C50" s="1"/>
      <c r="D50" s="1"/>
      <c r="E50" s="1"/>
      <c r="F50" s="1"/>
      <c r="G50" s="1"/>
      <c r="H50" s="1"/>
      <c r="I50" s="1"/>
      <c r="J50" s="1"/>
      <c r="K50" s="1"/>
      <c r="L50" s="1"/>
      <c r="M50" s="1"/>
      <c r="N50" s="1"/>
    </row>
    <row r="51" customFormat="false" ht="15.75" hidden="false" customHeight="true" outlineLevel="0" collapsed="false">
      <c r="A51" s="1"/>
      <c r="B51" s="13" t="s">
        <v>32</v>
      </c>
      <c r="C51" s="1"/>
      <c r="D51" s="1"/>
      <c r="E51" s="1"/>
      <c r="F51" s="1"/>
      <c r="G51" s="1"/>
      <c r="H51" s="1"/>
      <c r="I51" s="1"/>
      <c r="J51" s="1"/>
      <c r="K51" s="1"/>
      <c r="L51" s="1"/>
      <c r="M51" s="1"/>
      <c r="N51" s="1"/>
    </row>
    <row r="52" customFormat="false" ht="15" hidden="false" customHeight="true" outlineLevel="0" collapsed="false">
      <c r="A52" s="1"/>
      <c r="B52" s="14" t="s">
        <v>33</v>
      </c>
      <c r="C52" s="1"/>
      <c r="D52" s="1"/>
      <c r="E52" s="1"/>
      <c r="F52" s="1"/>
      <c r="G52" s="1"/>
      <c r="H52" s="1"/>
      <c r="I52" s="1"/>
      <c r="J52" s="1"/>
      <c r="K52" s="1"/>
      <c r="L52" s="1"/>
      <c r="M52" s="1"/>
      <c r="N52" s="1"/>
    </row>
    <row r="53" customFormat="false" ht="15" hidden="false" customHeight="true" outlineLevel="0" collapsed="false">
      <c r="A53" s="1"/>
      <c r="B53" s="1"/>
      <c r="C53" s="1"/>
      <c r="D53" s="1"/>
      <c r="E53" s="1"/>
      <c r="F53" s="1"/>
      <c r="G53" s="1"/>
      <c r="H53" s="1"/>
      <c r="I53" s="1"/>
      <c r="J53" s="1"/>
      <c r="K53" s="1"/>
      <c r="L53" s="1"/>
      <c r="M53" s="1"/>
      <c r="N53" s="1"/>
    </row>
    <row r="54" customFormat="false" ht="15" hidden="false" customHeight="true" outlineLevel="0" collapsed="false">
      <c r="A54" s="1"/>
      <c r="B54" s="15" t="s">
        <v>34</v>
      </c>
      <c r="C54" s="15" t="s">
        <v>10</v>
      </c>
      <c r="D54" s="15" t="s">
        <v>31</v>
      </c>
      <c r="E54" s="15" t="s">
        <v>35</v>
      </c>
      <c r="F54" s="15" t="s">
        <v>11</v>
      </c>
      <c r="G54" s="1"/>
      <c r="H54" s="1"/>
      <c r="I54" s="1"/>
      <c r="J54" s="1"/>
      <c r="K54" s="1"/>
      <c r="L54" s="1"/>
      <c r="M54" s="1"/>
      <c r="N54" s="1"/>
    </row>
    <row r="55" customFormat="false" ht="15" hidden="false" customHeight="true" outlineLevel="0" collapsed="false">
      <c r="A55" s="1"/>
      <c r="B55" s="16" t="s">
        <v>36</v>
      </c>
      <c r="C55" s="17" t="n">
        <f aca="false">SUMIF(tblCompras[Mercado],$B55,tblCompras[Total Pago])</f>
        <v>3935.17</v>
      </c>
      <c r="D55" s="26" t="n">
        <f aca="false">COUNTIF(tblCompras[Mercado],$B55)</f>
        <v>437</v>
      </c>
      <c r="E55" s="17" t="n">
        <f aca="false">IFERROR(C55/D55,0)</f>
        <v>9.00496567505721</v>
      </c>
      <c r="F55" s="18" t="n">
        <f aca="false">IFERROR(C55/$B$6,0)</f>
        <v>0.659906895938771</v>
      </c>
      <c r="G55" s="1"/>
      <c r="H55" s="1"/>
      <c r="I55" s="1"/>
      <c r="J55" s="1"/>
      <c r="K55" s="1"/>
      <c r="L55" s="1"/>
      <c r="M55" s="1"/>
      <c r="N55" s="1"/>
    </row>
    <row r="56" customFormat="false" ht="15" hidden="false" customHeight="true" outlineLevel="0" collapsed="false">
      <c r="A56" s="1"/>
      <c r="B56" s="19" t="s">
        <v>37</v>
      </c>
      <c r="C56" s="20" t="n">
        <f aca="false">SUMIF(tblCompras[Mercado],$B56,tblCompras[Total Pago])</f>
        <v>959.88</v>
      </c>
      <c r="D56" s="28" t="n">
        <f aca="false">COUNTIF(tblCompras[Mercado],$B56)</f>
        <v>112</v>
      </c>
      <c r="E56" s="20" t="n">
        <f aca="false">IFERROR(C56/D56,0)</f>
        <v>8.57035714285714</v>
      </c>
      <c r="F56" s="21" t="n">
        <f aca="false">IFERROR(C56/$B$6,0)</f>
        <v>0.160966726030567</v>
      </c>
      <c r="G56" s="1"/>
      <c r="H56" s="1"/>
      <c r="I56" s="1"/>
      <c r="J56" s="1"/>
      <c r="K56" s="1"/>
      <c r="L56" s="1"/>
      <c r="M56" s="1"/>
      <c r="N56" s="1"/>
    </row>
    <row r="57" customFormat="false" ht="15" hidden="false" customHeight="true" outlineLevel="0" collapsed="false">
      <c r="A57" s="1"/>
      <c r="B57" s="16" t="s">
        <v>38</v>
      </c>
      <c r="C57" s="17" t="n">
        <f aca="false">SUMIF(tblCompras[Mercado],$B57,tblCompras[Total Pago])</f>
        <v>547.35</v>
      </c>
      <c r="D57" s="26" t="n">
        <f aca="false">COUNTIF(tblCompras[Mercado],$B57)</f>
        <v>77</v>
      </c>
      <c r="E57" s="17" t="n">
        <f aca="false">IFERROR(C57/D57,0)</f>
        <v>7.10844155844156</v>
      </c>
      <c r="F57" s="18" t="n">
        <f aca="false">IFERROR(C57/$B$6,0)</f>
        <v>0.0917876583456589</v>
      </c>
      <c r="G57" s="1"/>
      <c r="H57" s="1"/>
      <c r="I57" s="1"/>
      <c r="J57" s="1"/>
      <c r="K57" s="1"/>
      <c r="L57" s="1"/>
      <c r="M57" s="1"/>
      <c r="N57" s="1"/>
    </row>
    <row r="58" customFormat="false" ht="15" hidden="false" customHeight="true" outlineLevel="0" collapsed="false">
      <c r="A58" s="1"/>
      <c r="B58" s="19" t="s">
        <v>39</v>
      </c>
      <c r="C58" s="20" t="n">
        <f aca="false">SUMIF(tblCompras[Mercado],$B58,tblCompras[Total Pago])</f>
        <v>148.6</v>
      </c>
      <c r="D58" s="28" t="n">
        <f aca="false">COUNTIF(tblCompras[Mercado],$B58)</f>
        <v>18</v>
      </c>
      <c r="E58" s="20" t="n">
        <f aca="false">IFERROR(C58/D58,0)</f>
        <v>8.25555555555556</v>
      </c>
      <c r="F58" s="21" t="n">
        <f aca="false">IFERROR(C58/$B$6,0)</f>
        <v>0.0249194227279892</v>
      </c>
      <c r="G58" s="1"/>
      <c r="H58" s="1"/>
      <c r="I58" s="1"/>
      <c r="J58" s="1"/>
      <c r="K58" s="1"/>
      <c r="L58" s="1"/>
      <c r="M58" s="1"/>
      <c r="N58" s="1"/>
    </row>
    <row r="59" customFormat="false" ht="15" hidden="false" customHeight="true" outlineLevel="0" collapsed="false">
      <c r="A59" s="1"/>
      <c r="B59" s="16" t="s">
        <v>40</v>
      </c>
      <c r="C59" s="17" t="n">
        <f aca="false">SUMIF(tblCompras[Mercado],$B59,tblCompras[Total Pago])</f>
        <v>81.9</v>
      </c>
      <c r="D59" s="26" t="n">
        <f aca="false">COUNTIF(tblCompras[Mercado],$B59)</f>
        <v>7</v>
      </c>
      <c r="E59" s="17" t="n">
        <f aca="false">IFERROR(C59/D59,0)</f>
        <v>11.7</v>
      </c>
      <c r="F59" s="18" t="n">
        <f aca="false">IFERROR(C59/$B$6,0)</f>
        <v>0.0137341905883063</v>
      </c>
      <c r="G59" s="1"/>
      <c r="H59" s="1"/>
      <c r="I59" s="1"/>
      <c r="J59" s="1"/>
      <c r="K59" s="1"/>
      <c r="L59" s="1"/>
      <c r="M59" s="1"/>
      <c r="N59" s="1"/>
    </row>
    <row r="60" customFormat="false" ht="15" hidden="false" customHeight="true" outlineLevel="0" collapsed="false">
      <c r="A60" s="1"/>
      <c r="B60" s="19" t="s">
        <v>41</v>
      </c>
      <c r="C60" s="20" t="n">
        <f aca="false">SUMIF(tblCompras[Mercado],$B60,tblCompras[Total Pago])</f>
        <v>78.48</v>
      </c>
      <c r="D60" s="28" t="n">
        <f aca="false">COUNTIF(tblCompras[Mercado],$B60)</f>
        <v>2</v>
      </c>
      <c r="E60" s="20" t="n">
        <f aca="false">IFERROR(C60/D60,0)</f>
        <v>39.24</v>
      </c>
      <c r="F60" s="21" t="n">
        <f aca="false">IFERROR(C60/$B$6,0)</f>
        <v>0.0131606749373661</v>
      </c>
      <c r="G60" s="1"/>
      <c r="H60" s="1"/>
      <c r="I60" s="1"/>
      <c r="J60" s="1"/>
      <c r="K60" s="1"/>
      <c r="L60" s="1"/>
      <c r="M60" s="1"/>
      <c r="N60" s="1"/>
    </row>
    <row r="61" customFormat="false" ht="15" hidden="false" customHeight="true" outlineLevel="0" collapsed="false">
      <c r="A61" s="1"/>
      <c r="B61" s="16" t="s">
        <v>42</v>
      </c>
      <c r="C61" s="17" t="n">
        <f aca="false">SUMIF(tblCompras[Mercado],$B61,tblCompras[Total Pago])</f>
        <v>51.15</v>
      </c>
      <c r="D61" s="26" t="n">
        <f aca="false">COUNTIF(tblCompras[Mercado],$B61)</f>
        <v>2</v>
      </c>
      <c r="E61" s="17" t="n">
        <f aca="false">IFERROR(C61/D61,0)</f>
        <v>25.575</v>
      </c>
      <c r="F61" s="18" t="n">
        <f aca="false">IFERROR(C61/$B$6,0)</f>
        <v>0.00857758056888728</v>
      </c>
      <c r="G61" s="1"/>
      <c r="H61" s="1"/>
      <c r="I61" s="1"/>
      <c r="J61" s="1"/>
      <c r="K61" s="1"/>
      <c r="L61" s="1"/>
      <c r="M61" s="1"/>
      <c r="N61" s="1"/>
    </row>
    <row r="62" customFormat="false" ht="15" hidden="false" customHeight="true" outlineLevel="0" collapsed="false">
      <c r="A62" s="1"/>
      <c r="B62" s="19" t="s">
        <v>43</v>
      </c>
      <c r="C62" s="20" t="n">
        <f aca="false">SUMIF(tblCompras[Mercado],$B62,tblCompras[Total Pago])</f>
        <v>39.98</v>
      </c>
      <c r="D62" s="28" t="n">
        <f aca="false">COUNTIF(tblCompras[Mercado],$B62)</f>
        <v>2</v>
      </c>
      <c r="E62" s="20" t="n">
        <f aca="false">IFERROR(C62/D62,0)</f>
        <v>19.99</v>
      </c>
      <c r="F62" s="21" t="n">
        <f aca="false">IFERROR(C62/$B$6,0)</f>
        <v>0.00670443149841864</v>
      </c>
      <c r="G62" s="1"/>
      <c r="H62" s="1"/>
      <c r="I62" s="1"/>
      <c r="J62" s="1"/>
      <c r="K62" s="1"/>
      <c r="L62" s="1"/>
      <c r="M62" s="1"/>
      <c r="N62" s="1"/>
    </row>
    <row r="63" customFormat="false" ht="15" hidden="false" customHeight="true" outlineLevel="0" collapsed="false">
      <c r="A63" s="1"/>
      <c r="B63" s="16" t="s">
        <v>44</v>
      </c>
      <c r="C63" s="17" t="n">
        <f aca="false">SUMIF(tblCompras[Mercado],$B63,tblCompras[Total Pago])</f>
        <v>39.96</v>
      </c>
      <c r="D63" s="26" t="n">
        <f aca="false">COUNTIF(tblCompras[Mercado],$B63)</f>
        <v>3</v>
      </c>
      <c r="E63" s="17" t="n">
        <f aca="false">IFERROR(C63/D63,0)</f>
        <v>13.32</v>
      </c>
      <c r="F63" s="18" t="n">
        <f aca="false">IFERROR(C63/$B$6,0)</f>
        <v>0.00670107760572308</v>
      </c>
      <c r="G63" s="1"/>
      <c r="H63" s="1"/>
      <c r="I63" s="1"/>
      <c r="J63" s="1"/>
      <c r="K63" s="1"/>
      <c r="L63" s="1"/>
      <c r="M63" s="1"/>
      <c r="N63" s="1"/>
    </row>
    <row r="64" customFormat="false" ht="15" hidden="false" customHeight="true" outlineLevel="0" collapsed="false">
      <c r="A64" s="1"/>
      <c r="B64" s="19" t="s">
        <v>45</v>
      </c>
      <c r="C64" s="20" t="n">
        <f aca="false">SUMIF(tblCompras[Mercado],$B64,tblCompras[Total Pago])</f>
        <v>27.67</v>
      </c>
      <c r="D64" s="28" t="n">
        <f aca="false">COUNTIF(tblCompras[Mercado],$B64)</f>
        <v>3</v>
      </c>
      <c r="E64" s="20" t="n">
        <f aca="false">IFERROR(C64/D64,0)</f>
        <v>9.22333333333333</v>
      </c>
      <c r="F64" s="21" t="n">
        <f aca="false">IFERROR(C64/$B$6,0)</f>
        <v>0.00464011054430325</v>
      </c>
      <c r="G64" s="1"/>
      <c r="H64" s="1"/>
      <c r="I64" s="1"/>
      <c r="J64" s="1"/>
      <c r="K64" s="1"/>
      <c r="L64" s="1"/>
      <c r="M64" s="1"/>
      <c r="N64" s="1"/>
    </row>
    <row r="65" customFormat="false" ht="15" hidden="false" customHeight="true" outlineLevel="0" collapsed="false">
      <c r="A65" s="1"/>
      <c r="B65" s="16" t="s">
        <v>46</v>
      </c>
      <c r="C65" s="17" t="n">
        <f aca="false">SUMIF(tblCompras[Mercado],$B65,tblCompras[Total Pago])</f>
        <v>20.92</v>
      </c>
      <c r="D65" s="26" t="n">
        <f aca="false">COUNTIF(tblCompras[Mercado],$B65)</f>
        <v>3</v>
      </c>
      <c r="E65" s="17" t="n">
        <f aca="false">IFERROR(C65/D65,0)</f>
        <v>6.97333333333333</v>
      </c>
      <c r="F65" s="18" t="n">
        <f aca="false">IFERROR(C65/$B$6,0)</f>
        <v>0.00350817175955273</v>
      </c>
      <c r="G65" s="1"/>
      <c r="H65" s="1"/>
      <c r="I65" s="1"/>
      <c r="J65" s="1"/>
      <c r="K65" s="1"/>
      <c r="L65" s="1"/>
      <c r="M65" s="1"/>
      <c r="N65" s="1"/>
    </row>
    <row r="66" customFormat="false" ht="15" hidden="false" customHeight="true" outlineLevel="0" collapsed="false">
      <c r="A66" s="1"/>
      <c r="B66" s="19" t="s">
        <v>47</v>
      </c>
      <c r="C66" s="20" t="n">
        <f aca="false">SUMIF(tblCompras[Mercado],$B66,tblCompras[Total Pago])</f>
        <v>18.18</v>
      </c>
      <c r="D66" s="28" t="n">
        <f aca="false">COUNTIF(tblCompras[Mercado],$B66)</f>
        <v>3</v>
      </c>
      <c r="E66" s="20" t="n">
        <f aca="false">IFERROR(C66/D66,0)</f>
        <v>6.06</v>
      </c>
      <c r="F66" s="21" t="n">
        <f aca="false">IFERROR(C66/$B$6,0)</f>
        <v>0.0030486884602614</v>
      </c>
      <c r="G66" s="1"/>
      <c r="H66" s="1"/>
      <c r="I66" s="1"/>
      <c r="J66" s="1"/>
      <c r="K66" s="1"/>
      <c r="L66" s="1"/>
      <c r="M66" s="1"/>
      <c r="N66" s="1"/>
    </row>
    <row r="67" customFormat="false" ht="15" hidden="false" customHeight="true" outlineLevel="0" collapsed="false">
      <c r="A67" s="1"/>
      <c r="B67" s="16" t="s">
        <v>48</v>
      </c>
      <c r="C67" s="17" t="n">
        <f aca="false">SUMIF(tblCompras[Mercado],$B67,tblCompras[Total Pago])</f>
        <v>13.98</v>
      </c>
      <c r="D67" s="26" t="n">
        <f aca="false">COUNTIF(tblCompras[Mercado],$B67)</f>
        <v>2</v>
      </c>
      <c r="E67" s="17" t="n">
        <f aca="false">IFERROR(C67/D67,0)</f>
        <v>6.99</v>
      </c>
      <c r="F67" s="18" t="n">
        <f aca="false">IFERROR(C67/$B$6,0)</f>
        <v>0.00234437099419441</v>
      </c>
      <c r="G67" s="1"/>
      <c r="H67" s="1"/>
      <c r="I67" s="1"/>
      <c r="J67" s="1"/>
      <c r="K67" s="1"/>
      <c r="L67" s="1"/>
      <c r="M67" s="1"/>
      <c r="N67" s="1"/>
    </row>
    <row r="68" customFormat="false" ht="15" hidden="false" customHeight="true" outlineLevel="0" collapsed="false">
      <c r="A68" s="1"/>
      <c r="B68" s="22" t="s">
        <v>10</v>
      </c>
      <c r="C68" s="23" t="n">
        <f aca="false">SUM(C55:C67)</f>
        <v>5963.22</v>
      </c>
      <c r="D68" s="29" t="n">
        <f aca="false">SUM(D55:D67)</f>
        <v>671</v>
      </c>
      <c r="E68" s="23" t="n">
        <f aca="false">IFERROR(C68/D68,0)</f>
        <v>8.88706408345753</v>
      </c>
      <c r="F68" s="24" t="n">
        <f aca="false">SUM(F55:F67)</f>
        <v>1</v>
      </c>
      <c r="G68" s="1"/>
      <c r="H68" s="1"/>
      <c r="I68" s="1"/>
      <c r="J68" s="1"/>
      <c r="K68" s="1"/>
      <c r="L68" s="1"/>
      <c r="M68" s="1"/>
      <c r="N68" s="1"/>
    </row>
    <row r="69" customFormat="false" ht="15" hidden="false" customHeight="true" outlineLevel="0" collapsed="false">
      <c r="A69" s="1"/>
      <c r="B69" s="1"/>
      <c r="C69" s="1"/>
      <c r="D69" s="1"/>
      <c r="E69" s="1"/>
      <c r="F69" s="1"/>
      <c r="G69" s="1"/>
      <c r="H69" s="1"/>
      <c r="I69" s="1"/>
      <c r="J69" s="1"/>
      <c r="K69" s="1"/>
      <c r="L69" s="1"/>
      <c r="M69" s="1"/>
      <c r="N69" s="1"/>
    </row>
    <row r="70" customFormat="false" ht="15" hidden="false" customHeight="true" outlineLevel="0" collapsed="false">
      <c r="A70" s="1"/>
      <c r="B70" s="1"/>
      <c r="C70" s="1"/>
      <c r="D70" s="1"/>
      <c r="E70" s="1"/>
      <c r="F70" s="1"/>
      <c r="G70" s="1"/>
      <c r="H70" s="1"/>
      <c r="I70" s="1"/>
      <c r="J70" s="1"/>
      <c r="K70" s="1"/>
      <c r="L70" s="1"/>
      <c r="M70" s="1"/>
      <c r="N70" s="1"/>
    </row>
    <row r="71" customFormat="false" ht="15.75" hidden="false" customHeight="true" outlineLevel="0" collapsed="false">
      <c r="A71" s="1"/>
      <c r="B71" s="13" t="s">
        <v>49</v>
      </c>
      <c r="C71" s="1"/>
      <c r="D71" s="1"/>
      <c r="E71" s="1"/>
      <c r="F71" s="1"/>
      <c r="G71" s="1"/>
      <c r="H71" s="1"/>
      <c r="I71" s="1"/>
      <c r="J71" s="1"/>
      <c r="K71" s="1"/>
      <c r="L71" s="1"/>
      <c r="M71" s="1"/>
      <c r="N71" s="1"/>
    </row>
    <row r="72" customFormat="false" ht="15" hidden="false" customHeight="true" outlineLevel="0" collapsed="false">
      <c r="A72" s="1"/>
      <c r="B72" s="14" t="s">
        <v>50</v>
      </c>
      <c r="C72" s="1"/>
      <c r="D72" s="1"/>
      <c r="E72" s="1"/>
      <c r="F72" s="1"/>
      <c r="G72" s="1"/>
      <c r="H72" s="1"/>
      <c r="I72" s="1"/>
      <c r="J72" s="1"/>
      <c r="K72" s="1"/>
      <c r="L72" s="1"/>
      <c r="M72" s="1"/>
      <c r="N72" s="1"/>
    </row>
    <row r="73" customFormat="false" ht="15" hidden="false" customHeight="true" outlineLevel="0" collapsed="false">
      <c r="A73" s="1"/>
      <c r="B73" s="1"/>
      <c r="C73" s="1"/>
      <c r="D73" s="1"/>
      <c r="E73" s="1"/>
      <c r="F73" s="1"/>
      <c r="G73" s="1"/>
      <c r="H73" s="1"/>
      <c r="I73" s="1"/>
      <c r="J73" s="1"/>
      <c r="K73" s="1"/>
      <c r="L73" s="1"/>
      <c r="M73" s="1"/>
      <c r="N73" s="1"/>
    </row>
    <row r="74" customFormat="false" ht="15" hidden="false" customHeight="true" outlineLevel="0" collapsed="false">
      <c r="A74" s="1"/>
      <c r="B74" s="15" t="s">
        <v>51</v>
      </c>
      <c r="C74" s="15" t="s">
        <v>52</v>
      </c>
      <c r="D74" s="15" t="s">
        <v>34</v>
      </c>
      <c r="E74" s="15" t="s">
        <v>53</v>
      </c>
      <c r="F74" s="1"/>
      <c r="G74" s="1"/>
      <c r="H74" s="1"/>
      <c r="I74" s="1"/>
      <c r="J74" s="1"/>
      <c r="K74" s="1"/>
      <c r="L74" s="1"/>
      <c r="M74" s="1"/>
      <c r="N74" s="1"/>
    </row>
    <row r="75" customFormat="false" ht="15" hidden="false" customHeight="true" outlineLevel="0" collapsed="false">
      <c r="A75" s="1"/>
      <c r="B75" s="25" t="n">
        <v>1</v>
      </c>
      <c r="C75" s="16" t="str">
        <f aca="false">IFERROR(INDEX(tblCompras[Produto],MATCH($E75,tblCompras[Total Pago],0)),"")</f>
        <v>QUEIJO MUSSARELA MANDAKA</v>
      </c>
      <c r="D75" s="30" t="str">
        <f aca="false">IFERROR(INDEX(tblCompras[Mercado],MATCH($E75,tblCompras[Total Pago],0)),"")</f>
        <v>Supermercados Nori</v>
      </c>
      <c r="E75" s="31" t="n">
        <f aca="false">IFERROR(LARGE(tblCompras[Total Pago],1),0)</f>
        <v>56.1</v>
      </c>
      <c r="F75" s="1"/>
      <c r="G75" s="1"/>
      <c r="H75" s="1"/>
      <c r="I75" s="1"/>
      <c r="J75" s="1"/>
      <c r="K75" s="1"/>
      <c r="L75" s="1"/>
      <c r="M75" s="1"/>
      <c r="N75" s="1"/>
    </row>
    <row r="76" customFormat="false" ht="15" hidden="false" customHeight="true" outlineLevel="0" collapsed="false">
      <c r="A76" s="1"/>
      <c r="B76" s="27" t="n">
        <v>2</v>
      </c>
      <c r="C76" s="19" t="str">
        <f aca="false">IFERROR(INDEX(tblCompras[Produto],MATCH($E76,tblCompras[Total Pago],0)),"")</f>
        <v>BOLO ANIVERSARIO</v>
      </c>
      <c r="D76" s="32" t="str">
        <f aca="false">IFERROR(INDEX(tblCompras[Mercado],MATCH($E76,tblCompras[Total Pago],0)),"")</f>
        <v>Supermercados Nori</v>
      </c>
      <c r="E76" s="33" t="n">
        <f aca="false">IFERROR(LARGE(tblCompras[Total Pago],2),0)</f>
        <v>55.77</v>
      </c>
      <c r="F76" s="1"/>
      <c r="G76" s="1"/>
      <c r="H76" s="1"/>
      <c r="I76" s="1"/>
      <c r="J76" s="1"/>
      <c r="K76" s="1"/>
      <c r="L76" s="1"/>
      <c r="M76" s="1"/>
      <c r="N76" s="1"/>
    </row>
    <row r="77" customFormat="false" ht="15" hidden="false" customHeight="true" outlineLevel="0" collapsed="false">
      <c r="A77" s="1"/>
      <c r="B77" s="25" t="n">
        <v>3</v>
      </c>
      <c r="C77" s="16" t="str">
        <f aca="false">IFERROR(INDEX(tblCompras[Produto],MATCH($E77,tblCompras[Total Pago],0)),"")</f>
        <v>PERNIL CARNEIRO TEMP</v>
      </c>
      <c r="D77" s="30" t="str">
        <f aca="false">IFERROR(INDEX(tblCompras[Mercado],MATCH($E77,tblCompras[Total Pago],0)),"")</f>
        <v>Casa de Carnes Barao da Carne</v>
      </c>
      <c r="E77" s="31" t="n">
        <f aca="false">IFERROR(LARGE(tblCompras[Total Pago],3),0)</f>
        <v>44.26</v>
      </c>
      <c r="F77" s="1"/>
      <c r="G77" s="1"/>
      <c r="H77" s="1"/>
      <c r="I77" s="1"/>
      <c r="J77" s="1"/>
      <c r="K77" s="1"/>
      <c r="L77" s="1"/>
      <c r="M77" s="1"/>
      <c r="N77" s="1"/>
    </row>
    <row r="78" customFormat="false" ht="15" hidden="false" customHeight="true" outlineLevel="0" collapsed="false">
      <c r="A78" s="1"/>
      <c r="B78" s="27" t="n">
        <v>4</v>
      </c>
      <c r="C78" s="19" t="str">
        <f aca="false">IFERROR(INDEX(tblCompras[Produto],MATCH($E78,tblCompras[Total Pago],0)),"")</f>
        <v>VALDA DIET 50GR</v>
      </c>
      <c r="D78" s="32" t="str">
        <f aca="false">IFERROR(INDEX(tblCompras[Mercado],MATCH($E78,tblCompras[Total Pago],0)),"")</f>
        <v>Lanchoti e Martins</v>
      </c>
      <c r="E78" s="33" t="n">
        <f aca="false">IFERROR(LARGE(tblCompras[Total Pago],4),0)</f>
        <v>34.56</v>
      </c>
      <c r="F78" s="1"/>
      <c r="G78" s="1"/>
      <c r="H78" s="1"/>
      <c r="I78" s="1"/>
      <c r="J78" s="1"/>
      <c r="K78" s="1"/>
      <c r="L78" s="1"/>
      <c r="M78" s="1"/>
      <c r="N78" s="1"/>
    </row>
    <row r="79" customFormat="false" ht="15" hidden="false" customHeight="true" outlineLevel="0" collapsed="false">
      <c r="A79" s="1"/>
      <c r="B79" s="25" t="n">
        <v>5</v>
      </c>
      <c r="C79" s="16" t="str">
        <f aca="false">IFERROR(INDEX(tblCompras[Produto],MATCH($E79,tblCompras[Total Pago],0)),"")</f>
        <v>COSTELINHA TEMP SUIN</v>
      </c>
      <c r="D79" s="30" t="str">
        <f aca="false">IFERROR(INDEX(tblCompras[Mercado],MATCH($E79,tblCompras[Total Pago],0)),"")</f>
        <v>Casa de Carnes Barao da Carne</v>
      </c>
      <c r="E79" s="31" t="n">
        <f aca="false">IFERROR(LARGE(tblCompras[Total Pago],5),0)</f>
        <v>34.22</v>
      </c>
      <c r="F79" s="1"/>
      <c r="G79" s="1"/>
      <c r="H79" s="1"/>
      <c r="I79" s="1"/>
      <c r="J79" s="1"/>
      <c r="K79" s="1"/>
      <c r="L79" s="1"/>
      <c r="M79" s="1"/>
      <c r="N79" s="1"/>
    </row>
    <row r="80" customFormat="false" ht="15" hidden="false" customHeight="true" outlineLevel="0" collapsed="false">
      <c r="A80" s="1"/>
      <c r="B80" s="27" t="n">
        <v>6</v>
      </c>
      <c r="C80" s="19" t="str">
        <f aca="false">IFERROR(INDEX(tblCompras[Produto],MATCH($E80,tblCompras[Total Pago],0)),"")</f>
        <v>CAFE TM 3 CORACOES</v>
      </c>
      <c r="D80" s="32" t="str">
        <f aca="false">IFERROR(INDEX(tblCompras[Mercado],MATCH($E80,tblCompras[Total Pago],0)),"")</f>
        <v>Supermercados Nori</v>
      </c>
      <c r="E80" s="33" t="n">
        <f aca="false">IFERROR(LARGE(tblCompras[Total Pago],6),0)</f>
        <v>31.7</v>
      </c>
      <c r="F80" s="1"/>
      <c r="G80" s="1"/>
      <c r="H80" s="1"/>
      <c r="I80" s="1"/>
      <c r="J80" s="1"/>
      <c r="K80" s="1"/>
      <c r="L80" s="1"/>
      <c r="M80" s="1"/>
      <c r="N80" s="1"/>
    </row>
    <row r="81" customFormat="false" ht="15" hidden="false" customHeight="true" outlineLevel="0" collapsed="false">
      <c r="A81" s="1"/>
      <c r="B81" s="25" t="n">
        <v>7</v>
      </c>
      <c r="C81" s="16" t="str">
        <f aca="false">IFERROR(INDEX(tblCompras[Produto],MATCH($E81,tblCompras[Total Pago],0)),"")</f>
        <v>CAFE TM UTAM</v>
      </c>
      <c r="D81" s="30" t="str">
        <f aca="false">IFERROR(INDEX(tblCompras[Mercado],MATCH($E81,tblCompras[Total Pago],0)),"")</f>
        <v>Supermercados Nori</v>
      </c>
      <c r="E81" s="31" t="n">
        <f aca="false">IFERROR(LARGE(tblCompras[Total Pago],7),0)</f>
        <v>30.99</v>
      </c>
      <c r="F81" s="1"/>
      <c r="G81" s="1"/>
      <c r="H81" s="1"/>
      <c r="I81" s="1"/>
      <c r="J81" s="1"/>
      <c r="K81" s="1"/>
      <c r="L81" s="1"/>
      <c r="M81" s="1"/>
      <c r="N81" s="1"/>
    </row>
    <row r="82" customFormat="false" ht="15" hidden="false" customHeight="true" outlineLevel="0" collapsed="false">
      <c r="A82" s="1"/>
      <c r="B82" s="27" t="n">
        <v>8</v>
      </c>
      <c r="C82" s="19" t="str">
        <f aca="false">IFERROR(INDEX(tblCompras[Produto],MATCH($E82,tblCompras[Total Pago],0)),"")</f>
        <v>Café Padrão 500g</v>
      </c>
      <c r="D82" s="32" t="str">
        <f aca="false">IFERROR(INDEX(tblCompras[Mercado],MATCH($E82,tblCompras[Total Pago],0)),"")</f>
        <v>Andre Novato Ribeiro</v>
      </c>
      <c r="E82" s="33" t="n">
        <f aca="false">IFERROR(LARGE(tblCompras[Total Pago],8),0)</f>
        <v>29.99</v>
      </c>
      <c r="F82" s="1"/>
      <c r="G82" s="1"/>
      <c r="H82" s="1"/>
      <c r="I82" s="1"/>
      <c r="J82" s="1"/>
      <c r="K82" s="1"/>
      <c r="L82" s="1"/>
      <c r="M82" s="1"/>
      <c r="N82" s="1"/>
    </row>
    <row r="83" customFormat="false" ht="15" hidden="false" customHeight="true" outlineLevel="0" collapsed="false">
      <c r="A83" s="1"/>
      <c r="B83" s="25" t="n">
        <v>9</v>
      </c>
      <c r="C83" s="16" t="str">
        <f aca="false">IFERROR(INDEX(tblCompras[Produto],MATCH($E83,tblCompras[Total Pago],0)),"")</f>
        <v>Café Padrão 500g</v>
      </c>
      <c r="D83" s="30" t="str">
        <f aca="false">IFERROR(INDEX(tblCompras[Mercado],MATCH($E83,tblCompras[Total Pago],0)),"")</f>
        <v>Andre Novato Ribeiro</v>
      </c>
      <c r="E83" s="31" t="n">
        <f aca="false">IFERROR(LARGE(tblCompras[Total Pago],9),0)</f>
        <v>29.99</v>
      </c>
      <c r="F83" s="1"/>
      <c r="G83" s="1"/>
      <c r="H83" s="1"/>
      <c r="I83" s="1"/>
      <c r="J83" s="1"/>
      <c r="K83" s="1"/>
      <c r="L83" s="1"/>
      <c r="M83" s="1"/>
      <c r="N83" s="1"/>
    </row>
    <row r="84" customFormat="false" ht="15" hidden="false" customHeight="true" outlineLevel="0" collapsed="false">
      <c r="A84" s="1"/>
      <c r="B84" s="27" t="n">
        <v>10</v>
      </c>
      <c r="C84" s="19" t="str">
        <f aca="false">IFERROR(INDEX(tblCompras[Produto],MATCH($E84,tblCompras[Total Pago],0)),"")</f>
        <v>MAIONESE DE LEGUMES</v>
      </c>
      <c r="D84" s="32" t="str">
        <f aca="false">IFERROR(INDEX(tblCompras[Mercado],MATCH($E84,tblCompras[Total Pago],0)),"")</f>
        <v>Supermercados Nori</v>
      </c>
      <c r="E84" s="33" t="n">
        <f aca="false">IFERROR(LARGE(tblCompras[Total Pago],10),0)</f>
        <v>29.44</v>
      </c>
      <c r="F84" s="1"/>
      <c r="G84" s="1"/>
      <c r="H84" s="1"/>
      <c r="I84" s="1"/>
      <c r="J84" s="1"/>
      <c r="K84" s="1"/>
      <c r="L84" s="1"/>
      <c r="M84" s="1"/>
      <c r="N84" s="1"/>
    </row>
    <row r="85" customFormat="false" ht="15" hidden="false" customHeight="true" outlineLevel="0" collapsed="false">
      <c r="A85" s="1"/>
      <c r="B85" s="1"/>
      <c r="C85" s="1"/>
      <c r="D85" s="1"/>
      <c r="E85" s="1"/>
      <c r="F85" s="1"/>
      <c r="G85" s="1"/>
      <c r="H85" s="1"/>
      <c r="I85" s="1"/>
      <c r="J85" s="1"/>
      <c r="K85" s="1"/>
      <c r="L85" s="1"/>
      <c r="M85" s="1"/>
      <c r="N85" s="1"/>
    </row>
    <row r="86" customFormat="false" ht="15" hidden="false" customHeight="true" outlineLevel="0" collapsed="false">
      <c r="A86" s="1"/>
      <c r="B86" s="1"/>
      <c r="C86" s="1"/>
      <c r="D86" s="1"/>
      <c r="E86" s="1"/>
      <c r="F86" s="1"/>
      <c r="G86" s="1"/>
      <c r="H86" s="1"/>
      <c r="I86" s="1"/>
      <c r="J86" s="1"/>
      <c r="K86" s="1"/>
      <c r="L86" s="1"/>
      <c r="M86" s="1"/>
      <c r="N86" s="1"/>
    </row>
    <row r="87" customFormat="false" ht="15" hidden="false" customHeight="true" outlineLevel="0" collapsed="false">
      <c r="A87" s="1"/>
      <c r="B87" s="1"/>
      <c r="C87" s="1"/>
      <c r="D87" s="1"/>
      <c r="E87" s="1"/>
      <c r="F87" s="1"/>
      <c r="G87" s="1"/>
      <c r="H87" s="1"/>
      <c r="I87" s="1"/>
      <c r="J87" s="1"/>
      <c r="K87" s="1"/>
      <c r="L87" s="1"/>
      <c r="M87" s="1"/>
      <c r="N87" s="1"/>
    </row>
    <row r="88" customFormat="false" ht="15" hidden="false" customHeight="true" outlineLevel="0" collapsed="false">
      <c r="A88" s="1"/>
      <c r="B88" s="1"/>
      <c r="C88" s="1"/>
      <c r="D88" s="1"/>
      <c r="E88" s="1"/>
      <c r="F88" s="1"/>
      <c r="G88" s="1"/>
      <c r="H88" s="1"/>
      <c r="I88" s="1"/>
      <c r="J88" s="1"/>
      <c r="K88" s="1"/>
      <c r="L88" s="1"/>
      <c r="M88" s="1"/>
      <c r="N88" s="1"/>
    </row>
    <row r="89" customFormat="false" ht="15" hidden="false" customHeight="true" outlineLevel="0" collapsed="false">
      <c r="A89" s="1"/>
      <c r="B89" s="1"/>
      <c r="C89" s="1"/>
      <c r="D89" s="1"/>
      <c r="E89" s="1"/>
      <c r="F89" s="1"/>
      <c r="G89" s="1"/>
      <c r="H89" s="1"/>
      <c r="I89" s="1"/>
      <c r="J89" s="1"/>
      <c r="K89" s="1"/>
      <c r="L89" s="1"/>
      <c r="M89" s="1"/>
      <c r="N89" s="1"/>
    </row>
    <row r="90" customFormat="false" ht="15" hidden="false" customHeight="true" outlineLevel="0" collapsed="false">
      <c r="A90" s="1"/>
      <c r="B90" s="1"/>
      <c r="C90" s="1"/>
      <c r="D90" s="1"/>
      <c r="E90" s="1"/>
      <c r="F90" s="1"/>
      <c r="G90" s="1"/>
      <c r="H90" s="1"/>
      <c r="I90" s="1"/>
      <c r="J90" s="1"/>
      <c r="K90" s="1"/>
      <c r="L90" s="1"/>
      <c r="M90" s="1"/>
      <c r="N90" s="1"/>
    </row>
    <row r="91" customFormat="false" ht="15" hidden="false" customHeight="true" outlineLevel="0" collapsed="false">
      <c r="A91" s="1"/>
      <c r="B91" s="1"/>
      <c r="C91" s="1"/>
      <c r="D91" s="1"/>
      <c r="E91" s="1"/>
      <c r="F91" s="1"/>
      <c r="G91" s="1"/>
      <c r="H91" s="1"/>
      <c r="I91" s="1"/>
      <c r="J91" s="1"/>
      <c r="K91" s="1"/>
      <c r="L91" s="1"/>
      <c r="M91" s="1"/>
      <c r="N91" s="1"/>
    </row>
    <row r="92" customFormat="false" ht="15" hidden="false" customHeight="true" outlineLevel="0" collapsed="false">
      <c r="A92" s="1"/>
      <c r="B92" s="1"/>
      <c r="C92" s="1"/>
      <c r="D92" s="1"/>
      <c r="E92" s="1"/>
      <c r="F92" s="1"/>
      <c r="G92" s="1"/>
      <c r="H92" s="1"/>
      <c r="I92" s="1"/>
      <c r="J92" s="1"/>
      <c r="K92" s="1"/>
      <c r="L92" s="1"/>
      <c r="M92" s="1"/>
      <c r="N92" s="1"/>
    </row>
    <row r="93" customFormat="false" ht="15" hidden="false" customHeight="true" outlineLevel="0" collapsed="false">
      <c r="A93" s="1"/>
      <c r="B93" s="1"/>
      <c r="C93" s="1"/>
      <c r="D93" s="1"/>
      <c r="E93" s="1"/>
      <c r="F93" s="1"/>
      <c r="G93" s="1"/>
      <c r="H93" s="1"/>
      <c r="I93" s="1"/>
      <c r="J93" s="1"/>
      <c r="K93" s="1"/>
      <c r="L93" s="1"/>
      <c r="M93" s="1"/>
      <c r="N93" s="1"/>
    </row>
    <row r="94" customFormat="false" ht="15" hidden="false" customHeight="true" outlineLevel="0" collapsed="false">
      <c r="A94" s="1"/>
      <c r="B94" s="1"/>
      <c r="C94" s="1"/>
      <c r="D94" s="1"/>
      <c r="E94" s="1"/>
      <c r="F94" s="1"/>
      <c r="G94" s="1"/>
      <c r="H94" s="1"/>
      <c r="I94" s="1"/>
      <c r="J94" s="1"/>
      <c r="K94" s="1"/>
      <c r="L94" s="1"/>
      <c r="M94" s="1"/>
      <c r="N94" s="1"/>
    </row>
    <row r="95" customFormat="false" ht="15" hidden="false" customHeight="true" outlineLevel="0" collapsed="false">
      <c r="A95" s="1"/>
      <c r="B95" s="1"/>
      <c r="C95" s="1"/>
      <c r="D95" s="1"/>
      <c r="E95" s="1"/>
      <c r="F95" s="1"/>
      <c r="G95" s="1"/>
      <c r="H95" s="1"/>
      <c r="I95" s="1"/>
      <c r="J95" s="1"/>
      <c r="K95" s="1"/>
      <c r="L95" s="1"/>
      <c r="M95" s="1"/>
      <c r="N95" s="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FB950"/>
    <pageSetUpPr fitToPage="false"/>
  </sheetPr>
  <dimension ref="A1:N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16" activeCellId="0" sqref="B16"/>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3" min="3" style="0" width="11"/>
    <col collapsed="false" customWidth="true" hidden="false" outlineLevel="0" max="4" min="4" style="0" width="12.43"/>
    <col collapsed="false" customWidth="true" hidden="false" outlineLevel="0" max="5" min="5" style="0" width="17"/>
    <col collapsed="false" customWidth="true" hidden="false" outlineLevel="0" max="6" min="6" style="0" width="22"/>
    <col collapsed="false" customWidth="true" hidden="false" outlineLevel="0" max="7" min="7" style="0" width="2"/>
    <col collapsed="false" customWidth="true" hidden="false" outlineLevel="0" max="12" min="8" style="0" width="12"/>
    <col collapsed="false" customWidth="true" hidden="false" outlineLevel="0" max="13" min="13" style="0" width="9.86"/>
    <col collapsed="false" customWidth="true" hidden="false" outlineLevel="0" max="14" min="14" style="0" width="2"/>
  </cols>
  <sheetData>
    <row r="1" customFormat="false" ht="15" hidden="false" customHeight="true" outlineLevel="0" collapsed="false">
      <c r="A1" s="1"/>
      <c r="B1" s="1"/>
      <c r="C1" s="1"/>
      <c r="D1" s="1"/>
      <c r="E1" s="1"/>
      <c r="F1" s="1"/>
      <c r="G1" s="1"/>
      <c r="H1" s="1"/>
      <c r="I1" s="1"/>
      <c r="J1" s="1"/>
      <c r="K1" s="1"/>
      <c r="L1" s="1"/>
      <c r="M1" s="1"/>
      <c r="N1" s="1"/>
    </row>
    <row r="2" customFormat="false" ht="30" hidden="false" customHeight="true" outlineLevel="0" collapsed="false">
      <c r="A2" s="1"/>
      <c r="B2" s="2" t="s">
        <v>54</v>
      </c>
      <c r="C2" s="1"/>
      <c r="D2" s="1"/>
      <c r="E2" s="1"/>
      <c r="F2" s="1"/>
      <c r="G2" s="1"/>
      <c r="H2" s="1"/>
      <c r="I2" s="1"/>
      <c r="J2" s="1"/>
      <c r="K2" s="1"/>
      <c r="L2" s="1"/>
      <c r="M2" s="1"/>
      <c r="N2" s="1"/>
    </row>
    <row r="3" customFormat="false" ht="15" hidden="false" customHeight="true" outlineLevel="0" collapsed="false">
      <c r="A3" s="1"/>
      <c r="B3" s="3" t="s">
        <v>55</v>
      </c>
      <c r="C3" s="1"/>
      <c r="D3" s="1"/>
      <c r="E3" s="1"/>
      <c r="F3" s="1"/>
      <c r="G3" s="1"/>
      <c r="H3" s="1"/>
      <c r="I3" s="1"/>
      <c r="J3" s="1"/>
      <c r="K3" s="1"/>
      <c r="L3" s="1"/>
      <c r="M3" s="1"/>
      <c r="N3" s="1"/>
    </row>
    <row r="4" customFormat="false" ht="15" hidden="false" customHeight="true" outlineLevel="0" collapsed="false">
      <c r="A4" s="1"/>
      <c r="B4" s="1"/>
      <c r="C4" s="1"/>
      <c r="D4" s="1"/>
      <c r="E4" s="1"/>
      <c r="F4" s="1"/>
      <c r="G4" s="1"/>
      <c r="H4" s="1"/>
      <c r="I4" s="1"/>
      <c r="J4" s="1"/>
      <c r="K4" s="1"/>
      <c r="L4" s="1"/>
      <c r="M4" s="14" t="s">
        <v>56</v>
      </c>
      <c r="N4" s="1"/>
    </row>
    <row r="5" customFormat="false" ht="15" hidden="false" customHeight="true" outlineLevel="0" collapsed="false">
      <c r="A5" s="1"/>
      <c r="B5" s="34" t="s">
        <v>57</v>
      </c>
      <c r="C5" s="1"/>
      <c r="D5" s="34" t="s">
        <v>58</v>
      </c>
      <c r="E5" s="1"/>
      <c r="F5" s="34" t="s">
        <v>59</v>
      </c>
      <c r="G5" s="1"/>
      <c r="H5" s="1"/>
      <c r="I5" s="1"/>
      <c r="J5" s="1"/>
      <c r="K5" s="1"/>
      <c r="L5" s="1"/>
      <c r="M5" s="14" t="n">
        <f aca="false">IFERROR(MATCH($B$6,Listas!$E$6:$E$17,0),0)</f>
        <v>3</v>
      </c>
      <c r="N5" s="1"/>
    </row>
    <row r="6" customFormat="false" ht="24" hidden="false" customHeight="true" outlineLevel="0" collapsed="false">
      <c r="A6" s="1"/>
      <c r="B6" s="35" t="s">
        <v>60</v>
      </c>
      <c r="C6" s="1"/>
      <c r="D6" s="35" t="s">
        <v>61</v>
      </c>
      <c r="E6" s="1"/>
      <c r="F6" s="35" t="s">
        <v>61</v>
      </c>
      <c r="G6" s="1"/>
      <c r="H6" s="1"/>
      <c r="I6" s="1"/>
      <c r="J6" s="1"/>
      <c r="K6" s="1"/>
      <c r="L6" s="1"/>
      <c r="M6" s="36" t="n">
        <f aca="false">IF($M$5=0,DATE(1900,1,1),EOMONTH(MIN(tblCompras[Data]),$M$5-2)+1)</f>
        <v>46204</v>
      </c>
      <c r="N6" s="1"/>
    </row>
    <row r="7" customFormat="false" ht="15" hidden="false" customHeight="true" outlineLevel="0" collapsed="false">
      <c r="A7" s="1"/>
      <c r="B7" s="1"/>
      <c r="C7" s="1"/>
      <c r="D7" s="1"/>
      <c r="E7" s="1"/>
      <c r="F7" s="1"/>
      <c r="G7" s="1"/>
      <c r="H7" s="1"/>
      <c r="I7" s="1"/>
      <c r="J7" s="1"/>
      <c r="K7" s="1"/>
      <c r="L7" s="1"/>
      <c r="M7" s="36" t="n">
        <f aca="false">IF($M$5=0,DATE(9999,12,31),EOMONTH($M$6,0))</f>
        <v>46234</v>
      </c>
      <c r="N7" s="1"/>
    </row>
    <row r="8" customFormat="false" ht="15.75" hidden="false" customHeight="true" outlineLevel="0" collapsed="false">
      <c r="A8" s="1"/>
      <c r="B8" s="4" t="s">
        <v>62</v>
      </c>
      <c r="C8" s="5" t="s">
        <v>63</v>
      </c>
      <c r="D8" s="6" t="s">
        <v>4</v>
      </c>
      <c r="E8" s="7" t="s">
        <v>64</v>
      </c>
      <c r="F8" s="1"/>
      <c r="G8" s="1"/>
      <c r="H8" s="1"/>
      <c r="I8" s="1"/>
      <c r="J8" s="1"/>
      <c r="K8" s="1"/>
      <c r="L8" s="1"/>
      <c r="M8" s="1"/>
      <c r="N8" s="1"/>
    </row>
    <row r="9" customFormat="false" ht="27.75" hidden="false" customHeight="true" outlineLevel="0" collapsed="false">
      <c r="A9" s="1"/>
      <c r="B9" s="11" t="n">
        <f aca="false">SUMIFS(tblCompras[Total Pago],tblCompras[Data],"&gt;="&amp;$M$6,tblCompras[Data],"&lt;="&amp;$M$7,tblCompras[Categoria],IF($D$6="(Todos)","*",$D$6),tblCompras[Mercado],IF($F$6="(Todos)","*",$F$6))</f>
        <v>1969.23</v>
      </c>
      <c r="C9" s="10" t="n">
        <f aca="false">COUNTIFS(tblCompras[Data],"&gt;="&amp;$M$6,tblCompras[Data],"&lt;="&amp;$M$7,tblCompras[Categoria],IF($D$6="(Todos)","*",$D$6),tblCompras[Mercado],IF($F$6="(Todos)","*",$F$6))</f>
        <v>207</v>
      </c>
      <c r="D9" s="11" t="n">
        <f aca="false">IFERROR(B9/C9,0)</f>
        <v>9.5131884057971</v>
      </c>
      <c r="E9" s="37" t="n">
        <f aca="false">IFERROR(B9/SUM(tblCompras[Total Pago]),0)</f>
        <v>0.330229305643595</v>
      </c>
      <c r="F9" s="1"/>
      <c r="G9" s="1"/>
      <c r="H9" s="1"/>
      <c r="I9" s="1"/>
      <c r="J9" s="1"/>
      <c r="K9" s="1"/>
      <c r="L9" s="1"/>
      <c r="M9" s="1"/>
      <c r="N9" s="1"/>
    </row>
    <row r="10" customFormat="false" ht="15" hidden="false" customHeight="true" outlineLevel="0" collapsed="false">
      <c r="A10" s="1"/>
      <c r="B10" s="1"/>
      <c r="C10" s="1"/>
      <c r="D10" s="1"/>
      <c r="E10" s="1"/>
      <c r="F10" s="1"/>
      <c r="G10" s="1"/>
      <c r="H10" s="1"/>
      <c r="I10" s="1"/>
      <c r="J10" s="1"/>
      <c r="K10" s="1"/>
      <c r="L10" s="1"/>
      <c r="M10" s="1"/>
      <c r="N10" s="1"/>
    </row>
    <row r="11" customFormat="false" ht="15" hidden="false" customHeight="true" outlineLevel="0" collapsed="false">
      <c r="A11" s="1"/>
      <c r="B11" s="1"/>
      <c r="C11" s="1"/>
      <c r="D11" s="1"/>
      <c r="E11" s="1"/>
      <c r="F11" s="1"/>
      <c r="G11" s="1"/>
      <c r="H11" s="1"/>
      <c r="I11" s="1"/>
      <c r="J11" s="1"/>
      <c r="K11" s="1"/>
      <c r="L11" s="1"/>
      <c r="M11" s="1"/>
      <c r="N11" s="1"/>
    </row>
    <row r="12" customFormat="false" ht="15.75" hidden="false" customHeight="true" outlineLevel="0" collapsed="false">
      <c r="A12" s="1"/>
      <c r="B12" s="13" t="s">
        <v>65</v>
      </c>
      <c r="C12" s="1"/>
      <c r="D12" s="1"/>
      <c r="E12" s="1"/>
      <c r="F12" s="1"/>
      <c r="G12" s="1"/>
      <c r="H12" s="1"/>
      <c r="I12" s="1"/>
      <c r="J12" s="1"/>
      <c r="K12" s="1"/>
      <c r="L12" s="1"/>
      <c r="M12" s="1"/>
      <c r="N12" s="1"/>
    </row>
    <row r="13" customFormat="false" ht="15" hidden="false" customHeight="true" outlineLevel="0" collapsed="false">
      <c r="A13" s="1"/>
      <c r="B13" s="14" t="s">
        <v>66</v>
      </c>
      <c r="C13" s="1"/>
      <c r="D13" s="1"/>
      <c r="E13" s="1"/>
      <c r="F13" s="1"/>
      <c r="G13" s="1"/>
      <c r="H13" s="1"/>
      <c r="I13" s="1"/>
      <c r="J13" s="1"/>
      <c r="K13" s="1"/>
      <c r="L13" s="1"/>
      <c r="M13" s="1"/>
      <c r="N13" s="1"/>
    </row>
    <row r="14" customFormat="false" ht="15" hidden="false" customHeight="true" outlineLevel="0" collapsed="false">
      <c r="A14" s="1"/>
      <c r="B14" s="1"/>
      <c r="C14" s="1"/>
      <c r="D14" s="1"/>
      <c r="E14" s="1"/>
      <c r="F14" s="1"/>
      <c r="G14" s="1"/>
      <c r="H14" s="1"/>
      <c r="I14" s="1"/>
      <c r="J14" s="1"/>
      <c r="K14" s="1"/>
      <c r="L14" s="1"/>
      <c r="M14" s="1"/>
      <c r="N14" s="1"/>
    </row>
    <row r="15" customFormat="false" ht="15" hidden="false" customHeight="true" outlineLevel="0" collapsed="false">
      <c r="A15" s="1"/>
      <c r="B15" s="15" t="s">
        <v>9</v>
      </c>
      <c r="C15" s="15" t="s">
        <v>10</v>
      </c>
      <c r="D15" s="1"/>
      <c r="E15" s="1"/>
      <c r="F15" s="1"/>
      <c r="G15" s="1"/>
      <c r="H15" s="1"/>
      <c r="I15" s="1"/>
      <c r="J15" s="1"/>
      <c r="K15" s="1"/>
      <c r="L15" s="1"/>
      <c r="M15" s="1"/>
      <c r="N15" s="1"/>
    </row>
    <row r="16" customFormat="false" ht="15" hidden="false" customHeight="true" outlineLevel="0" collapsed="false">
      <c r="A16" s="1"/>
      <c r="B16" s="16" t="s">
        <v>12</v>
      </c>
      <c r="C16" s="17" t="n">
        <f aca="false">SUMIFS(tblCompras[Total Pago],tblCompras[Categoria],$B16,tblCompras[Data],"&gt;="&amp;$M$6,tblCompras[Data],"&lt;="&amp;$M$7,tblCompras[Mercado],IF($F$6="(Todos)","*",$F$6))</f>
        <v>862.17</v>
      </c>
      <c r="D16" s="1"/>
      <c r="E16" s="1"/>
      <c r="F16" s="1"/>
      <c r="G16" s="1"/>
      <c r="H16" s="1"/>
      <c r="I16" s="1"/>
      <c r="J16" s="1"/>
      <c r="K16" s="1"/>
      <c r="L16" s="1"/>
      <c r="M16" s="1"/>
      <c r="N16" s="1"/>
    </row>
    <row r="17" customFormat="false" ht="15" hidden="false" customHeight="true" outlineLevel="0" collapsed="false">
      <c r="A17" s="1"/>
      <c r="B17" s="19" t="s">
        <v>13</v>
      </c>
      <c r="C17" s="20" t="n">
        <f aca="false">SUMIFS(tblCompras[Total Pago],tblCompras[Categoria],$B17,tblCompras[Data],"&gt;="&amp;$M$6,tblCompras[Data],"&lt;="&amp;$M$7,tblCompras[Mercado],IF($F$6="(Todos)","*",$F$6))</f>
        <v>338.09</v>
      </c>
      <c r="D17" s="1"/>
      <c r="E17" s="1"/>
      <c r="F17" s="1"/>
      <c r="G17" s="1"/>
      <c r="H17" s="1"/>
      <c r="I17" s="1"/>
      <c r="J17" s="1"/>
      <c r="K17" s="1"/>
      <c r="L17" s="1"/>
      <c r="M17" s="1"/>
      <c r="N17" s="1"/>
    </row>
    <row r="18" customFormat="false" ht="15" hidden="false" customHeight="true" outlineLevel="0" collapsed="false">
      <c r="A18" s="1"/>
      <c r="B18" s="16" t="s">
        <v>14</v>
      </c>
      <c r="C18" s="17" t="n">
        <f aca="false">SUMIFS(tblCompras[Total Pago],tblCompras[Categoria],$B18,tblCompras[Data],"&gt;="&amp;$M$6,tblCompras[Data],"&lt;="&amp;$M$7,tblCompras[Mercado],IF($F$6="(Todos)","*",$F$6))</f>
        <v>332.25</v>
      </c>
      <c r="D18" s="1"/>
      <c r="E18" s="1"/>
      <c r="F18" s="1"/>
      <c r="G18" s="1"/>
      <c r="H18" s="1"/>
      <c r="I18" s="1"/>
      <c r="J18" s="1"/>
      <c r="K18" s="1"/>
      <c r="L18" s="1"/>
      <c r="M18" s="1"/>
      <c r="N18" s="1"/>
    </row>
    <row r="19" customFormat="false" ht="15" hidden="false" customHeight="true" outlineLevel="0" collapsed="false">
      <c r="A19" s="1"/>
      <c r="B19" s="19" t="s">
        <v>15</v>
      </c>
      <c r="C19" s="20" t="n">
        <f aca="false">SUMIFS(tblCompras[Total Pago],tblCompras[Categoria],$B19,tblCompras[Data],"&gt;="&amp;$M$6,tblCompras[Data],"&lt;="&amp;$M$7,tblCompras[Mercado],IF($F$6="(Todos)","*",$F$6))</f>
        <v>169.31</v>
      </c>
      <c r="D19" s="1"/>
      <c r="E19" s="1"/>
      <c r="F19" s="1"/>
      <c r="G19" s="1"/>
      <c r="H19" s="1"/>
      <c r="I19" s="1"/>
      <c r="J19" s="1"/>
      <c r="K19" s="1"/>
      <c r="L19" s="1"/>
      <c r="M19" s="1"/>
      <c r="N19" s="1"/>
    </row>
    <row r="20" customFormat="false" ht="15" hidden="false" customHeight="true" outlineLevel="0" collapsed="false">
      <c r="A20" s="1"/>
      <c r="B20" s="16" t="s">
        <v>16</v>
      </c>
      <c r="C20" s="17" t="n">
        <f aca="false">SUMIFS(tblCompras[Total Pago],tblCompras[Categoria],$B20,tblCompras[Data],"&gt;="&amp;$M$6,tblCompras[Data],"&lt;="&amp;$M$7,tblCompras[Mercado],IF($F$6="(Todos)","*",$F$6))</f>
        <v>122.28</v>
      </c>
      <c r="D20" s="1"/>
      <c r="E20" s="1"/>
      <c r="F20" s="1"/>
      <c r="G20" s="1"/>
      <c r="H20" s="1"/>
      <c r="I20" s="1"/>
      <c r="J20" s="1"/>
      <c r="K20" s="1"/>
      <c r="L20" s="1"/>
      <c r="M20" s="1"/>
      <c r="N20" s="1"/>
    </row>
    <row r="21" customFormat="false" ht="15" hidden="false" customHeight="true" outlineLevel="0" collapsed="false">
      <c r="A21" s="1"/>
      <c r="B21" s="19" t="s">
        <v>17</v>
      </c>
      <c r="C21" s="20" t="n">
        <f aca="false">SUMIFS(tblCompras[Total Pago],tblCompras[Categoria],$B21,tblCompras[Data],"&gt;="&amp;$M$6,tblCompras[Data],"&lt;="&amp;$M$7,tblCompras[Mercado],IF($F$6="(Todos)","*",$F$6))</f>
        <v>69.08</v>
      </c>
      <c r="D21" s="1"/>
      <c r="E21" s="1"/>
      <c r="F21" s="1"/>
      <c r="G21" s="1"/>
      <c r="H21" s="1"/>
      <c r="I21" s="1"/>
      <c r="J21" s="1"/>
      <c r="K21" s="1"/>
      <c r="L21" s="1"/>
      <c r="M21" s="1"/>
      <c r="N21" s="1"/>
    </row>
    <row r="22" customFormat="false" ht="15" hidden="false" customHeight="true" outlineLevel="0" collapsed="false">
      <c r="A22" s="1"/>
      <c r="B22" s="16" t="s">
        <v>18</v>
      </c>
      <c r="C22" s="17" t="n">
        <f aca="false">SUMIFS(tblCompras[Total Pago],tblCompras[Categoria],$B22,tblCompras[Data],"&gt;="&amp;$M$6,tblCompras[Data],"&lt;="&amp;$M$7,tblCompras[Mercado],IF($F$6="(Todos)","*",$F$6))</f>
        <v>38.82</v>
      </c>
      <c r="D22" s="1"/>
      <c r="E22" s="1"/>
      <c r="F22" s="1"/>
      <c r="G22" s="1"/>
      <c r="H22" s="1"/>
      <c r="I22" s="1"/>
      <c r="J22" s="1"/>
      <c r="K22" s="1"/>
      <c r="L22" s="1"/>
      <c r="M22" s="1"/>
      <c r="N22" s="1"/>
    </row>
    <row r="23" customFormat="false" ht="15" hidden="false" customHeight="true" outlineLevel="0" collapsed="false">
      <c r="A23" s="1"/>
      <c r="B23" s="19" t="s">
        <v>19</v>
      </c>
      <c r="C23" s="20" t="n">
        <f aca="false">SUMIFS(tblCompras[Total Pago],tblCompras[Categoria],$B23,tblCompras[Data],"&gt;="&amp;$M$6,tblCompras[Data],"&lt;="&amp;$M$7,tblCompras[Mercado],IF($F$6="(Todos)","*",$F$6))</f>
        <v>37.23</v>
      </c>
      <c r="D23" s="1"/>
      <c r="E23" s="1"/>
      <c r="F23" s="1"/>
      <c r="G23" s="1"/>
      <c r="H23" s="1"/>
      <c r="I23" s="1"/>
      <c r="J23" s="1"/>
      <c r="K23" s="1"/>
      <c r="L23" s="1"/>
      <c r="M23" s="1"/>
      <c r="N23" s="1"/>
    </row>
    <row r="24" customFormat="false" ht="15" hidden="false" customHeight="true" outlineLevel="0" collapsed="false">
      <c r="A24" s="1"/>
      <c r="B24" s="16" t="s">
        <v>20</v>
      </c>
      <c r="C24" s="17" t="n">
        <f aca="false">SUMIFS(tblCompras[Total Pago],tblCompras[Categoria],$B24,tblCompras[Data],"&gt;="&amp;$M$6,tblCompras[Data],"&lt;="&amp;$M$7,tblCompras[Mercado],IF($F$6="(Todos)","*",$F$6))</f>
        <v>0</v>
      </c>
      <c r="D24" s="1"/>
      <c r="E24" s="1"/>
      <c r="F24" s="1"/>
      <c r="G24" s="1"/>
      <c r="H24" s="1"/>
      <c r="I24" s="1"/>
      <c r="J24" s="1"/>
      <c r="K24" s="1"/>
      <c r="L24" s="1"/>
      <c r="M24" s="1"/>
      <c r="N24" s="1"/>
    </row>
    <row r="25" customFormat="false" ht="15" hidden="false" customHeight="true" outlineLevel="0" collapsed="false">
      <c r="A25" s="1"/>
      <c r="B25" s="19" t="s">
        <v>21</v>
      </c>
      <c r="C25" s="20" t="n">
        <f aca="false">SUMIFS(tblCompras[Total Pago],tblCompras[Categoria],$B25,tblCompras[Data],"&gt;="&amp;$M$6,tblCompras[Data],"&lt;="&amp;$M$7,tblCompras[Mercado],IF($F$6="(Todos)","*",$F$6))</f>
        <v>0</v>
      </c>
      <c r="D25" s="1"/>
      <c r="E25" s="1"/>
      <c r="F25" s="1"/>
      <c r="G25" s="1"/>
      <c r="H25" s="1"/>
      <c r="I25" s="1"/>
      <c r="J25" s="1"/>
      <c r="K25" s="1"/>
      <c r="L25" s="1"/>
      <c r="M25" s="1"/>
      <c r="N25" s="1"/>
    </row>
    <row r="26" customFormat="false" ht="15" hidden="false" customHeight="true" outlineLevel="0" collapsed="false">
      <c r="A26" s="1"/>
      <c r="B26" s="16" t="s">
        <v>22</v>
      </c>
      <c r="C26" s="17" t="n">
        <f aca="false">SUMIFS(tblCompras[Total Pago],tblCompras[Categoria],$B26,tblCompras[Data],"&gt;="&amp;$M$6,tblCompras[Data],"&lt;="&amp;$M$7,tblCompras[Mercado],IF($F$6="(Todos)","*",$F$6))</f>
        <v>0</v>
      </c>
      <c r="D26" s="1"/>
      <c r="E26" s="1"/>
      <c r="F26" s="1"/>
      <c r="G26" s="1"/>
      <c r="H26" s="1"/>
      <c r="I26" s="1"/>
      <c r="J26" s="1"/>
      <c r="K26" s="1"/>
      <c r="L26" s="1"/>
      <c r="M26" s="1"/>
      <c r="N26" s="1"/>
    </row>
    <row r="27" customFormat="false" ht="15" hidden="false" customHeight="true" outlineLevel="0" collapsed="false">
      <c r="A27" s="1"/>
      <c r="B27" s="19" t="s">
        <v>23</v>
      </c>
      <c r="C27" s="20" t="n">
        <f aca="false">SUMIFS(tblCompras[Total Pago],tblCompras[Categoria],$B27,tblCompras[Data],"&gt;="&amp;$M$6,tblCompras[Data],"&lt;="&amp;$M$7,tblCompras[Mercado],IF($F$6="(Todos)","*",$F$6))</f>
        <v>0</v>
      </c>
      <c r="D27" s="1"/>
      <c r="E27" s="1"/>
      <c r="F27" s="1"/>
      <c r="G27" s="1"/>
      <c r="H27" s="1"/>
      <c r="I27" s="1"/>
      <c r="J27" s="1"/>
      <c r="K27" s="1"/>
      <c r="L27" s="1"/>
      <c r="M27" s="1"/>
      <c r="N27" s="1"/>
    </row>
    <row r="28" customFormat="false" ht="15" hidden="false" customHeight="true" outlineLevel="0" collapsed="false">
      <c r="A28" s="1"/>
      <c r="B28" s="16" t="s">
        <v>24</v>
      </c>
      <c r="C28" s="17" t="n">
        <f aca="false">SUMIFS(tblCompras[Total Pago],tblCompras[Categoria],$B28,tblCompras[Data],"&gt;="&amp;$M$6,tblCompras[Data],"&lt;="&amp;$M$7,tblCompras[Mercado],IF($F$6="(Todos)","*",$F$6))</f>
        <v>0</v>
      </c>
      <c r="D28" s="1"/>
      <c r="E28" s="1"/>
      <c r="F28" s="1"/>
      <c r="G28" s="1"/>
      <c r="H28" s="1"/>
      <c r="I28" s="1"/>
      <c r="J28" s="1"/>
      <c r="K28" s="1"/>
      <c r="L28" s="1"/>
      <c r="M28" s="1"/>
      <c r="N28" s="1"/>
    </row>
    <row r="29" customFormat="false" ht="15" hidden="false" customHeight="true" outlineLevel="0" collapsed="false">
      <c r="A29" s="1"/>
      <c r="B29" s="19" t="s">
        <v>25</v>
      </c>
      <c r="C29" s="20" t="n">
        <f aca="false">SUMIFS(tblCompras[Total Pago],tblCompras[Categoria],$B29,tblCompras[Data],"&gt;="&amp;$M$6,tblCompras[Data],"&lt;="&amp;$M$7,tblCompras[Mercado],IF($F$6="(Todos)","*",$F$6))</f>
        <v>0</v>
      </c>
      <c r="D29" s="1"/>
      <c r="E29" s="1"/>
      <c r="F29" s="1"/>
      <c r="G29" s="1"/>
      <c r="H29" s="1"/>
      <c r="I29" s="1"/>
      <c r="J29" s="1"/>
      <c r="K29" s="1"/>
      <c r="L29" s="1"/>
      <c r="M29" s="1"/>
      <c r="N29" s="1"/>
    </row>
    <row r="30" customFormat="false" ht="15" hidden="false" customHeight="true" outlineLevel="0" collapsed="false">
      <c r="A30" s="1"/>
      <c r="B30" s="16" t="s">
        <v>26</v>
      </c>
      <c r="C30" s="17" t="n">
        <f aca="false">SUMIFS(tblCompras[Total Pago],tblCompras[Categoria],$B30,tblCompras[Data],"&gt;="&amp;$M$6,tblCompras[Data],"&lt;="&amp;$M$7,tblCompras[Mercado],IF($F$6="(Todos)","*",$F$6))</f>
        <v>0</v>
      </c>
      <c r="D30" s="1"/>
      <c r="E30" s="1"/>
      <c r="F30" s="1"/>
      <c r="G30" s="1"/>
      <c r="H30" s="1"/>
      <c r="I30" s="1"/>
      <c r="J30" s="1"/>
      <c r="K30" s="1"/>
      <c r="L30" s="1"/>
      <c r="M30" s="1"/>
      <c r="N30" s="1"/>
    </row>
    <row r="31" customFormat="false" ht="15" hidden="false" customHeight="true" outlineLevel="0" collapsed="false">
      <c r="A31" s="1"/>
      <c r="B31" s="19" t="s">
        <v>27</v>
      </c>
      <c r="C31" s="20" t="n">
        <f aca="false">SUMIFS(tblCompras[Total Pago],tblCompras[Categoria],$B31,tblCompras[Data],"&gt;="&amp;$M$6,tblCompras[Data],"&lt;="&amp;$M$7,tblCompras[Mercado],IF($F$6="(Todos)","*",$F$6))</f>
        <v>0</v>
      </c>
      <c r="D31" s="1"/>
      <c r="E31" s="1"/>
      <c r="F31" s="1"/>
      <c r="G31" s="1"/>
      <c r="H31" s="1"/>
      <c r="I31" s="1"/>
      <c r="J31" s="1"/>
      <c r="K31" s="1"/>
      <c r="L31" s="1"/>
      <c r="M31" s="1"/>
      <c r="N31" s="1"/>
    </row>
    <row r="32" customFormat="false" ht="15" hidden="false" customHeight="true" outlineLevel="0" collapsed="false">
      <c r="A32" s="1"/>
      <c r="B32" s="22" t="s">
        <v>10</v>
      </c>
      <c r="C32" s="23" t="n">
        <f aca="false">SUM(C16:C31)</f>
        <v>1969.23</v>
      </c>
      <c r="D32" s="1"/>
      <c r="E32" s="1"/>
      <c r="F32" s="1"/>
      <c r="G32" s="1"/>
      <c r="H32" s="1"/>
      <c r="I32" s="1"/>
      <c r="J32" s="1"/>
      <c r="K32" s="1"/>
      <c r="L32" s="1"/>
      <c r="M32" s="1"/>
      <c r="N32" s="1"/>
    </row>
    <row r="33" customFormat="false" ht="15" hidden="false" customHeight="true" outlineLevel="0" collapsed="false">
      <c r="A33" s="1"/>
      <c r="B33" s="1"/>
      <c r="C33" s="1"/>
      <c r="D33" s="1"/>
      <c r="E33" s="1"/>
      <c r="F33" s="1"/>
      <c r="G33" s="1"/>
      <c r="H33" s="1"/>
      <c r="I33" s="1"/>
      <c r="J33" s="1"/>
      <c r="K33" s="1"/>
      <c r="L33" s="1"/>
      <c r="M33" s="1"/>
      <c r="N33" s="1"/>
    </row>
    <row r="34" customFormat="false" ht="15" hidden="false" customHeight="true" outlineLevel="0" collapsed="false">
      <c r="A34" s="1"/>
      <c r="B34" s="1"/>
      <c r="C34" s="1"/>
      <c r="D34" s="1"/>
      <c r="E34" s="1"/>
      <c r="F34" s="1"/>
      <c r="G34" s="1"/>
      <c r="H34" s="1"/>
      <c r="I34" s="1"/>
      <c r="J34" s="1"/>
      <c r="K34" s="1"/>
      <c r="L34" s="1"/>
      <c r="M34" s="1"/>
      <c r="N34" s="1"/>
    </row>
    <row r="35" customFormat="false" ht="15.75" hidden="false" customHeight="true" outlineLevel="0" collapsed="false">
      <c r="A35" s="1"/>
      <c r="B35" s="13" t="s">
        <v>67</v>
      </c>
      <c r="C35" s="1"/>
      <c r="D35" s="1"/>
      <c r="E35" s="1"/>
      <c r="F35" s="1"/>
      <c r="G35" s="1"/>
      <c r="H35" s="1"/>
      <c r="I35" s="1"/>
      <c r="J35" s="1"/>
      <c r="K35" s="1"/>
      <c r="L35" s="1"/>
      <c r="M35" s="1"/>
      <c r="N35" s="1"/>
    </row>
    <row r="36" customFormat="false" ht="15" hidden="false" customHeight="true" outlineLevel="0" collapsed="false">
      <c r="A36" s="1"/>
      <c r="B36" s="14" t="s">
        <v>68</v>
      </c>
      <c r="C36" s="1"/>
      <c r="D36" s="1"/>
      <c r="E36" s="1"/>
      <c r="F36" s="1"/>
      <c r="G36" s="1"/>
      <c r="H36" s="1"/>
      <c r="I36" s="1"/>
      <c r="J36" s="1"/>
      <c r="K36" s="1"/>
      <c r="L36" s="1"/>
      <c r="M36" s="1"/>
      <c r="N36" s="1"/>
    </row>
    <row r="37" customFormat="false" ht="15" hidden="false" customHeight="true" outlineLevel="0" collapsed="false">
      <c r="A37" s="1"/>
      <c r="B37" s="1"/>
      <c r="C37" s="1"/>
      <c r="D37" s="1"/>
      <c r="E37" s="1"/>
      <c r="F37" s="1"/>
      <c r="G37" s="1"/>
      <c r="H37" s="1"/>
      <c r="I37" s="1"/>
      <c r="J37" s="1"/>
      <c r="K37" s="1"/>
      <c r="L37" s="1"/>
      <c r="M37" s="1"/>
      <c r="N37" s="1"/>
    </row>
    <row r="38" customFormat="false" ht="15" hidden="false" customHeight="true" outlineLevel="0" collapsed="false">
      <c r="A38" s="1"/>
      <c r="B38" s="15" t="s">
        <v>30</v>
      </c>
      <c r="C38" s="15" t="s">
        <v>10</v>
      </c>
      <c r="D38" s="1"/>
      <c r="E38" s="1"/>
      <c r="F38" s="1"/>
      <c r="G38" s="1"/>
      <c r="H38" s="1"/>
      <c r="I38" s="1"/>
      <c r="J38" s="1"/>
      <c r="K38" s="1"/>
      <c r="L38" s="1"/>
      <c r="M38" s="1"/>
      <c r="N38" s="1"/>
    </row>
    <row r="39" customFormat="false" ht="15" hidden="false" customHeight="true" outlineLevel="0" collapsed="false">
      <c r="A39" s="1"/>
      <c r="B39" s="25" t="str">
        <f aca="false">IF(Listas!E6="","",Listas!E6)</f>
        <v>mai/2026</v>
      </c>
      <c r="C39" s="17" t="n">
        <f aca="false">IF($B39="","",SUMIFS(tblCompras[Total Pago],tblCompras[Data],"&gt;="&amp;Listas!$H$6,tblCompras[Data],"&lt;="&amp;EOMONTH(Listas!$H$6,0),tblCompras[Categoria],IF($D$6="(Todos)","*",$D$6),tblCompras[Mercado],IF($F$6="(Todos)","*",$F$6)))</f>
        <v>2153.03</v>
      </c>
      <c r="D39" s="1"/>
      <c r="E39" s="1"/>
      <c r="F39" s="1"/>
      <c r="G39" s="1"/>
      <c r="H39" s="1"/>
      <c r="I39" s="1"/>
      <c r="J39" s="1"/>
      <c r="K39" s="1"/>
      <c r="L39" s="1"/>
      <c r="M39" s="1"/>
      <c r="N39" s="1"/>
    </row>
    <row r="40" customFormat="false" ht="15" hidden="false" customHeight="true" outlineLevel="0" collapsed="false">
      <c r="A40" s="1"/>
      <c r="B40" s="27" t="str">
        <f aca="false">IF(Listas!E7="","",Listas!E7)</f>
        <v>jun/2026</v>
      </c>
      <c r="C40" s="20" t="n">
        <f aca="false">IF($B40="","",SUMIFS(tblCompras[Total Pago],tblCompras[Data],"&gt;="&amp;Listas!$H$7,tblCompras[Data],"&lt;="&amp;EOMONTH(Listas!$H$7,0),tblCompras[Categoria],IF($D$6="(Todos)","*",$D$6),tblCompras[Mercado],IF($F$6="(Todos)","*",$F$6)))</f>
        <v>1585.03</v>
      </c>
      <c r="D40" s="1"/>
      <c r="E40" s="1"/>
      <c r="F40" s="1"/>
      <c r="G40" s="1"/>
      <c r="H40" s="1"/>
      <c r="I40" s="1"/>
      <c r="J40" s="1"/>
      <c r="K40" s="1"/>
      <c r="L40" s="1"/>
      <c r="M40" s="1"/>
      <c r="N40" s="1"/>
    </row>
    <row r="41" customFormat="false" ht="15" hidden="false" customHeight="true" outlineLevel="0" collapsed="false">
      <c r="A41" s="1"/>
      <c r="B41" s="25" t="str">
        <f aca="false">IF(Listas!E8="","",Listas!E8)</f>
        <v>jul/2026</v>
      </c>
      <c r="C41" s="17" t="n">
        <f aca="false">IF($B41="","",SUMIFS(tblCompras[Total Pago],tblCompras[Data],"&gt;="&amp;Listas!$H$8,tblCompras[Data],"&lt;="&amp;EOMONTH(Listas!$H$8,0),tblCompras[Categoria],IF($D$6="(Todos)","*",$D$6),tblCompras[Mercado],IF($F$6="(Todos)","*",$F$6)))</f>
        <v>1969.23</v>
      </c>
      <c r="D41" s="1"/>
      <c r="E41" s="1"/>
      <c r="F41" s="1"/>
      <c r="G41" s="1"/>
      <c r="H41" s="1"/>
      <c r="I41" s="1"/>
      <c r="J41" s="1"/>
      <c r="K41" s="1"/>
      <c r="L41" s="1"/>
      <c r="M41" s="1"/>
      <c r="N41" s="1"/>
    </row>
    <row r="42" customFormat="false" ht="15" hidden="false" customHeight="true" outlineLevel="0" collapsed="false">
      <c r="A42" s="1"/>
      <c r="B42" s="27" t="str">
        <f aca="false">IF(Listas!E9="","",Listas!E9)</f>
        <v>ago/2026</v>
      </c>
      <c r="C42" s="20" t="n">
        <f aca="false">IF($B42="","",SUMIFS(tblCompras[Total Pago],tblCompras[Data],"&gt;="&amp;Listas!$H$9,tblCompras[Data],"&lt;="&amp;EOMONTH(Listas!$H$9,0),tblCompras[Categoria],IF($D$6="(Todos)","*",$D$6),tblCompras[Mercado],IF($F$6="(Todos)","*",$F$6)))</f>
        <v>255.93</v>
      </c>
      <c r="D42" s="1"/>
      <c r="E42" s="1"/>
      <c r="F42" s="1"/>
      <c r="G42" s="1"/>
      <c r="H42" s="1"/>
      <c r="I42" s="1"/>
      <c r="J42" s="1"/>
      <c r="K42" s="1"/>
      <c r="L42" s="1"/>
      <c r="M42" s="1"/>
      <c r="N42" s="1"/>
    </row>
    <row r="43" customFormat="false" ht="15" hidden="false" customHeight="true" outlineLevel="0" collapsed="false">
      <c r="A43" s="1"/>
      <c r="B43" s="25" t="str">
        <f aca="false">IF(Listas!E10="","",Listas!E10)</f>
        <v/>
      </c>
      <c r="C43" s="17" t="str">
        <f aca="false">IF($B43="","",SUMIFS(tblCompras[Total Pago],tblCompras[Data],"&gt;="&amp;Listas!$H$10,tblCompras[Data],"&lt;="&amp;EOMONTH(Listas!$H$10,0),tblCompras[Categoria],IF($D$6="(Todos)","*",$D$6),tblCompras[Mercado],IF($F$6="(Todos)","*",$F$6)))</f>
        <v/>
      </c>
      <c r="D43" s="1"/>
      <c r="E43" s="1"/>
      <c r="F43" s="1"/>
      <c r="G43" s="1"/>
      <c r="H43" s="1"/>
      <c r="I43" s="1"/>
      <c r="J43" s="1"/>
      <c r="K43" s="1"/>
      <c r="L43" s="1"/>
      <c r="M43" s="1"/>
      <c r="N43" s="1"/>
    </row>
    <row r="44" customFormat="false" ht="15" hidden="false" customHeight="true" outlineLevel="0" collapsed="false">
      <c r="A44" s="1"/>
      <c r="B44" s="27" t="str">
        <f aca="false">IF(Listas!E11="","",Listas!E11)</f>
        <v/>
      </c>
      <c r="C44" s="20" t="str">
        <f aca="false">IF($B44="","",SUMIFS(tblCompras[Total Pago],tblCompras[Data],"&gt;="&amp;Listas!$H$11,tblCompras[Data],"&lt;="&amp;EOMONTH(Listas!$H$11,0),tblCompras[Categoria],IF($D$6="(Todos)","*",$D$6),tblCompras[Mercado],IF($F$6="(Todos)","*",$F$6)))</f>
        <v/>
      </c>
      <c r="D44" s="1"/>
      <c r="E44" s="1"/>
      <c r="F44" s="1"/>
      <c r="G44" s="1"/>
      <c r="H44" s="1"/>
      <c r="I44" s="1"/>
      <c r="J44" s="1"/>
      <c r="K44" s="1"/>
      <c r="L44" s="1"/>
      <c r="M44" s="1"/>
      <c r="N44" s="1"/>
    </row>
    <row r="45" customFormat="false" ht="15" hidden="false" customHeight="true" outlineLevel="0" collapsed="false">
      <c r="A45" s="1"/>
      <c r="B45" s="25" t="str">
        <f aca="false">IF(Listas!E12="","",Listas!E12)</f>
        <v/>
      </c>
      <c r="C45" s="17" t="str">
        <f aca="false">IF($B45="","",SUMIFS(tblCompras[Total Pago],tblCompras[Data],"&gt;="&amp;Listas!$H$12,tblCompras[Data],"&lt;="&amp;EOMONTH(Listas!$H$12,0),tblCompras[Categoria],IF($D$6="(Todos)","*",$D$6),tblCompras[Mercado],IF($F$6="(Todos)","*",$F$6)))</f>
        <v/>
      </c>
      <c r="D45" s="1"/>
      <c r="E45" s="1"/>
      <c r="F45" s="1"/>
      <c r="G45" s="1"/>
      <c r="H45" s="1"/>
      <c r="I45" s="1"/>
      <c r="J45" s="1"/>
      <c r="K45" s="1"/>
      <c r="L45" s="1"/>
      <c r="M45" s="1"/>
      <c r="N45" s="1"/>
    </row>
    <row r="46" customFormat="false" ht="15" hidden="false" customHeight="true" outlineLevel="0" collapsed="false">
      <c r="A46" s="1"/>
      <c r="B46" s="27" t="str">
        <f aca="false">IF(Listas!E13="","",Listas!E13)</f>
        <v/>
      </c>
      <c r="C46" s="20" t="str">
        <f aca="false">IF($B46="","",SUMIFS(tblCompras[Total Pago],tblCompras[Data],"&gt;="&amp;Listas!$H$13,tblCompras[Data],"&lt;="&amp;EOMONTH(Listas!$H$13,0),tblCompras[Categoria],IF($D$6="(Todos)","*",$D$6),tblCompras[Mercado],IF($F$6="(Todos)","*",$F$6)))</f>
        <v/>
      </c>
      <c r="D46" s="1"/>
      <c r="E46" s="1"/>
      <c r="F46" s="1"/>
      <c r="G46" s="1"/>
      <c r="H46" s="1"/>
      <c r="I46" s="1"/>
      <c r="J46" s="1"/>
      <c r="K46" s="1"/>
      <c r="L46" s="1"/>
      <c r="M46" s="1"/>
      <c r="N46" s="1"/>
    </row>
    <row r="47" customFormat="false" ht="15" hidden="false" customHeight="true" outlineLevel="0" collapsed="false">
      <c r="A47" s="1"/>
      <c r="B47" s="25" t="str">
        <f aca="false">IF(Listas!E14="","",Listas!E14)</f>
        <v/>
      </c>
      <c r="C47" s="17" t="str">
        <f aca="false">IF($B47="","",SUMIFS(tblCompras[Total Pago],tblCompras[Data],"&gt;="&amp;Listas!$H$14,tblCompras[Data],"&lt;="&amp;EOMONTH(Listas!$H$14,0),tblCompras[Categoria],IF($D$6="(Todos)","*",$D$6),tblCompras[Mercado],IF($F$6="(Todos)","*",$F$6)))</f>
        <v/>
      </c>
      <c r="D47" s="1"/>
      <c r="E47" s="1"/>
      <c r="F47" s="1"/>
      <c r="G47" s="1"/>
      <c r="H47" s="1"/>
      <c r="I47" s="1"/>
      <c r="J47" s="1"/>
      <c r="K47" s="1"/>
      <c r="L47" s="1"/>
      <c r="M47" s="1"/>
      <c r="N47" s="1"/>
    </row>
    <row r="48" customFormat="false" ht="15" hidden="false" customHeight="true" outlineLevel="0" collapsed="false">
      <c r="A48" s="1"/>
      <c r="B48" s="27" t="str">
        <f aca="false">IF(Listas!E15="","",Listas!E15)</f>
        <v/>
      </c>
      <c r="C48" s="20" t="str">
        <f aca="false">IF($B48="","",SUMIFS(tblCompras[Total Pago],tblCompras[Data],"&gt;="&amp;Listas!$H$15,tblCompras[Data],"&lt;="&amp;EOMONTH(Listas!$H$15,0),tblCompras[Categoria],IF($D$6="(Todos)","*",$D$6),tblCompras[Mercado],IF($F$6="(Todos)","*",$F$6)))</f>
        <v/>
      </c>
      <c r="D48" s="1"/>
      <c r="E48" s="1"/>
      <c r="F48" s="1"/>
      <c r="G48" s="1"/>
      <c r="H48" s="1"/>
      <c r="I48" s="1"/>
      <c r="J48" s="1"/>
      <c r="K48" s="1"/>
      <c r="L48" s="1"/>
      <c r="M48" s="1"/>
      <c r="N48" s="1"/>
    </row>
    <row r="49" customFormat="false" ht="15" hidden="false" customHeight="true" outlineLevel="0" collapsed="false">
      <c r="A49" s="1"/>
      <c r="B49" s="25" t="str">
        <f aca="false">IF(Listas!E16="","",Listas!E16)</f>
        <v/>
      </c>
      <c r="C49" s="17" t="str">
        <f aca="false">IF($B49="","",SUMIFS(tblCompras[Total Pago],tblCompras[Data],"&gt;="&amp;Listas!$H$16,tblCompras[Data],"&lt;="&amp;EOMONTH(Listas!$H$16,0),tblCompras[Categoria],IF($D$6="(Todos)","*",$D$6),tblCompras[Mercado],IF($F$6="(Todos)","*",$F$6)))</f>
        <v/>
      </c>
      <c r="D49" s="1"/>
      <c r="E49" s="1"/>
      <c r="F49" s="1"/>
      <c r="G49" s="1"/>
      <c r="H49" s="1"/>
      <c r="I49" s="1"/>
      <c r="J49" s="1"/>
      <c r="K49" s="1"/>
      <c r="L49" s="1"/>
      <c r="M49" s="1"/>
      <c r="N49" s="1"/>
    </row>
    <row r="50" customFormat="false" ht="15" hidden="false" customHeight="true" outlineLevel="0" collapsed="false">
      <c r="A50" s="1"/>
      <c r="B50" s="27" t="str">
        <f aca="false">IF(Listas!E17="","",Listas!E17)</f>
        <v/>
      </c>
      <c r="C50" s="20" t="str">
        <f aca="false">IF($B50="","",SUMIFS(tblCompras[Total Pago],tblCompras[Data],"&gt;="&amp;Listas!$H$17,tblCompras[Data],"&lt;="&amp;EOMONTH(Listas!$H$17,0),tblCompras[Categoria],IF($D$6="(Todos)","*",$D$6),tblCompras[Mercado],IF($F$6="(Todos)","*",$F$6)))</f>
        <v/>
      </c>
      <c r="D50" s="1"/>
      <c r="E50" s="1"/>
      <c r="F50" s="1"/>
      <c r="G50" s="1"/>
      <c r="H50" s="1"/>
      <c r="I50" s="1"/>
      <c r="J50" s="1"/>
      <c r="K50" s="1"/>
      <c r="L50" s="1"/>
      <c r="M50" s="1"/>
      <c r="N50" s="1"/>
    </row>
    <row r="51" customFormat="false" ht="15" hidden="false" customHeight="true" outlineLevel="0" collapsed="false">
      <c r="A51" s="1"/>
      <c r="B51" s="22" t="s">
        <v>10</v>
      </c>
      <c r="C51" s="23" t="n">
        <f aca="false">SUM(C39:C50)</f>
        <v>5963.22</v>
      </c>
      <c r="D51" s="1"/>
      <c r="E51" s="1"/>
      <c r="F51" s="1"/>
      <c r="G51" s="1"/>
      <c r="H51" s="1"/>
      <c r="I51" s="1"/>
      <c r="J51" s="1"/>
      <c r="K51" s="1"/>
      <c r="L51" s="1"/>
      <c r="M51" s="1"/>
      <c r="N51" s="1"/>
    </row>
    <row r="52" customFormat="false" ht="15" hidden="false" customHeight="true" outlineLevel="0" collapsed="false">
      <c r="A52" s="1"/>
      <c r="B52" s="1"/>
      <c r="C52" s="1"/>
      <c r="D52" s="1"/>
      <c r="E52" s="1"/>
      <c r="F52" s="1"/>
      <c r="G52" s="1"/>
      <c r="H52" s="1"/>
      <c r="I52" s="1"/>
      <c r="J52" s="1"/>
      <c r="K52" s="1"/>
      <c r="L52" s="1"/>
      <c r="M52" s="1"/>
      <c r="N52" s="1"/>
    </row>
    <row r="53" customFormat="false" ht="15" hidden="false" customHeight="true" outlineLevel="0" collapsed="false">
      <c r="A53" s="1"/>
      <c r="B53" s="1"/>
      <c r="C53" s="1"/>
      <c r="D53" s="1"/>
      <c r="E53" s="1"/>
      <c r="F53" s="1"/>
      <c r="G53" s="1"/>
      <c r="H53" s="1"/>
      <c r="I53" s="1"/>
      <c r="J53" s="1"/>
      <c r="K53" s="1"/>
      <c r="L53" s="1"/>
      <c r="M53" s="1"/>
      <c r="N53" s="1"/>
    </row>
    <row r="54" customFormat="false" ht="15.75" hidden="false" customHeight="true" outlineLevel="0" collapsed="false">
      <c r="A54" s="1"/>
      <c r="B54" s="13" t="s">
        <v>69</v>
      </c>
      <c r="C54" s="1"/>
      <c r="D54" s="1"/>
      <c r="E54" s="1"/>
      <c r="F54" s="1"/>
      <c r="G54" s="1"/>
      <c r="H54" s="1"/>
      <c r="I54" s="1"/>
      <c r="J54" s="1"/>
      <c r="K54" s="1"/>
      <c r="L54" s="1"/>
      <c r="M54" s="1"/>
      <c r="N54" s="1"/>
    </row>
    <row r="55" customFormat="false" ht="15" hidden="false" customHeight="true" outlineLevel="0" collapsed="false">
      <c r="A55" s="1"/>
      <c r="B55" s="14" t="s">
        <v>70</v>
      </c>
      <c r="C55" s="1"/>
      <c r="D55" s="1"/>
      <c r="E55" s="1"/>
      <c r="F55" s="1"/>
      <c r="G55" s="1"/>
      <c r="H55" s="1"/>
      <c r="I55" s="1"/>
      <c r="J55" s="1"/>
      <c r="K55" s="1"/>
      <c r="L55" s="1"/>
      <c r="M55" s="1"/>
      <c r="N55" s="1"/>
    </row>
    <row r="56" customFormat="false" ht="15" hidden="false" customHeight="true" outlineLevel="0" collapsed="false">
      <c r="A56" s="1"/>
      <c r="B56" s="1"/>
      <c r="C56" s="1"/>
      <c r="D56" s="1"/>
      <c r="E56" s="1"/>
      <c r="F56" s="1"/>
      <c r="G56" s="1"/>
      <c r="H56" s="1"/>
      <c r="I56" s="1"/>
      <c r="J56" s="1"/>
      <c r="K56" s="1"/>
      <c r="L56" s="1"/>
      <c r="M56" s="1"/>
      <c r="N56" s="1"/>
    </row>
    <row r="57" customFormat="false" ht="15" hidden="false" customHeight="true" outlineLevel="0" collapsed="false">
      <c r="A57" s="1"/>
      <c r="B57" s="15" t="s">
        <v>34</v>
      </c>
      <c r="C57" s="15" t="s">
        <v>10</v>
      </c>
      <c r="D57" s="1"/>
      <c r="E57" s="1"/>
      <c r="F57" s="1"/>
      <c r="G57" s="1"/>
      <c r="H57" s="1"/>
      <c r="I57" s="1"/>
      <c r="J57" s="1"/>
      <c r="K57" s="1"/>
      <c r="L57" s="1"/>
      <c r="M57" s="1"/>
      <c r="N57" s="1"/>
    </row>
    <row r="58" customFormat="false" ht="15" hidden="false" customHeight="true" outlineLevel="0" collapsed="false">
      <c r="A58" s="1"/>
      <c r="B58" s="16" t="s">
        <v>36</v>
      </c>
      <c r="C58" s="17" t="n">
        <f aca="false">SUMIFS(tblCompras[Total Pago],tblCompras[Mercado],$B58,tblCompras[Data],"&gt;="&amp;$M$6,tblCompras[Data],"&lt;="&amp;$M$7,tblCompras[Categoria],IF($D$6="(Todos)","*",$D$6))</f>
        <v>1170.18</v>
      </c>
      <c r="D58" s="1"/>
      <c r="E58" s="1"/>
      <c r="F58" s="1"/>
      <c r="G58" s="1"/>
      <c r="H58" s="1"/>
      <c r="I58" s="1"/>
      <c r="J58" s="1"/>
      <c r="K58" s="1"/>
      <c r="L58" s="1"/>
      <c r="M58" s="1"/>
      <c r="N58" s="1"/>
    </row>
    <row r="59" customFormat="false" ht="15" hidden="false" customHeight="true" outlineLevel="0" collapsed="false">
      <c r="A59" s="1"/>
      <c r="B59" s="19" t="s">
        <v>37</v>
      </c>
      <c r="C59" s="20" t="n">
        <f aca="false">SUMIFS(tblCompras[Total Pago],tblCompras[Mercado],$B59,tblCompras[Data],"&gt;="&amp;$M$6,tblCompras[Data],"&lt;="&amp;$M$7,tblCompras[Categoria],IF($D$6="(Todos)","*",$D$6))</f>
        <v>585.44</v>
      </c>
      <c r="D59" s="1"/>
      <c r="E59" s="1"/>
      <c r="F59" s="1"/>
      <c r="G59" s="1"/>
      <c r="H59" s="1"/>
      <c r="I59" s="1"/>
      <c r="J59" s="1"/>
      <c r="K59" s="1"/>
      <c r="L59" s="1"/>
      <c r="M59" s="1"/>
      <c r="N59" s="1"/>
    </row>
    <row r="60" customFormat="false" ht="15" hidden="false" customHeight="true" outlineLevel="0" collapsed="false">
      <c r="A60" s="1"/>
      <c r="B60" s="16" t="s">
        <v>38</v>
      </c>
      <c r="C60" s="17" t="n">
        <f aca="false">SUMIFS(tblCompras[Total Pago],tblCompras[Mercado],$B60,tblCompras[Data],"&gt;="&amp;$M$6,tblCompras[Data],"&lt;="&amp;$M$7,tblCompras[Categoria],IF($D$6="(Todos)","*",$D$6))</f>
        <v>135.86</v>
      </c>
      <c r="D60" s="1"/>
      <c r="E60" s="1"/>
      <c r="F60" s="1"/>
      <c r="G60" s="1"/>
      <c r="H60" s="1"/>
      <c r="I60" s="1"/>
      <c r="J60" s="1"/>
      <c r="K60" s="1"/>
      <c r="L60" s="1"/>
      <c r="M60" s="1"/>
      <c r="N60" s="1"/>
    </row>
    <row r="61" customFormat="false" ht="15" hidden="false" customHeight="true" outlineLevel="0" collapsed="false">
      <c r="A61" s="1"/>
      <c r="B61" s="19" t="s">
        <v>39</v>
      </c>
      <c r="C61" s="20" t="n">
        <f aca="false">SUMIFS(tblCompras[Total Pago],tblCompras[Mercado],$B61,tblCompras[Data],"&gt;="&amp;$M$6,tblCompras[Data],"&lt;="&amp;$M$7,tblCompras[Categoria],IF($D$6="(Todos)","*",$D$6))</f>
        <v>61.27</v>
      </c>
      <c r="D61" s="1"/>
      <c r="E61" s="1"/>
      <c r="F61" s="1"/>
      <c r="G61" s="1"/>
      <c r="H61" s="1"/>
      <c r="I61" s="1"/>
      <c r="J61" s="1"/>
      <c r="K61" s="1"/>
      <c r="L61" s="1"/>
      <c r="M61" s="1"/>
      <c r="N61" s="1"/>
    </row>
    <row r="62" customFormat="false" ht="15" hidden="false" customHeight="true" outlineLevel="0" collapsed="false">
      <c r="A62" s="1"/>
      <c r="B62" s="16" t="s">
        <v>40</v>
      </c>
      <c r="C62" s="17" t="n">
        <f aca="false">SUMIFS(tblCompras[Total Pago],tblCompras[Mercado],$B62,tblCompras[Data],"&gt;="&amp;$M$6,tblCompras[Data],"&lt;="&amp;$M$7,tblCompras[Categoria],IF($D$6="(Todos)","*",$D$6))</f>
        <v>16.48</v>
      </c>
      <c r="D62" s="1"/>
      <c r="E62" s="1"/>
      <c r="F62" s="1"/>
      <c r="G62" s="1"/>
      <c r="H62" s="1"/>
      <c r="I62" s="1"/>
      <c r="J62" s="1"/>
      <c r="K62" s="1"/>
      <c r="L62" s="1"/>
      <c r="M62" s="1"/>
      <c r="N62" s="1"/>
    </row>
    <row r="63" customFormat="false" ht="15" hidden="false" customHeight="true" outlineLevel="0" collapsed="false">
      <c r="A63" s="1"/>
      <c r="B63" s="19" t="s">
        <v>41</v>
      </c>
      <c r="C63" s="20" t="n">
        <f aca="false">SUMIFS(tblCompras[Total Pago],tblCompras[Mercado],$B63,tblCompras[Data],"&gt;="&amp;$M$6,tblCompras[Data],"&lt;="&amp;$M$7,tblCompras[Categoria],IF($D$6="(Todos)","*",$D$6))</f>
        <v>0</v>
      </c>
      <c r="D63" s="1"/>
      <c r="E63" s="1"/>
      <c r="F63" s="1"/>
      <c r="G63" s="1"/>
      <c r="H63" s="1"/>
      <c r="I63" s="1"/>
      <c r="J63" s="1"/>
      <c r="K63" s="1"/>
      <c r="L63" s="1"/>
      <c r="M63" s="1"/>
      <c r="N63" s="1"/>
    </row>
    <row r="64" customFormat="false" ht="15" hidden="false" customHeight="true" outlineLevel="0" collapsed="false">
      <c r="A64" s="1"/>
      <c r="B64" s="16" t="s">
        <v>42</v>
      </c>
      <c r="C64" s="17" t="n">
        <f aca="false">SUMIFS(tblCompras[Total Pago],tblCompras[Mercado],$B64,tblCompras[Data],"&gt;="&amp;$M$6,tblCompras[Data],"&lt;="&amp;$M$7,tblCompras[Categoria],IF($D$6="(Todos)","*",$D$6))</f>
        <v>0</v>
      </c>
      <c r="D64" s="1"/>
      <c r="E64" s="1"/>
      <c r="F64" s="1"/>
      <c r="G64" s="1"/>
      <c r="H64" s="1"/>
      <c r="I64" s="1"/>
      <c r="J64" s="1"/>
      <c r="K64" s="1"/>
      <c r="L64" s="1"/>
      <c r="M64" s="1"/>
      <c r="N64" s="1"/>
    </row>
    <row r="65" customFormat="false" ht="15" hidden="false" customHeight="true" outlineLevel="0" collapsed="false">
      <c r="A65" s="1"/>
      <c r="B65" s="19" t="s">
        <v>43</v>
      </c>
      <c r="C65" s="20" t="n">
        <f aca="false">SUMIFS(tblCompras[Total Pago],tblCompras[Mercado],$B65,tblCompras[Data],"&gt;="&amp;$M$6,tblCompras[Data],"&lt;="&amp;$M$7,tblCompras[Categoria],IF($D$6="(Todos)","*",$D$6))</f>
        <v>0</v>
      </c>
      <c r="D65" s="1"/>
      <c r="E65" s="1"/>
      <c r="F65" s="1"/>
      <c r="G65" s="1"/>
      <c r="H65" s="1"/>
      <c r="I65" s="1"/>
      <c r="J65" s="1"/>
      <c r="K65" s="1"/>
      <c r="L65" s="1"/>
      <c r="M65" s="1"/>
      <c r="N65" s="1"/>
    </row>
    <row r="66" customFormat="false" ht="15" hidden="false" customHeight="true" outlineLevel="0" collapsed="false">
      <c r="A66" s="1"/>
      <c r="B66" s="16" t="s">
        <v>44</v>
      </c>
      <c r="C66" s="17" t="n">
        <f aca="false">SUMIFS(tblCompras[Total Pago],tblCompras[Mercado],$B66,tblCompras[Data],"&gt;="&amp;$M$6,tblCompras[Data],"&lt;="&amp;$M$7,tblCompras[Categoria],IF($D$6="(Todos)","*",$D$6))</f>
        <v>0</v>
      </c>
      <c r="D66" s="1"/>
      <c r="E66" s="1"/>
      <c r="F66" s="1"/>
      <c r="G66" s="1"/>
      <c r="H66" s="1"/>
      <c r="I66" s="1"/>
      <c r="J66" s="1"/>
      <c r="K66" s="1"/>
      <c r="L66" s="1"/>
      <c r="M66" s="1"/>
      <c r="N66" s="1"/>
    </row>
    <row r="67" customFormat="false" ht="15" hidden="false" customHeight="true" outlineLevel="0" collapsed="false">
      <c r="A67" s="1"/>
      <c r="B67" s="19" t="s">
        <v>45</v>
      </c>
      <c r="C67" s="20" t="n">
        <f aca="false">SUMIFS(tblCompras[Total Pago],tblCompras[Mercado],$B67,tblCompras[Data],"&gt;="&amp;$M$6,tblCompras[Data],"&lt;="&amp;$M$7,tblCompras[Categoria],IF($D$6="(Todos)","*",$D$6))</f>
        <v>0</v>
      </c>
      <c r="D67" s="1"/>
      <c r="E67" s="1"/>
      <c r="F67" s="1"/>
      <c r="G67" s="1"/>
      <c r="H67" s="1"/>
      <c r="I67" s="1"/>
      <c r="J67" s="1"/>
      <c r="K67" s="1"/>
      <c r="L67" s="1"/>
      <c r="M67" s="1"/>
      <c r="N67" s="1"/>
    </row>
    <row r="68" customFormat="false" ht="15" hidden="false" customHeight="true" outlineLevel="0" collapsed="false">
      <c r="A68" s="1"/>
      <c r="B68" s="16" t="s">
        <v>46</v>
      </c>
      <c r="C68" s="17" t="n">
        <f aca="false">SUMIFS(tblCompras[Total Pago],tblCompras[Mercado],$B68,tblCompras[Data],"&gt;="&amp;$M$6,tblCompras[Data],"&lt;="&amp;$M$7,tblCompras[Categoria],IF($D$6="(Todos)","*",$D$6))</f>
        <v>0</v>
      </c>
      <c r="D68" s="1"/>
      <c r="E68" s="1"/>
      <c r="F68" s="1"/>
      <c r="G68" s="1"/>
      <c r="H68" s="1"/>
      <c r="I68" s="1"/>
      <c r="J68" s="1"/>
      <c r="K68" s="1"/>
      <c r="L68" s="1"/>
      <c r="M68" s="1"/>
      <c r="N68" s="1"/>
    </row>
    <row r="69" customFormat="false" ht="15" hidden="false" customHeight="true" outlineLevel="0" collapsed="false">
      <c r="A69" s="1"/>
      <c r="B69" s="19" t="s">
        <v>47</v>
      </c>
      <c r="C69" s="20" t="n">
        <f aca="false">SUMIFS(tblCompras[Total Pago],tblCompras[Mercado],$B69,tblCompras[Data],"&gt;="&amp;$M$6,tblCompras[Data],"&lt;="&amp;$M$7,tblCompras[Categoria],IF($D$6="(Todos)","*",$D$6))</f>
        <v>0</v>
      </c>
      <c r="D69" s="1"/>
      <c r="E69" s="1"/>
      <c r="F69" s="1"/>
      <c r="G69" s="1"/>
      <c r="H69" s="1"/>
      <c r="I69" s="1"/>
      <c r="J69" s="1"/>
      <c r="K69" s="1"/>
      <c r="L69" s="1"/>
      <c r="M69" s="1"/>
      <c r="N69" s="1"/>
    </row>
    <row r="70" customFormat="false" ht="15" hidden="false" customHeight="true" outlineLevel="0" collapsed="false">
      <c r="A70" s="1"/>
      <c r="B70" s="16" t="s">
        <v>48</v>
      </c>
      <c r="C70" s="17" t="n">
        <f aca="false">SUMIFS(tblCompras[Total Pago],tblCompras[Mercado],$B70,tblCompras[Data],"&gt;="&amp;$M$6,tblCompras[Data],"&lt;="&amp;$M$7,tblCompras[Categoria],IF($D$6="(Todos)","*",$D$6))</f>
        <v>0</v>
      </c>
      <c r="D70" s="1"/>
      <c r="E70" s="1"/>
      <c r="F70" s="1"/>
      <c r="G70" s="1"/>
      <c r="H70" s="1"/>
      <c r="I70" s="1"/>
      <c r="J70" s="1"/>
      <c r="K70" s="1"/>
      <c r="L70" s="1"/>
      <c r="M70" s="1"/>
      <c r="N70" s="1"/>
    </row>
    <row r="71" customFormat="false" ht="15" hidden="false" customHeight="true" outlineLevel="0" collapsed="false">
      <c r="A71" s="1"/>
      <c r="B71" s="22" t="s">
        <v>10</v>
      </c>
      <c r="C71" s="23" t="n">
        <f aca="false">SUM(C58:C70)</f>
        <v>1969.23</v>
      </c>
      <c r="D71" s="1"/>
      <c r="E71" s="1"/>
      <c r="F71" s="1"/>
      <c r="G71" s="1"/>
      <c r="H71" s="1"/>
      <c r="I71" s="1"/>
      <c r="J71" s="1"/>
      <c r="K71" s="1"/>
      <c r="L71" s="1"/>
      <c r="M71" s="1"/>
      <c r="N71" s="1"/>
    </row>
    <row r="72" customFormat="false" ht="15" hidden="false" customHeight="true" outlineLevel="0" collapsed="false">
      <c r="A72" s="1"/>
      <c r="B72" s="1"/>
      <c r="C72" s="1"/>
      <c r="D72" s="1"/>
      <c r="E72" s="1"/>
      <c r="F72" s="1"/>
      <c r="G72" s="1"/>
      <c r="H72" s="1"/>
      <c r="I72" s="1"/>
      <c r="J72" s="1"/>
      <c r="K72" s="1"/>
      <c r="L72" s="1"/>
      <c r="M72" s="1"/>
      <c r="N72" s="1"/>
    </row>
    <row r="73" customFormat="false" ht="15" hidden="false" customHeight="true" outlineLevel="0" collapsed="false">
      <c r="A73" s="1"/>
      <c r="B73" s="1"/>
      <c r="C73" s="1"/>
      <c r="D73" s="1"/>
      <c r="E73" s="1"/>
      <c r="F73" s="1"/>
      <c r="G73" s="1"/>
      <c r="H73" s="1"/>
      <c r="I73" s="1"/>
      <c r="J73" s="1"/>
      <c r="K73" s="1"/>
      <c r="L73" s="1"/>
      <c r="M73" s="1"/>
      <c r="N73" s="1"/>
    </row>
    <row r="74" customFormat="false" ht="15" hidden="false" customHeight="true" outlineLevel="0" collapsed="false">
      <c r="A74" s="1"/>
      <c r="B74" s="1"/>
      <c r="C74" s="1"/>
      <c r="D74" s="1"/>
      <c r="E74" s="1"/>
      <c r="F74" s="1"/>
      <c r="G74" s="1"/>
      <c r="H74" s="1"/>
      <c r="I74" s="1"/>
      <c r="J74" s="1"/>
      <c r="K74" s="1"/>
      <c r="L74" s="1"/>
      <c r="M74" s="1"/>
      <c r="N74" s="1"/>
    </row>
    <row r="75" customFormat="false" ht="15" hidden="false" customHeight="true" outlineLevel="0" collapsed="false">
      <c r="A75" s="1"/>
      <c r="B75" s="1"/>
      <c r="C75" s="1"/>
      <c r="D75" s="1"/>
      <c r="E75" s="1"/>
      <c r="F75" s="1"/>
      <c r="G75" s="1"/>
      <c r="H75" s="1"/>
      <c r="I75" s="1"/>
      <c r="J75" s="1"/>
      <c r="K75" s="1"/>
      <c r="L75" s="1"/>
      <c r="M75" s="1"/>
      <c r="N75" s="1"/>
    </row>
    <row r="76" customFormat="false" ht="15" hidden="false" customHeight="true" outlineLevel="0" collapsed="false">
      <c r="A76" s="1"/>
      <c r="B76" s="1"/>
      <c r="C76" s="1"/>
      <c r="D76" s="1"/>
      <c r="E76" s="1"/>
      <c r="F76" s="1"/>
      <c r="G76" s="1"/>
      <c r="H76" s="1"/>
      <c r="I76" s="1"/>
      <c r="J76" s="1"/>
      <c r="K76" s="1"/>
      <c r="L76" s="1"/>
      <c r="M76" s="1"/>
      <c r="N76" s="1"/>
    </row>
    <row r="77" customFormat="false" ht="15" hidden="false" customHeight="true" outlineLevel="0" collapsed="false">
      <c r="A77" s="1"/>
      <c r="B77" s="1"/>
      <c r="C77" s="1"/>
      <c r="D77" s="1"/>
      <c r="E77" s="1"/>
      <c r="F77" s="1"/>
      <c r="G77" s="1"/>
      <c r="H77" s="1"/>
      <c r="I77" s="1"/>
      <c r="J77" s="1"/>
      <c r="K77" s="1"/>
      <c r="L77" s="1"/>
      <c r="M77" s="1"/>
      <c r="N77" s="1"/>
    </row>
    <row r="78" customFormat="false" ht="15" hidden="false" customHeight="true" outlineLevel="0" collapsed="false">
      <c r="A78" s="1"/>
      <c r="B78" s="1"/>
      <c r="C78" s="1"/>
      <c r="D78" s="1"/>
      <c r="E78" s="1"/>
      <c r="F78" s="1"/>
      <c r="G78" s="1"/>
      <c r="H78" s="1"/>
      <c r="I78" s="1"/>
      <c r="J78" s="1"/>
      <c r="K78" s="1"/>
      <c r="L78" s="1"/>
      <c r="M78" s="1"/>
      <c r="N78" s="1"/>
    </row>
    <row r="79" customFormat="false" ht="15" hidden="false" customHeight="true" outlineLevel="0" collapsed="false">
      <c r="A79" s="1"/>
      <c r="B79" s="1"/>
      <c r="C79" s="1"/>
      <c r="D79" s="1"/>
      <c r="E79" s="1"/>
      <c r="F79" s="1"/>
      <c r="G79" s="1"/>
      <c r="H79" s="1"/>
      <c r="I79" s="1"/>
      <c r="J79" s="1"/>
      <c r="K79" s="1"/>
      <c r="L79" s="1"/>
      <c r="M79" s="1"/>
      <c r="N79" s="1"/>
    </row>
    <row r="80" customFormat="false" ht="15" hidden="false" customHeight="true" outlineLevel="0" collapsed="false">
      <c r="A80" s="1"/>
      <c r="B80" s="1"/>
      <c r="C80" s="1"/>
      <c r="D80" s="1"/>
      <c r="E80" s="1"/>
      <c r="F80" s="1"/>
      <c r="G80" s="1"/>
      <c r="H80" s="1"/>
      <c r="I80" s="1"/>
      <c r="J80" s="1"/>
      <c r="K80" s="1"/>
      <c r="L80" s="1"/>
      <c r="M80" s="1"/>
      <c r="N80" s="1"/>
    </row>
  </sheetData>
  <dataValidations count="3">
    <dataValidation allowBlank="true" error="Escolha um valor da lista" errorStyle="stop" operator="between" showDropDown="false" showErrorMessage="true" showInputMessage="false" sqref="B6" type="list">
      <formula1>ListaMesesFiltro</formula1>
      <formula2>0</formula2>
    </dataValidation>
    <dataValidation allowBlank="true" error="Escolha um valor da lista" errorStyle="stop" operator="between" showDropDown="false" showErrorMessage="true" showInputMessage="false" sqref="D6" type="list">
      <formula1>ListaCategoriasFiltro</formula1>
      <formula2>0</formula2>
    </dataValidation>
    <dataValidation allowBlank="true" error="Escolha um valor da lista" errorStyle="stop" operator="between" showDropDown="false" showErrorMessage="true" showInputMessage="false" sqref="F6" type="list">
      <formula1>ListaMercadosFiltro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3B341"/>
    <pageSetUpPr fitToPage="false"/>
  </sheetPr>
  <dimension ref="A1:L1409"/>
  <sheetViews>
    <sheetView showFormulas="false" showGridLines="false" showRowColHeaders="true" showZeros="true" rightToLeft="false" tabSelected="false" showOutlineSymbols="true" defaultGridColor="true" view="normal" topLeftCell="A173" colorId="64" zoomScale="100" zoomScaleNormal="100" zoomScalePageLayoutView="100" workbookViewId="0">
      <selection pane="topLeft" activeCell="U183" activeCellId="0" sqref="U183"/>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20"/>
    <col collapsed="false" customWidth="true" hidden="false" outlineLevel="0" max="3" min="3" style="0" width="27"/>
    <col collapsed="false" customWidth="true" hidden="false" outlineLevel="0" max="4" min="4" style="0" width="14"/>
    <col collapsed="false" customWidth="true" hidden="false" outlineLevel="0" max="6" min="5" style="0" width="8"/>
    <col collapsed="false" customWidth="true" hidden="false" outlineLevel="0" max="9" min="7" style="0" width="12"/>
    <col collapsed="false" customWidth="true" hidden="false" outlineLevel="0" max="10" min="10" style="0" width="9"/>
    <col collapsed="false" customWidth="true" hidden="false" outlineLevel="0" max="11" min="11" style="0" width="11"/>
    <col collapsed="false" customWidth="true" hidden="false" outlineLevel="0" max="12" min="12" style="0" width="2"/>
  </cols>
  <sheetData>
    <row r="1" customFormat="false" ht="15" hidden="false" customHeight="false" outlineLevel="0" collapsed="false">
      <c r="A1" s="1"/>
      <c r="B1" s="1"/>
      <c r="C1" s="1"/>
      <c r="D1" s="1"/>
      <c r="E1" s="1"/>
      <c r="F1" s="1"/>
      <c r="G1" s="1"/>
      <c r="H1" s="1"/>
      <c r="I1" s="1"/>
      <c r="J1" s="1"/>
      <c r="K1" s="1"/>
      <c r="L1" s="1"/>
    </row>
    <row r="2" customFormat="false" ht="30" hidden="false" customHeight="true" outlineLevel="0" collapsed="false">
      <c r="A2" s="1"/>
      <c r="B2" s="2" t="s">
        <v>71</v>
      </c>
      <c r="C2" s="1"/>
      <c r="D2" s="1"/>
      <c r="E2" s="1"/>
      <c r="F2" s="1"/>
      <c r="G2" s="1"/>
      <c r="H2" s="1"/>
      <c r="I2" s="1"/>
      <c r="J2" s="1"/>
      <c r="K2" s="1"/>
      <c r="L2" s="1"/>
    </row>
    <row r="3" customFormat="false" ht="15" hidden="false" customHeight="false" outlineLevel="0" collapsed="false">
      <c r="A3" s="1"/>
      <c r="B3" s="3" t="s">
        <v>72</v>
      </c>
      <c r="C3" s="1"/>
      <c r="D3" s="1"/>
      <c r="E3" s="1"/>
      <c r="F3" s="1"/>
      <c r="G3" s="1"/>
      <c r="H3" s="1"/>
      <c r="I3" s="1"/>
      <c r="J3" s="1"/>
      <c r="K3" s="1"/>
      <c r="L3" s="1"/>
    </row>
    <row r="4" customFormat="false" ht="15" hidden="false" customHeight="false" outlineLevel="0" collapsed="false">
      <c r="A4" s="1"/>
      <c r="B4" s="14" t="s">
        <v>73</v>
      </c>
      <c r="C4" s="1"/>
      <c r="D4" s="1"/>
      <c r="E4" s="1"/>
      <c r="F4" s="1"/>
      <c r="G4" s="1"/>
      <c r="H4" s="1"/>
      <c r="I4" s="1"/>
      <c r="J4" s="1"/>
      <c r="K4" s="1"/>
      <c r="L4" s="1"/>
    </row>
    <row r="5" customFormat="false" ht="15" hidden="false" customHeight="false" outlineLevel="0" collapsed="false">
      <c r="A5" s="1"/>
      <c r="B5" s="14" t="s">
        <v>74</v>
      </c>
      <c r="C5" s="1"/>
      <c r="D5" s="1"/>
      <c r="E5" s="1"/>
      <c r="F5" s="1"/>
      <c r="G5" s="1"/>
      <c r="H5" s="1"/>
      <c r="I5" s="1"/>
      <c r="J5" s="1"/>
      <c r="K5" s="1"/>
      <c r="L5" s="1"/>
    </row>
    <row r="6" customFormat="false" ht="15" hidden="false" customHeight="false" outlineLevel="0" collapsed="false">
      <c r="A6" s="1"/>
      <c r="B6" s="1"/>
      <c r="C6" s="1"/>
      <c r="D6" s="1"/>
      <c r="E6" s="1"/>
      <c r="F6" s="1"/>
      <c r="G6" s="1"/>
      <c r="H6" s="1"/>
      <c r="I6" s="1"/>
      <c r="J6" s="1"/>
      <c r="K6" s="1"/>
      <c r="L6" s="1"/>
    </row>
    <row r="7" customFormat="false" ht="16.5" hidden="false" customHeight="true" outlineLevel="0" collapsed="false">
      <c r="A7" s="1"/>
      <c r="B7" s="13" t="s">
        <v>75</v>
      </c>
      <c r="C7" s="1"/>
      <c r="D7" s="1"/>
      <c r="E7" s="1"/>
      <c r="F7" s="1"/>
      <c r="G7" s="1"/>
      <c r="H7" s="1"/>
      <c r="I7" s="1"/>
      <c r="J7" s="1"/>
      <c r="K7" s="1"/>
      <c r="L7" s="1"/>
    </row>
    <row r="8" customFormat="false" ht="15" hidden="false" customHeight="false" outlineLevel="0" collapsed="false">
      <c r="A8" s="1"/>
      <c r="B8" s="14" t="s">
        <v>76</v>
      </c>
      <c r="C8" s="1"/>
      <c r="D8" s="1"/>
      <c r="E8" s="1"/>
      <c r="F8" s="1"/>
      <c r="G8" s="1"/>
      <c r="H8" s="1"/>
      <c r="I8" s="1"/>
      <c r="J8" s="1"/>
      <c r="K8" s="1"/>
      <c r="L8" s="1"/>
    </row>
    <row r="9" customFormat="false" ht="15" hidden="false" customHeight="false" outlineLevel="0" collapsed="false">
      <c r="A9" s="1"/>
      <c r="B9" s="1"/>
      <c r="C9" s="1"/>
      <c r="D9" s="1"/>
      <c r="E9" s="1"/>
      <c r="F9" s="1"/>
      <c r="G9" s="1"/>
      <c r="H9" s="1"/>
      <c r="I9" s="1"/>
      <c r="J9" s="1"/>
      <c r="K9" s="1"/>
      <c r="L9" s="1"/>
    </row>
    <row r="10" customFormat="false" ht="15" hidden="false" customHeight="false" outlineLevel="0" collapsed="false">
      <c r="A10" s="1"/>
      <c r="B10" s="15" t="s">
        <v>77</v>
      </c>
      <c r="C10" s="15" t="s">
        <v>78</v>
      </c>
      <c r="D10" s="15" t="s">
        <v>34</v>
      </c>
      <c r="E10" s="15" t="s">
        <v>79</v>
      </c>
      <c r="F10" s="15" t="s">
        <v>80</v>
      </c>
      <c r="G10" s="15" t="s">
        <v>31</v>
      </c>
      <c r="H10" s="15" t="s">
        <v>81</v>
      </c>
      <c r="I10" s="15" t="s">
        <v>82</v>
      </c>
      <c r="J10" s="15" t="s">
        <v>83</v>
      </c>
      <c r="K10" s="15" t="s">
        <v>84</v>
      </c>
      <c r="L10" s="1"/>
    </row>
    <row r="11" customFormat="false" ht="15" hidden="false" customHeight="false" outlineLevel="0" collapsed="false">
      <c r="A11" s="1"/>
      <c r="B11" s="38" t="s">
        <v>85</v>
      </c>
      <c r="C11" s="39" t="n">
        <f aca="false">C103</f>
        <v>46144</v>
      </c>
      <c r="D11" s="16" t="str">
        <f aca="false">C102</f>
        <v>Crystal</v>
      </c>
      <c r="E11" s="30" t="str">
        <f aca="false">G102</f>
        <v>NFC-e 000052920 série 017</v>
      </c>
      <c r="F11" s="30" t="str">
        <f aca="false">G103</f>
        <v>Cartão de Crédito</v>
      </c>
      <c r="G11" s="40" t="n">
        <f aca="false">C105</f>
        <v>3</v>
      </c>
      <c r="H11" s="17" t="n">
        <f aca="false">G104</f>
        <v>27.67</v>
      </c>
      <c r="I11" s="17" t="n">
        <f aca="false">G105</f>
        <v>27.67</v>
      </c>
      <c r="J11" s="17" t="n">
        <f aca="false">G106</f>
        <v>0</v>
      </c>
      <c r="K11" s="41" t="str">
        <f aca="false">IF(AND(OR(C104="",C104=C105,C104=C106),ABS(N(G106))&lt;=0.05),"OK","Revisar")</f>
        <v>OK</v>
      </c>
      <c r="L11" s="1"/>
    </row>
    <row r="12" customFormat="false" ht="15" hidden="false" customHeight="false" outlineLevel="0" collapsed="false">
      <c r="A12" s="1"/>
      <c r="B12" s="38" t="s">
        <v>86</v>
      </c>
      <c r="C12" s="42" t="n">
        <f aca="false">C115</f>
        <v>46146</v>
      </c>
      <c r="D12" s="19" t="str">
        <f aca="false">C114</f>
        <v>Supermercados Nori</v>
      </c>
      <c r="E12" s="32" t="str">
        <f aca="false">G114</f>
        <v>Cupom 00077650 / NFC-e 24610 Série 004</v>
      </c>
      <c r="F12" s="32" t="str">
        <f aca="false">G115</f>
        <v>Cartão de Crédito</v>
      </c>
      <c r="G12" s="43" t="n">
        <f aca="false">C117</f>
        <v>21</v>
      </c>
      <c r="H12" s="20" t="n">
        <f aca="false">G116</f>
        <v>184.05</v>
      </c>
      <c r="I12" s="20" t="n">
        <f aca="false">G117</f>
        <v>184.05</v>
      </c>
      <c r="J12" s="20" t="n">
        <f aca="false">G118</f>
        <v>0</v>
      </c>
      <c r="K12" s="44" t="str">
        <f aca="false">IF(AND(OR(C116="",C116=C117,C116=C118),ABS(N(G118))&lt;=0.05),"OK","Revisar")</f>
        <v>OK</v>
      </c>
      <c r="L12" s="1"/>
    </row>
    <row r="13" customFormat="false" ht="15" hidden="false" customHeight="false" outlineLevel="0" collapsed="false">
      <c r="A13" s="1"/>
      <c r="B13" s="38" t="s">
        <v>87</v>
      </c>
      <c r="C13" s="39" t="n">
        <f aca="false">C145</f>
        <v>46147</v>
      </c>
      <c r="D13" s="16" t="str">
        <f aca="false">C144</f>
        <v>Supermercados Nori</v>
      </c>
      <c r="E13" s="30" t="str">
        <f aca="false">G144</f>
        <v>Cupom 91475</v>
      </c>
      <c r="F13" s="30" t="str">
        <f aca="false">G145</f>
        <v>Cartão de Crédito</v>
      </c>
      <c r="G13" s="40" t="n">
        <f aca="false">C147</f>
        <v>33</v>
      </c>
      <c r="H13" s="17" t="n">
        <f aca="false">G146</f>
        <v>301.86</v>
      </c>
      <c r="I13" s="17" t="n">
        <f aca="false">G147</f>
        <v>301.76</v>
      </c>
      <c r="J13" s="17" t="n">
        <f aca="false">G148</f>
        <v>0.1</v>
      </c>
      <c r="K13" s="41" t="str">
        <f aca="false">IF(AND(OR(C146="",C146=C147,C146=C148),ABS(N(G148))&lt;=0.05),"OK","Revisar")</f>
        <v>Revisar</v>
      </c>
      <c r="L13" s="1"/>
    </row>
    <row r="14" customFormat="false" ht="15" hidden="false" customHeight="false" outlineLevel="0" collapsed="false">
      <c r="A14" s="1"/>
      <c r="B14" s="38" t="s">
        <v>88</v>
      </c>
      <c r="C14" s="42" t="n">
        <f aca="false">C187</f>
        <v>46148</v>
      </c>
      <c r="D14" s="19" t="str">
        <f aca="false">C186</f>
        <v>Varejao Monteverde</v>
      </c>
      <c r="E14" s="32" t="str">
        <f aca="false">G186</f>
        <v>NFC-e 2410 série 2</v>
      </c>
      <c r="F14" s="32" t="str">
        <f aca="false">G187</f>
        <v>Cartão de Crédito</v>
      </c>
      <c r="G14" s="43" t="n">
        <f aca="false">C189</f>
        <v>3</v>
      </c>
      <c r="H14" s="20" t="n">
        <f aca="false">G188</f>
        <v>17.69</v>
      </c>
      <c r="I14" s="20" t="n">
        <f aca="false">G189</f>
        <v>17.69</v>
      </c>
      <c r="J14" s="20" t="n">
        <f aca="false">G190</f>
        <v>0</v>
      </c>
      <c r="K14" s="44" t="str">
        <f aca="false">IF(AND(OR(C188="",C188=C189,C188=C190),ABS(N(G190))&lt;=0.05),"OK","Revisar")</f>
        <v>OK</v>
      </c>
      <c r="L14" s="1"/>
    </row>
    <row r="15" customFormat="false" ht="15" hidden="false" customHeight="false" outlineLevel="0" collapsed="false">
      <c r="A15" s="1"/>
      <c r="B15" s="38" t="s">
        <v>89</v>
      </c>
      <c r="C15" s="39" t="n">
        <f aca="false">C199</f>
        <v>46151</v>
      </c>
      <c r="D15" s="16" t="str">
        <f aca="false">C198</f>
        <v>Supermercado Canesin</v>
      </c>
      <c r="E15" s="30" t="str">
        <f aca="false">G198</f>
        <v>NFC-e 000038274 série 301</v>
      </c>
      <c r="F15" s="30" t="str">
        <f aca="false">G199</f>
        <v>Cartão de Crédito</v>
      </c>
      <c r="G15" s="40" t="n">
        <f aca="false">C201</f>
        <v>2</v>
      </c>
      <c r="H15" s="17" t="n">
        <f aca="false">G200</f>
        <v>16.18</v>
      </c>
      <c r="I15" s="17" t="n">
        <f aca="false">G201</f>
        <v>16.18</v>
      </c>
      <c r="J15" s="17" t="n">
        <f aca="false">G202</f>
        <v>0</v>
      </c>
      <c r="K15" s="41" t="str">
        <f aca="false">IF(AND(OR(C200="",C200=C201,C200=C202),ABS(N(G202))&lt;=0.05),"OK","Revisar")</f>
        <v>OK</v>
      </c>
      <c r="L15" s="1"/>
    </row>
    <row r="16" customFormat="false" ht="15" hidden="false" customHeight="false" outlineLevel="0" collapsed="false">
      <c r="A16" s="1"/>
      <c r="B16" s="38" t="s">
        <v>90</v>
      </c>
      <c r="C16" s="42" t="n">
        <f aca="false">C210</f>
        <v>46152</v>
      </c>
      <c r="D16" s="19" t="str">
        <f aca="false">C209</f>
        <v>Casa de Carnes Barao da Carne</v>
      </c>
      <c r="E16" s="32" t="str">
        <f aca="false">G209</f>
        <v>Pedido 083825 (Orçamento - Sem Valor Fiscal)</v>
      </c>
      <c r="F16" s="32" t="str">
        <f aca="false">G210</f>
        <v>Cartão de Crédito</v>
      </c>
      <c r="G16" s="43" t="n">
        <f aca="false">C212</f>
        <v>2</v>
      </c>
      <c r="H16" s="20" t="n">
        <f aca="false">G211</f>
        <v>78.48</v>
      </c>
      <c r="I16" s="20" t="n">
        <f aca="false">G212</f>
        <v>78.48</v>
      </c>
      <c r="J16" s="20" t="n">
        <f aca="false">G213</f>
        <v>0</v>
      </c>
      <c r="K16" s="44" t="str">
        <f aca="false">IF(AND(OR(C211="",C211=C212,C211=C213),ABS(N(G213))&lt;=0.05),"OK","Revisar")</f>
        <v>OK</v>
      </c>
      <c r="L16" s="1"/>
    </row>
    <row r="17" customFormat="false" ht="15" hidden="false" customHeight="false" outlineLevel="0" collapsed="false">
      <c r="A17" s="1"/>
      <c r="B17" s="38" t="s">
        <v>91</v>
      </c>
      <c r="C17" s="39" t="n">
        <f aca="false">C221</f>
        <v>46152</v>
      </c>
      <c r="D17" s="16" t="str">
        <f aca="false">C220</f>
        <v>Varejao Monteverde</v>
      </c>
      <c r="E17" s="30" t="str">
        <f aca="false">G220</f>
        <v>NFC-e 8933 série 1</v>
      </c>
      <c r="F17" s="30" t="str">
        <f aca="false">G221</f>
        <v>Cartão de Crédito</v>
      </c>
      <c r="G17" s="40" t="n">
        <f aca="false">C223</f>
        <v>2</v>
      </c>
      <c r="H17" s="17" t="n">
        <f aca="false">G222</f>
        <v>13.73</v>
      </c>
      <c r="I17" s="17" t="n">
        <f aca="false">G223</f>
        <v>13.73</v>
      </c>
      <c r="J17" s="17" t="n">
        <f aca="false">G224</f>
        <v>0</v>
      </c>
      <c r="K17" s="41" t="str">
        <f aca="false">IF(AND(OR(C222="",C222=C223,C222=C224),ABS(N(G224))&lt;=0.05),"OK","Revisar")</f>
        <v>OK</v>
      </c>
      <c r="L17" s="1"/>
    </row>
    <row r="18" customFormat="false" ht="15" hidden="false" customHeight="false" outlineLevel="0" collapsed="false">
      <c r="A18" s="1"/>
      <c r="B18" s="38" t="s">
        <v>92</v>
      </c>
      <c r="C18" s="42" t="n">
        <f aca="false">C232</f>
        <v>46152</v>
      </c>
      <c r="D18" s="19" t="str">
        <f aca="false">C231</f>
        <v>Real Atacamix</v>
      </c>
      <c r="E18" s="32" t="str">
        <f aca="false">G231</f>
        <v>Pedido 103009583 Oper. 03</v>
      </c>
      <c r="F18" s="32" t="str">
        <f aca="false">G232</f>
        <v>Cartão de Crédito</v>
      </c>
      <c r="G18" s="43" t="n">
        <f aca="false">C234</f>
        <v>3</v>
      </c>
      <c r="H18" s="20" t="n">
        <f aca="false">G233</f>
        <v>39.96</v>
      </c>
      <c r="I18" s="20" t="n">
        <f aca="false">G234</f>
        <v>39.96</v>
      </c>
      <c r="J18" s="20" t="n">
        <f aca="false">G235</f>
        <v>0</v>
      </c>
      <c r="K18" s="44" t="str">
        <f aca="false">IF(AND(OR(C233="",C233=C234,C233=C235),ABS(N(G235))&lt;=0.05),"OK","Revisar")</f>
        <v>OK</v>
      </c>
      <c r="L18" s="1"/>
    </row>
    <row r="19" customFormat="false" ht="15" hidden="false" customHeight="false" outlineLevel="0" collapsed="false">
      <c r="A19" s="1"/>
      <c r="B19" s="38" t="s">
        <v>93</v>
      </c>
      <c r="C19" s="39" t="n">
        <f aca="false">C244</f>
        <v>46152</v>
      </c>
      <c r="D19" s="16" t="str">
        <f aca="false">C243</f>
        <v>Andre Supermercado</v>
      </c>
      <c r="E19" s="30" t="str">
        <f aca="false">G243</f>
        <v>Cupom 0900212 PDV 03</v>
      </c>
      <c r="F19" s="30" t="str">
        <f aca="false">G244</f>
        <v>Cartão de Crédito</v>
      </c>
      <c r="G19" s="40" t="n">
        <f aca="false">C246</f>
        <v>3</v>
      </c>
      <c r="H19" s="17" t="n">
        <f aca="false">G245</f>
        <v>18.18</v>
      </c>
      <c r="I19" s="17" t="n">
        <f aca="false">G246</f>
        <v>18.18</v>
      </c>
      <c r="J19" s="17" t="n">
        <f aca="false">G247</f>
        <v>0</v>
      </c>
      <c r="K19" s="41" t="str">
        <f aca="false">IF(AND(OR(C245="",C245=C246,C245=C247),ABS(N(G247))&lt;=0.05),"OK","Revisar")</f>
        <v>OK</v>
      </c>
      <c r="L19" s="1"/>
    </row>
    <row r="20" customFormat="false" ht="15" hidden="false" customHeight="false" outlineLevel="0" collapsed="false">
      <c r="A20" s="1"/>
      <c r="B20" s="38" t="s">
        <v>94</v>
      </c>
      <c r="C20" s="42" t="n">
        <f aca="false">C256</f>
        <v>46152</v>
      </c>
      <c r="D20" s="19" t="str">
        <f aca="false">C255</f>
        <v>Supermercados Nori</v>
      </c>
      <c r="E20" s="32" t="str">
        <f aca="false">G255</f>
        <v>Cupom 00083585 NFC-e 27580 Serie 014</v>
      </c>
      <c r="F20" s="32" t="str">
        <f aca="false">G256</f>
        <v>PIX</v>
      </c>
      <c r="G20" s="43" t="n">
        <f aca="false">C258</f>
        <v>3</v>
      </c>
      <c r="H20" s="20" t="n">
        <f aca="false">G257</f>
        <v>93.46</v>
      </c>
      <c r="I20" s="20" t="n">
        <f aca="false">G258</f>
        <v>93.46</v>
      </c>
      <c r="J20" s="20" t="n">
        <f aca="false">G259</f>
        <v>0</v>
      </c>
      <c r="K20" s="44" t="str">
        <f aca="false">IF(AND(OR(C257="",C257=C258,C257=C259),ABS(N(G259))&lt;=0.05),"OK","Revisar")</f>
        <v>OK</v>
      </c>
      <c r="L20" s="1"/>
    </row>
    <row r="21" customFormat="false" ht="15" hidden="false" customHeight="false" outlineLevel="0" collapsed="false">
      <c r="A21" s="1"/>
      <c r="B21" s="38" t="s">
        <v>95</v>
      </c>
      <c r="C21" s="39" t="n">
        <f aca="false">C268</f>
        <v>46156</v>
      </c>
      <c r="D21" s="16" t="str">
        <f aca="false">C267</f>
        <v>Andre Novato Ribeiro</v>
      </c>
      <c r="E21" s="30" t="str">
        <f aca="false">G267</f>
        <v>Cupom Nota 36741</v>
      </c>
      <c r="F21" s="30" t="str">
        <f aca="false">G268</f>
        <v>Cartão de Crédito</v>
      </c>
      <c r="G21" s="40" t="n">
        <f aca="false">C270</f>
        <v>2</v>
      </c>
      <c r="H21" s="17" t="n">
        <f aca="false">G269</f>
        <v>39.98</v>
      </c>
      <c r="I21" s="17" t="n">
        <f aca="false">G270</f>
        <v>39.98</v>
      </c>
      <c r="J21" s="17" t="n">
        <f aca="false">G271</f>
        <v>0</v>
      </c>
      <c r="K21" s="41" t="str">
        <f aca="false">IF(AND(OR(C269="",C269=C270,C269=C271),ABS(N(G271))&lt;=0.05),"OK","Revisar")</f>
        <v>OK</v>
      </c>
      <c r="L21" s="1"/>
    </row>
    <row r="22" customFormat="false" ht="15" hidden="false" customHeight="false" outlineLevel="0" collapsed="false">
      <c r="A22" s="1"/>
      <c r="B22" s="38" t="s">
        <v>96</v>
      </c>
      <c r="C22" s="42" t="n">
        <f aca="false">C279</f>
        <v>46156</v>
      </c>
      <c r="D22" s="19" t="str">
        <f aca="false">C278</f>
        <v>Varejao Monteverde</v>
      </c>
      <c r="E22" s="32" t="str">
        <f aca="false">G278</f>
        <v>Cupom NFC-e 3067 Série 3</v>
      </c>
      <c r="F22" s="32" t="str">
        <f aca="false">G279</f>
        <v>Cartão de Crédito</v>
      </c>
      <c r="G22" s="43" t="n">
        <f aca="false">C281</f>
        <v>4</v>
      </c>
      <c r="H22" s="20" t="n">
        <f aca="false">G280</f>
        <v>30.83</v>
      </c>
      <c r="I22" s="20" t="n">
        <f aca="false">G281</f>
        <v>30.83</v>
      </c>
      <c r="J22" s="20" t="n">
        <f aca="false">G282</f>
        <v>0</v>
      </c>
      <c r="K22" s="44" t="str">
        <f aca="false">IF(AND(OR(C280="",C280=C281,C280=C282),ABS(N(G282))&lt;=0.05),"OK","Revisar")</f>
        <v>OK</v>
      </c>
      <c r="L22" s="1"/>
    </row>
    <row r="23" customFormat="false" ht="15" hidden="false" customHeight="false" outlineLevel="0" collapsed="false">
      <c r="A23" s="1"/>
      <c r="B23" s="38" t="s">
        <v>97</v>
      </c>
      <c r="C23" s="39" t="n">
        <f aca="false">C292</f>
        <v>46157</v>
      </c>
      <c r="D23" s="16" t="str">
        <f aca="false">C291</f>
        <v>Supermercados Nori</v>
      </c>
      <c r="E23" s="30" t="str">
        <f aca="false">G291</f>
        <v>Cupom Cupom 00065290</v>
      </c>
      <c r="F23" s="30" t="str">
        <f aca="false">G292</f>
        <v>Cartão de Crédito</v>
      </c>
      <c r="G23" s="40" t="n">
        <f aca="false">C294</f>
        <v>50</v>
      </c>
      <c r="H23" s="17" t="n">
        <f aca="false">G293</f>
        <v>370.63</v>
      </c>
      <c r="I23" s="17" t="n">
        <f aca="false">G294</f>
        <v>370.63</v>
      </c>
      <c r="J23" s="17" t="n">
        <f aca="false">G295</f>
        <v>0</v>
      </c>
      <c r="K23" s="41" t="str">
        <f aca="false">IF(AND(OR(C293="",C293=C294,C293=C295),ABS(N(G295))&lt;=0.05),"OK","Revisar")</f>
        <v>OK</v>
      </c>
      <c r="L23" s="1"/>
    </row>
    <row r="24" customFormat="false" ht="15" hidden="false" customHeight="false" outlineLevel="0" collapsed="false">
      <c r="A24" s="1"/>
      <c r="B24" s="38" t="s">
        <v>98</v>
      </c>
      <c r="C24" s="42" t="n">
        <f aca="false">C351</f>
        <v>46158</v>
      </c>
      <c r="D24" s="19" t="str">
        <f aca="false">C350</f>
        <v>Varejao Nova Brasil</v>
      </c>
      <c r="E24" s="32" t="str">
        <f aca="false">G350</f>
        <v>Cupom Não Fiscal - Terminal 0002 - Vitoria</v>
      </c>
      <c r="F24" s="32" t="str">
        <f aca="false">G351</f>
        <v>Não informado</v>
      </c>
      <c r="G24" s="43" t="n">
        <f aca="false">C353</f>
        <v>5</v>
      </c>
      <c r="H24" s="20" t="n">
        <f aca="false">G352</f>
        <v>48.52</v>
      </c>
      <c r="I24" s="20" t="n">
        <f aca="false">G353</f>
        <v>48.52</v>
      </c>
      <c r="J24" s="20" t="n">
        <f aca="false">G354</f>
        <v>0</v>
      </c>
      <c r="K24" s="44" t="str">
        <f aca="false">IF(AND(OR(C352="",C352=C353,C352=C354),ABS(N(G354))&lt;=0.05),"OK","Revisar")</f>
        <v>OK</v>
      </c>
      <c r="L24" s="1"/>
    </row>
    <row r="25" customFormat="false" ht="15" hidden="false" customHeight="false" outlineLevel="0" collapsed="false">
      <c r="A25" s="1"/>
      <c r="B25" s="38" t="s">
        <v>99</v>
      </c>
      <c r="C25" s="39" t="n">
        <f aca="false">C365</f>
        <v>46159</v>
      </c>
      <c r="D25" s="16" t="str">
        <f aca="false">C364</f>
        <v>Supermercados Nori</v>
      </c>
      <c r="E25" s="30" t="str">
        <f aca="false">G364</f>
        <v>Cupom 00071051 NFC-e 22022 Série 007</v>
      </c>
      <c r="F25" s="30" t="str">
        <f aca="false">G365</f>
        <v>Cartão de Crédito</v>
      </c>
      <c r="G25" s="40" t="n">
        <f aca="false">C367</f>
        <v>9</v>
      </c>
      <c r="H25" s="17" t="n">
        <f aca="false">G366</f>
        <v>102.74</v>
      </c>
      <c r="I25" s="17" t="n">
        <f aca="false">G367</f>
        <v>102.74</v>
      </c>
      <c r="J25" s="17" t="n">
        <f aca="false">G368</f>
        <v>0</v>
      </c>
      <c r="K25" s="41" t="str">
        <f aca="false">IF(AND(OR(C366="",C366=C367,C366=C368),ABS(N(G368))&lt;=0.05),"OK","Revisar")</f>
        <v>OK</v>
      </c>
      <c r="L25" s="1"/>
    </row>
    <row r="26" customFormat="false" ht="15" hidden="false" customHeight="false" outlineLevel="0" collapsed="false">
      <c r="A26" s="1"/>
      <c r="B26" s="38" t="s">
        <v>100</v>
      </c>
      <c r="C26" s="42" t="n">
        <f aca="false">C383</f>
        <v>46161</v>
      </c>
      <c r="D26" s="19" t="str">
        <f aca="false">C382</f>
        <v>Supermercado Canesin</v>
      </c>
      <c r="E26" s="32" t="str">
        <f aca="false">G382</f>
        <v>Cupom (NFC-e) 000050028 / Série 302</v>
      </c>
      <c r="F26" s="32" t="str">
        <f aca="false">G383</f>
        <v>Cartão de Crédito</v>
      </c>
      <c r="G26" s="43" t="n">
        <f aca="false">C385</f>
        <v>2</v>
      </c>
      <c r="H26" s="20" t="n">
        <f aca="false">G384</f>
        <v>17.05</v>
      </c>
      <c r="I26" s="20" t="n">
        <f aca="false">G385</f>
        <v>17.05</v>
      </c>
      <c r="J26" s="20" t="n">
        <f aca="false">G386</f>
        <v>0</v>
      </c>
      <c r="K26" s="44" t="str">
        <f aca="false">IF(AND(OR(C384="",C384=C385,C384=C386),ABS(N(G386))&lt;=0.05),"OK","Revisar")</f>
        <v>OK</v>
      </c>
      <c r="L26" s="1"/>
    </row>
    <row r="27" customFormat="false" ht="15" hidden="false" customHeight="false" outlineLevel="0" collapsed="false">
      <c r="A27" s="1"/>
      <c r="B27" s="38" t="s">
        <v>101</v>
      </c>
      <c r="C27" s="39" t="n">
        <f aca="false">C394</f>
        <v>46162</v>
      </c>
      <c r="D27" s="16" t="str">
        <f aca="false">C393</f>
        <v>Andre Eduardo Hipolito</v>
      </c>
      <c r="E27" s="30" t="str">
        <f aca="false">G393</f>
        <v>Cupom DOC 038073 / COO 036256 (não fiscal)</v>
      </c>
      <c r="F27" s="30" t="str">
        <f aca="false">G394</f>
        <v>Cartão de Crédito</v>
      </c>
      <c r="G27" s="40" t="n">
        <f aca="false">C396</f>
        <v>4</v>
      </c>
      <c r="H27" s="17" t="n">
        <f aca="false">G395</f>
        <v>36</v>
      </c>
      <c r="I27" s="17" t="n">
        <f aca="false">G396</f>
        <v>36</v>
      </c>
      <c r="J27" s="17" t="n">
        <f aca="false">G397</f>
        <v>0</v>
      </c>
      <c r="K27" s="41" t="str">
        <f aca="false">IF(AND(OR(C395="",C395=C396,C395=C397),ABS(N(G397))&lt;=0.05),"OK","Revisar")</f>
        <v>OK</v>
      </c>
      <c r="L27" s="1"/>
    </row>
    <row r="28" customFormat="false" ht="15" hidden="false" customHeight="false" outlineLevel="0" collapsed="false">
      <c r="A28" s="1"/>
      <c r="B28" s="38" t="s">
        <v>102</v>
      </c>
      <c r="C28" s="42" t="n">
        <f aca="false">C407</f>
        <v>46163</v>
      </c>
      <c r="D28" s="19" t="str">
        <f aca="false">C406</f>
        <v>Varejao Monteverde</v>
      </c>
      <c r="E28" s="32" t="str">
        <f aca="false">G406</f>
        <v>Cupom NFC-e nº 3243 / Série 3</v>
      </c>
      <c r="F28" s="32" t="str">
        <f aca="false">G407</f>
        <v>Cartão de Crédito</v>
      </c>
      <c r="G28" s="43" t="n">
        <f aca="false">C409</f>
        <v>5</v>
      </c>
      <c r="H28" s="20" t="n">
        <f aca="false">G408</f>
        <v>33.34</v>
      </c>
      <c r="I28" s="20" t="n">
        <f aca="false">G409</f>
        <v>33.34</v>
      </c>
      <c r="J28" s="20" t="n">
        <f aca="false">G410</f>
        <v>0</v>
      </c>
      <c r="K28" s="44" t="str">
        <f aca="false">IF(AND(OR(C408="",C408=C409,C408=C410),ABS(N(G410))&lt;=0.05),"OK","Revisar")</f>
        <v>OK</v>
      </c>
      <c r="L28" s="1"/>
    </row>
    <row r="29" customFormat="false" ht="15" hidden="false" customHeight="false" outlineLevel="0" collapsed="false">
      <c r="A29" s="1"/>
      <c r="B29" s="38" t="s">
        <v>103</v>
      </c>
      <c r="C29" s="39" t="n">
        <f aca="false">C421</f>
        <v>46168</v>
      </c>
      <c r="D29" s="16" t="str">
        <f aca="false">C420</f>
        <v>Varejao Monteverde</v>
      </c>
      <c r="E29" s="30" t="str">
        <f aca="false">G420</f>
        <v>Cupom COD: 1492272 PDV1</v>
      </c>
      <c r="F29" s="30" t="str">
        <f aca="false">G421</f>
        <v>Dinheiro</v>
      </c>
      <c r="G29" s="40" t="n">
        <f aca="false">C423</f>
        <v>5</v>
      </c>
      <c r="H29" s="17" t="n">
        <f aca="false">G422</f>
        <v>33.25</v>
      </c>
      <c r="I29" s="17" t="n">
        <f aca="false">G423</f>
        <v>33.25</v>
      </c>
      <c r="J29" s="17" t="n">
        <f aca="false">G424</f>
        <v>0</v>
      </c>
      <c r="K29" s="41" t="str">
        <f aca="false">IF(AND(OR(C422="",C422=C423,C422=C424),ABS(N(G424))&lt;=0.05),"OK","Revisar")</f>
        <v>OK</v>
      </c>
      <c r="L29" s="1"/>
    </row>
    <row r="30" customFormat="false" ht="15" hidden="false" customHeight="false" outlineLevel="0" collapsed="false">
      <c r="A30" s="1"/>
      <c r="B30" s="38" t="s">
        <v>104</v>
      </c>
      <c r="C30" s="42" t="n">
        <f aca="false">C435</f>
        <v>46168</v>
      </c>
      <c r="D30" s="19" t="str">
        <f aca="false">C434</f>
        <v>Andre Eduardo Hipolito</v>
      </c>
      <c r="E30" s="32" t="str">
        <f aca="false">G434</f>
        <v>Cupom NFC-e nº 000002266 / Série 001 / DOC 040187</v>
      </c>
      <c r="F30" s="32" t="str">
        <f aca="false">G435</f>
        <v>Dinheiro</v>
      </c>
      <c r="G30" s="43" t="n">
        <f aca="false">C437</f>
        <v>1</v>
      </c>
      <c r="H30" s="20" t="n">
        <f aca="false">G436</f>
        <v>5.85</v>
      </c>
      <c r="I30" s="20" t="n">
        <f aca="false">G437</f>
        <v>5.85</v>
      </c>
      <c r="J30" s="20" t="n">
        <f aca="false">G438</f>
        <v>0</v>
      </c>
      <c r="K30" s="44" t="str">
        <f aca="false">IF(AND(OR(C436="",C436=C437,C436=C438),ABS(N(G438))&lt;=0.05),"OK","Revisar")</f>
        <v>OK</v>
      </c>
      <c r="L30" s="1"/>
    </row>
    <row r="31" customFormat="false" ht="15" hidden="false" customHeight="false" outlineLevel="0" collapsed="false">
      <c r="A31" s="1"/>
      <c r="B31" s="38" t="s">
        <v>105</v>
      </c>
      <c r="C31" s="39" t="n">
        <f aca="false">C445</f>
        <v>46169</v>
      </c>
      <c r="D31" s="16" t="str">
        <f aca="false">C444</f>
        <v>Supermercado Canesin</v>
      </c>
      <c r="E31" s="30" t="str">
        <f aca="false">G444</f>
        <v>NFC-e 000042390 — Série 301</v>
      </c>
      <c r="F31" s="30" t="str">
        <f aca="false">G445</f>
        <v>Dinheiro R$ 100,00 / Troco R$ 86,02</v>
      </c>
      <c r="G31" s="40" t="n">
        <f aca="false">C447</f>
        <v>2</v>
      </c>
      <c r="H31" s="17" t="n">
        <f aca="false">G446</f>
        <v>13.98</v>
      </c>
      <c r="I31" s="17" t="n">
        <f aca="false">G447</f>
        <v>13.98</v>
      </c>
      <c r="J31" s="17" t="n">
        <f aca="false">G448</f>
        <v>0</v>
      </c>
      <c r="K31" s="41" t="str">
        <f aca="false">IF(AND(OR(C446="",C446=C447,C446=C448),ABS(N(G448))&lt;=0.05),"OK","Revisar")</f>
        <v>OK</v>
      </c>
      <c r="L31" s="1"/>
    </row>
    <row r="32" customFormat="false" ht="15" hidden="false" customHeight="false" outlineLevel="0" collapsed="false">
      <c r="A32" s="1"/>
      <c r="B32" s="38" t="s">
        <v>106</v>
      </c>
      <c r="C32" s="42" t="n">
        <f aca="false">C456</f>
        <v>46169</v>
      </c>
      <c r="D32" s="19" t="str">
        <f aca="false">C455</f>
        <v>Andre Eduardo Hipolito</v>
      </c>
      <c r="E32" s="32" t="str">
        <f aca="false">G455</f>
        <v>Cupom DOC 040540 — COO 040075</v>
      </c>
      <c r="F32" s="32" t="str">
        <f aca="false">G456</f>
        <v>Dinheiro R$ 21,00 / Troco R$ 0,08</v>
      </c>
      <c r="G32" s="43" t="n">
        <f aca="false">C458</f>
        <v>3</v>
      </c>
      <c r="H32" s="20" t="n">
        <f aca="false">G457</f>
        <v>20.92</v>
      </c>
      <c r="I32" s="20" t="n">
        <f aca="false">G458</f>
        <v>20.92</v>
      </c>
      <c r="J32" s="20" t="n">
        <f aca="false">G459</f>
        <v>0</v>
      </c>
      <c r="K32" s="44" t="str">
        <f aca="false">IF(AND(OR(C457="",C457=C458,C457=C459),ABS(N(G459))&lt;=0.05),"OK","Revisar")</f>
        <v>OK</v>
      </c>
      <c r="L32" s="1"/>
    </row>
    <row r="33" customFormat="false" ht="15" hidden="false" customHeight="false" outlineLevel="0" collapsed="false">
      <c r="A33" s="1"/>
      <c r="B33" s="38" t="s">
        <v>107</v>
      </c>
      <c r="C33" s="39" t="n">
        <f aca="false">C468</f>
        <v>46170</v>
      </c>
      <c r="D33" s="16" t="str">
        <f aca="false">C467</f>
        <v>Varejao Monteverde</v>
      </c>
      <c r="E33" s="30" t="str">
        <f aca="false">G467</f>
        <v>Cupom COD: 1492588 — PDV1</v>
      </c>
      <c r="F33" s="30" t="str">
        <f aca="false">G468</f>
        <v>Dinheiro R$ 50,55 / Troco R$ 28,00</v>
      </c>
      <c r="G33" s="40" t="n">
        <f aca="false">C470</f>
        <v>3</v>
      </c>
      <c r="H33" s="17" t="n">
        <f aca="false">G469</f>
        <v>22.55</v>
      </c>
      <c r="I33" s="17" t="n">
        <f aca="false">G470</f>
        <v>22.55</v>
      </c>
      <c r="J33" s="17" t="n">
        <f aca="false">G471</f>
        <v>0</v>
      </c>
      <c r="K33" s="41" t="str">
        <f aca="false">IF(AND(OR(C469="",C469=C470,C469=C471),ABS(N(G471))&lt;=0.05),"OK","Revisar")</f>
        <v>OK</v>
      </c>
      <c r="L33" s="1"/>
    </row>
    <row r="34" customFormat="false" ht="15" hidden="false" customHeight="false" outlineLevel="0" collapsed="false">
      <c r="A34" s="1"/>
      <c r="B34" s="38" t="s">
        <v>108</v>
      </c>
      <c r="C34" s="42" t="n">
        <f aca="false">C480</f>
        <v>46171</v>
      </c>
      <c r="D34" s="19" t="str">
        <f aca="false">C479</f>
        <v>Varejao Monteverde</v>
      </c>
      <c r="E34" s="32" t="str">
        <f aca="false">G479</f>
        <v>Cupom COD: 1492747 — PDV2</v>
      </c>
      <c r="F34" s="32" t="str">
        <f aca="false">G480</f>
        <v>Dinheiro R$ 17,00 / Troco R$ 0,20</v>
      </c>
      <c r="G34" s="43" t="n">
        <f aca="false">C482</f>
        <v>1</v>
      </c>
      <c r="H34" s="20" t="n">
        <f aca="false">G481</f>
        <v>16.8</v>
      </c>
      <c r="I34" s="20" t="n">
        <f aca="false">G482</f>
        <v>16.8</v>
      </c>
      <c r="J34" s="20" t="n">
        <f aca="false">G483</f>
        <v>0</v>
      </c>
      <c r="K34" s="44" t="str">
        <f aca="false">IF(AND(OR(C481="",C481=C482,C481=C483),ABS(N(G483))&lt;=0.05),"OK","Revisar")</f>
        <v>OK</v>
      </c>
      <c r="L34" s="1"/>
    </row>
    <row r="35" customFormat="false" ht="15" hidden="false" customHeight="false" outlineLevel="0" collapsed="false">
      <c r="A35" s="1"/>
      <c r="B35" s="38" t="s">
        <v>109</v>
      </c>
      <c r="C35" s="39" t="n">
        <f aca="false">C490</f>
        <v>46171</v>
      </c>
      <c r="D35" s="16" t="str">
        <f aca="false">C489</f>
        <v>Supermercado Canesin</v>
      </c>
      <c r="E35" s="30" t="str">
        <f aca="false">G489</f>
        <v>Cupom NFC-e nº 52295 / Série 302</v>
      </c>
      <c r="F35" s="30" t="str">
        <f aca="false">G490</f>
        <v>Dinheiro</v>
      </c>
      <c r="G35" s="40" t="n">
        <f aca="false">C492</f>
        <v>12</v>
      </c>
      <c r="H35" s="17" t="n">
        <f aca="false">G491</f>
        <v>78.21</v>
      </c>
      <c r="I35" s="17" t="n">
        <f aca="false">G492</f>
        <v>78.21</v>
      </c>
      <c r="J35" s="17" t="n">
        <f aca="false">G493</f>
        <v>0</v>
      </c>
      <c r="K35" s="41" t="str">
        <f aca="false">IF(AND(OR(C491="",C491=C492,C491=C493),ABS(N(G493))&lt;=0.05),"OK","Revisar")</f>
        <v>OK</v>
      </c>
      <c r="L35" s="1"/>
    </row>
    <row r="36" customFormat="false" ht="15" hidden="false" customHeight="false" outlineLevel="0" collapsed="false">
      <c r="A36" s="1"/>
      <c r="B36" s="38" t="s">
        <v>110</v>
      </c>
      <c r="C36" s="42" t="n">
        <f aca="false">C511</f>
        <v>46173</v>
      </c>
      <c r="D36" s="19" t="str">
        <f aca="false">C510</f>
        <v>Supermercados Nori</v>
      </c>
      <c r="E36" s="32" t="str">
        <f aca="false">G510</f>
        <v>Cupom Cupom 00073882</v>
      </c>
      <c r="F36" s="32" t="str">
        <f aca="false">G511</f>
        <v>Não informado</v>
      </c>
      <c r="G36" s="43" t="n">
        <f aca="false">C513</f>
        <v>44</v>
      </c>
      <c r="H36" s="20" t="n">
        <f aca="false">G512</f>
        <v>289.12</v>
      </c>
      <c r="I36" s="20" t="n">
        <f aca="false">G513</f>
        <v>289.12</v>
      </c>
      <c r="J36" s="20" t="n">
        <f aca="false">G514</f>
        <v>0</v>
      </c>
      <c r="K36" s="44" t="str">
        <f aca="false">IF(AND(OR(C512="",C512=C513,C512=C514),ABS(N(G514))&lt;=0.05),"OK","Revisar")</f>
        <v>OK</v>
      </c>
      <c r="L36" s="1"/>
    </row>
    <row r="37" customFormat="false" ht="15" hidden="false" customHeight="false" outlineLevel="0" collapsed="false">
      <c r="A37" s="1"/>
      <c r="B37" s="38" t="s">
        <v>111</v>
      </c>
      <c r="C37" s="39" t="n">
        <f aca="false">C564</f>
        <v>46173</v>
      </c>
      <c r="D37" s="16" t="str">
        <f aca="false">C563</f>
        <v>Varejao Monteverde</v>
      </c>
      <c r="E37" s="30" t="str">
        <f aca="false">G563</f>
        <v>NFC-e NFC-e nº 9592 / Série 1</v>
      </c>
      <c r="F37" s="30" t="str">
        <f aca="false">G564</f>
        <v>Cartão de Crédito</v>
      </c>
      <c r="G37" s="40" t="n">
        <f aca="false">C566</f>
        <v>4</v>
      </c>
      <c r="H37" s="17" t="n">
        <f aca="false">G565</f>
        <v>23.9</v>
      </c>
      <c r="I37" s="17" t="n">
        <f aca="false">G566</f>
        <v>23.9</v>
      </c>
      <c r="J37" s="17" t="n">
        <f aca="false">G567</f>
        <v>0</v>
      </c>
      <c r="K37" s="41" t="str">
        <f aca="false">IF(AND(OR(C565="",C565=C566,C565=C567),ABS(N(G567))&lt;=0.05),"OK","Revisar")</f>
        <v>OK</v>
      </c>
      <c r="L37" s="1"/>
    </row>
    <row r="38" customFormat="false" ht="15" hidden="false" customHeight="false" outlineLevel="0" collapsed="false">
      <c r="A38" s="1"/>
      <c r="B38" s="38" t="s">
        <v>112</v>
      </c>
      <c r="C38" s="42" t="n">
        <f aca="false">C577</f>
        <v>46176</v>
      </c>
      <c r="D38" s="19" t="str">
        <f aca="false">C576</f>
        <v>Varejao Monteverde</v>
      </c>
      <c r="E38" s="32" t="str">
        <f aca="false">G576</f>
        <v>NFC-e NFC-e nº 3087 / Série 2</v>
      </c>
      <c r="F38" s="32" t="str">
        <f aca="false">G577</f>
        <v>Cartão de Crédito</v>
      </c>
      <c r="G38" s="43" t="n">
        <f aca="false">C579</f>
        <v>13</v>
      </c>
      <c r="H38" s="20" t="n">
        <f aca="false">G578</f>
        <v>78.38</v>
      </c>
      <c r="I38" s="20" t="n">
        <f aca="false">G579</f>
        <v>78.38</v>
      </c>
      <c r="J38" s="20" t="n">
        <f aca="false">G580</f>
        <v>0</v>
      </c>
      <c r="K38" s="44" t="str">
        <f aca="false">IF(AND(OR(C578="",C578=C579,C578=C580),ABS(N(G580))&lt;=0.05),"OK","Revisar")</f>
        <v>OK</v>
      </c>
      <c r="L38" s="1"/>
    </row>
    <row r="39" customFormat="false" ht="15" hidden="false" customHeight="false" outlineLevel="0" collapsed="false">
      <c r="A39" s="1"/>
      <c r="B39" s="38" t="s">
        <v>113</v>
      </c>
      <c r="C39" s="39" t="n">
        <f aca="false">C599</f>
        <v>46176</v>
      </c>
      <c r="D39" s="16" t="str">
        <f aca="false">C598</f>
        <v>Supermercados Nori</v>
      </c>
      <c r="E39" s="30" t="str">
        <f aca="false">G598</f>
        <v>Cupom / NFC-e Cupom 68001 · NFC-e nº 20926 / Série 005</v>
      </c>
      <c r="F39" s="30" t="str">
        <f aca="false">G599</f>
        <v>Cartão de Crédito</v>
      </c>
      <c r="G39" s="40" t="n">
        <f aca="false">C601</f>
        <v>47</v>
      </c>
      <c r="H39" s="17" t="n">
        <f aca="false">G600</f>
        <v>336.92</v>
      </c>
      <c r="I39" s="17" t="n">
        <f aca="false">G601</f>
        <v>336.92</v>
      </c>
      <c r="J39" s="17" t="n">
        <f aca="false">G602</f>
        <v>0</v>
      </c>
      <c r="K39" s="41" t="str">
        <f aca="false">IF(AND(OR(C600="",C600=C601,C600=C602),ABS(N(G602))&lt;=0.05),"OK","Revisar")</f>
        <v>OK</v>
      </c>
      <c r="L39" s="1"/>
    </row>
    <row r="40" customFormat="false" ht="15" hidden="false" customHeight="false" outlineLevel="0" collapsed="false">
      <c r="A40" s="1"/>
      <c r="B40" s="38" t="s">
        <v>114</v>
      </c>
      <c r="C40" s="42" t="n">
        <f aca="false">C655</f>
        <v>46177</v>
      </c>
      <c r="D40" s="19" t="str">
        <f aca="false">C654</f>
        <v>Supermercado Canesin</v>
      </c>
      <c r="E40" s="32" t="str">
        <f aca="false">G654</f>
        <v>Cupom (NFC-e) 000053664 / Série 302</v>
      </c>
      <c r="F40" s="32" t="str">
        <f aca="false">G655</f>
        <v>Cartão de Crédito</v>
      </c>
      <c r="G40" s="43" t="n">
        <f aca="false">C657</f>
        <v>5</v>
      </c>
      <c r="H40" s="20" t="n">
        <f aca="false">G656</f>
        <v>26.73</v>
      </c>
      <c r="I40" s="20" t="n">
        <f aca="false">G657</f>
        <v>26.73</v>
      </c>
      <c r="J40" s="20" t="n">
        <f aca="false">G658</f>
        <v>0</v>
      </c>
      <c r="K40" s="44" t="str">
        <f aca="false">IF(AND(OR(C656="",C656=C657,C656=C658),ABS(N(G658))&lt;=0.05),"OK","Revisar")</f>
        <v>OK</v>
      </c>
      <c r="L40" s="1"/>
    </row>
    <row r="41" customFormat="false" ht="15" hidden="false" customHeight="false" outlineLevel="0" collapsed="false">
      <c r="A41" s="1"/>
      <c r="B41" s="38" t="s">
        <v>115</v>
      </c>
      <c r="C41" s="39" t="n">
        <f aca="false">C669</f>
        <v>46179</v>
      </c>
      <c r="D41" s="16" t="str">
        <f aca="false">C668</f>
        <v>Supermercados Nori</v>
      </c>
      <c r="E41" s="30" t="str">
        <f aca="false">G668</f>
        <v>Cupom (NFC-e) 000034682 / Série 002 (Cupom 00103940)</v>
      </c>
      <c r="F41" s="30" t="str">
        <f aca="false">G669</f>
        <v>Cartão de Crédito</v>
      </c>
      <c r="G41" s="40" t="n">
        <f aca="false">C671</f>
        <v>16</v>
      </c>
      <c r="H41" s="17" t="n">
        <f aca="false">G670</f>
        <v>162.37</v>
      </c>
      <c r="I41" s="17" t="n">
        <f aca="false">G671</f>
        <v>162.37</v>
      </c>
      <c r="J41" s="17" t="n">
        <f aca="false">G672</f>
        <v>0</v>
      </c>
      <c r="K41" s="41" t="str">
        <f aca="false">IF(AND(OR(C670="",C670=C671,C670=C672),ABS(N(G672))&lt;=0.05),"OK","Revisar")</f>
        <v>OK</v>
      </c>
      <c r="L41" s="1"/>
    </row>
    <row r="42" customFormat="false" ht="15" hidden="false" customHeight="false" outlineLevel="0" collapsed="false">
      <c r="A42" s="1"/>
      <c r="B42" s="38" t="s">
        <v>116</v>
      </c>
      <c r="C42" s="42" t="n">
        <f aca="false">C694</f>
        <v>46183</v>
      </c>
      <c r="D42" s="19" t="str">
        <f aca="false">C693</f>
        <v>Supermercado Canesin</v>
      </c>
      <c r="E42" s="32" t="str">
        <f aca="false">G693</f>
        <v>Cupom (NFC-e) 000054990 / Série 302 (Cupom 093663)</v>
      </c>
      <c r="F42" s="32" t="str">
        <f aca="false">G694</f>
        <v>Cartão de Crédito</v>
      </c>
      <c r="G42" s="43" t="n">
        <f aca="false">C696</f>
        <v>2</v>
      </c>
      <c r="H42" s="20" t="n">
        <f aca="false">G695</f>
        <v>15.46</v>
      </c>
      <c r="I42" s="20" t="n">
        <f aca="false">G696</f>
        <v>15.46</v>
      </c>
      <c r="J42" s="20" t="n">
        <f aca="false">G697</f>
        <v>0</v>
      </c>
      <c r="K42" s="44" t="str">
        <f aca="false">IF(AND(OR(C695="",C695=C696,C695=C697),ABS(N(G697))&lt;=0.05),"OK","Revisar")</f>
        <v>OK</v>
      </c>
      <c r="L42" s="1"/>
    </row>
    <row r="43" customFormat="false" ht="15" hidden="false" customHeight="false" outlineLevel="0" collapsed="false">
      <c r="A43" s="1"/>
      <c r="B43" s="38" t="s">
        <v>117</v>
      </c>
      <c r="C43" s="39" t="n">
        <f aca="false">C705</f>
        <v>46183</v>
      </c>
      <c r="D43" s="16" t="str">
        <f aca="false">C704</f>
        <v>Lanchoti e Martins</v>
      </c>
      <c r="E43" s="30" t="str">
        <f aca="false">G704</f>
        <v>Cupom (NFC-e) 000235703 / Série 001</v>
      </c>
      <c r="F43" s="30" t="str">
        <f aca="false">G705</f>
        <v>Cartão de Crédito</v>
      </c>
      <c r="G43" s="40" t="n">
        <f aca="false">C707</f>
        <v>2</v>
      </c>
      <c r="H43" s="17" t="n">
        <f aca="false">G706</f>
        <v>51.15</v>
      </c>
      <c r="I43" s="17" t="n">
        <f aca="false">G707</f>
        <v>51.15</v>
      </c>
      <c r="J43" s="17" t="n">
        <f aca="false">G708</f>
        <v>0</v>
      </c>
      <c r="K43" s="41" t="str">
        <f aca="false">IF(AND(OR(C706="",C706=C707,C706=C708),ABS(N(G708))&lt;=0.05),"OK","Revisar")</f>
        <v>OK</v>
      </c>
      <c r="L43" s="1"/>
    </row>
    <row r="44" customFormat="false" ht="15" hidden="false" customHeight="false" outlineLevel="0" collapsed="false">
      <c r="A44" s="1"/>
      <c r="B44" s="38" t="s">
        <v>118</v>
      </c>
      <c r="C44" s="42" t="n">
        <f aca="false">C716</f>
        <v>46185</v>
      </c>
      <c r="D44" s="19" t="str">
        <f aca="false">C715</f>
        <v>Supermercados Nori</v>
      </c>
      <c r="E44" s="32" t="str">
        <f aca="false">G715</f>
        <v>Cupom (NFC-e) 00070533 / Série 005</v>
      </c>
      <c r="F44" s="32" t="str">
        <f aca="false">G716</f>
        <v>Cartão de Crédito</v>
      </c>
      <c r="G44" s="43" t="n">
        <f aca="false">C718</f>
        <v>63</v>
      </c>
      <c r="H44" s="20" t="n">
        <f aca="false">G717</f>
        <v>477.41</v>
      </c>
      <c r="I44" s="20" t="n">
        <f aca="false">G718</f>
        <v>477.41</v>
      </c>
      <c r="J44" s="20" t="n">
        <f aca="false">G719</f>
        <v>0</v>
      </c>
      <c r="K44" s="44" t="str">
        <f aca="false">IF(AND(OR(C717="",C717=C718,C717=C719),ABS(N(G719))&lt;=0.05),"OK","Revisar")</f>
        <v>Revisar</v>
      </c>
      <c r="L44" s="1"/>
    </row>
    <row r="45" customFormat="false" ht="15" hidden="false" customHeight="false" outlineLevel="0" collapsed="false">
      <c r="A45" s="1"/>
      <c r="B45" s="38" t="s">
        <v>119</v>
      </c>
      <c r="C45" s="39" t="n">
        <f aca="false">C788</f>
        <v>46193</v>
      </c>
      <c r="D45" s="16" t="str">
        <f aca="false">C787</f>
        <v>Supermercados Nori</v>
      </c>
      <c r="E45" s="30" t="str">
        <f aca="false">G787</f>
        <v>Cupom (NFC-e) 00083903 / Série 004</v>
      </c>
      <c r="F45" s="30" t="str">
        <f aca="false">G788</f>
        <v>Cartão de Crédito</v>
      </c>
      <c r="G45" s="40" t="n">
        <f aca="false">C790</f>
        <v>19</v>
      </c>
      <c r="H45" s="17" t="n">
        <f aca="false">G789</f>
        <v>158.19</v>
      </c>
      <c r="I45" s="17" t="n">
        <f aca="false">G790</f>
        <v>158.19</v>
      </c>
      <c r="J45" s="17" t="n">
        <f aca="false">G791</f>
        <v>0</v>
      </c>
      <c r="K45" s="41" t="str">
        <f aca="false">IF(AND(OR(C789="",C789=C790,C789=C791),ABS(N(G791))&lt;=0.05),"OK","Revisar")</f>
        <v>OK</v>
      </c>
      <c r="L45" s="1"/>
    </row>
    <row r="46" customFormat="false" ht="15" hidden="false" customHeight="false" outlineLevel="0" collapsed="false">
      <c r="A46" s="1"/>
      <c r="B46" s="38" t="s">
        <v>120</v>
      </c>
      <c r="C46" s="42" t="n">
        <f aca="false">C816</f>
        <v>46197</v>
      </c>
      <c r="D46" s="19" t="str">
        <f aca="false">C815</f>
        <v>Supermercado Canesin</v>
      </c>
      <c r="E46" s="32" t="str">
        <f aca="false">G815</f>
        <v>Cupom (NFC-e) 00048969 / Série 301</v>
      </c>
      <c r="F46" s="32" t="str">
        <f aca="false">G816</f>
        <v>Cartão de Crédito</v>
      </c>
      <c r="G46" s="43" t="n">
        <f aca="false">C818</f>
        <v>2</v>
      </c>
      <c r="H46" s="20" t="n">
        <f aca="false">G817</f>
        <v>10.94</v>
      </c>
      <c r="I46" s="20" t="n">
        <f aca="false">G818</f>
        <v>10.94</v>
      </c>
      <c r="J46" s="20" t="n">
        <f aca="false">G819</f>
        <v>0</v>
      </c>
      <c r="K46" s="44" t="str">
        <f aca="false">IF(AND(OR(C817="",C817=C818,C817=C819),ABS(N(G819))&lt;=0.05),"OK","Revisar")</f>
        <v>OK</v>
      </c>
      <c r="L46" s="1"/>
    </row>
    <row r="47" customFormat="false" ht="15" hidden="false" customHeight="false" outlineLevel="0" collapsed="false">
      <c r="A47" s="1"/>
      <c r="B47" s="38" t="s">
        <v>121</v>
      </c>
      <c r="C47" s="39" t="n">
        <f aca="false">C827</f>
        <v>46199</v>
      </c>
      <c r="D47" s="16" t="str">
        <f aca="false">C826</f>
        <v>Supermercado Canesin</v>
      </c>
      <c r="E47" s="30" t="str">
        <f aca="false">G826</f>
        <v>Cupom (NFC-e) 00049425 / Série 301</v>
      </c>
      <c r="F47" s="30" t="str">
        <f aca="false">G827</f>
        <v>Cartão de Crédito</v>
      </c>
      <c r="G47" s="40" t="n">
        <f aca="false">C829</f>
        <v>4</v>
      </c>
      <c r="H47" s="17" t="n">
        <f aca="false">G828</f>
        <v>34.14</v>
      </c>
      <c r="I47" s="17" t="n">
        <f aca="false">G829</f>
        <v>34.14</v>
      </c>
      <c r="J47" s="17" t="n">
        <f aca="false">G830</f>
        <v>0</v>
      </c>
      <c r="K47" s="41" t="str">
        <f aca="false">IF(AND(OR(C828="",C828=C829,C828=C830),ABS(N(G830))&lt;=0.05),"OK","Revisar")</f>
        <v>OK</v>
      </c>
      <c r="L47" s="1"/>
    </row>
    <row r="48" customFormat="false" ht="15" hidden="false" customHeight="false" outlineLevel="0" collapsed="false">
      <c r="A48" s="1"/>
      <c r="B48" s="38" t="s">
        <v>122</v>
      </c>
      <c r="C48" s="42" t="n">
        <f aca="false">C840</f>
        <v>46200</v>
      </c>
      <c r="D48" s="19" t="str">
        <f aca="false">C839</f>
        <v>Varejao Monteverde</v>
      </c>
      <c r="E48" s="32" t="str">
        <f aca="false">G839</f>
        <v>Cupom (NFC-e) 00003965 / Série 003</v>
      </c>
      <c r="F48" s="32" t="str">
        <f aca="false">G840</f>
        <v>Cartão de Crédito</v>
      </c>
      <c r="G48" s="43" t="n">
        <f aca="false">C842</f>
        <v>8</v>
      </c>
      <c r="H48" s="20" t="n">
        <f aca="false">G841</f>
        <v>43.91</v>
      </c>
      <c r="I48" s="20" t="n">
        <f aca="false">G842</f>
        <v>43.91</v>
      </c>
      <c r="J48" s="20" t="n">
        <f aca="false">G843</f>
        <v>0</v>
      </c>
      <c r="K48" s="44" t="str">
        <f aca="false">IF(AND(OR(C841="",C841=C842,C841=C843),ABS(N(G843))&lt;=0.05),"OK","Revisar")</f>
        <v>OK</v>
      </c>
      <c r="L48" s="1"/>
    </row>
    <row r="49" customFormat="false" ht="15" hidden="false" customHeight="false" outlineLevel="0" collapsed="false">
      <c r="A49" s="1"/>
      <c r="B49" s="38" t="s">
        <v>123</v>
      </c>
      <c r="C49" s="39" t="n">
        <f aca="false">C857</f>
        <v>46204</v>
      </c>
      <c r="D49" s="16" t="str">
        <f aca="false">C856</f>
        <v>Supermercado Canesin</v>
      </c>
      <c r="E49" s="30" t="str">
        <f aca="false">G856</f>
        <v>Cupom (NFC-e) 000059513 / Série 302</v>
      </c>
      <c r="F49" s="30" t="str">
        <f aca="false">G857</f>
        <v>Cartão de Crédito</v>
      </c>
      <c r="G49" s="40" t="n">
        <f aca="false">C859</f>
        <v>3</v>
      </c>
      <c r="H49" s="17" t="n">
        <f aca="false">G858</f>
        <v>27.79</v>
      </c>
      <c r="I49" s="17" t="n">
        <f aca="false">G859</f>
        <v>27.79</v>
      </c>
      <c r="J49" s="17" t="n">
        <f aca="false">G860</f>
        <v>0</v>
      </c>
      <c r="K49" s="41" t="str">
        <f aca="false">IF(AND(OR(C858="",C858=C859,C858=C860),ABS(N(G860))&lt;=0.05),"OK","Revisar")</f>
        <v>OK</v>
      </c>
      <c r="L49" s="1"/>
    </row>
    <row r="50" customFormat="false" ht="15" hidden="false" customHeight="false" outlineLevel="0" collapsed="false">
      <c r="A50" s="1"/>
      <c r="B50" s="38" t="s">
        <v>124</v>
      </c>
      <c r="C50" s="42" t="n">
        <f aca="false">C869</f>
        <v>46204</v>
      </c>
      <c r="D50" s="19" t="str">
        <f aca="false">C868</f>
        <v>Supermercado Canesin</v>
      </c>
      <c r="E50" s="32" t="str">
        <f aca="false">G868</f>
        <v>Cupom (NFC-e) 000050582 / Série 301</v>
      </c>
      <c r="F50" s="32" t="str">
        <f aca="false">G869</f>
        <v>Cartão de Crédito</v>
      </c>
      <c r="G50" s="43" t="n">
        <f aca="false">C871</f>
        <v>6</v>
      </c>
      <c r="H50" s="20" t="n">
        <f aca="false">G870</f>
        <v>47.24</v>
      </c>
      <c r="I50" s="20" t="n">
        <f aca="false">G871</f>
        <v>47.24</v>
      </c>
      <c r="J50" s="20" t="n">
        <f aca="false">G872</f>
        <v>0</v>
      </c>
      <c r="K50" s="44" t="str">
        <f aca="false">IF(AND(OR(C870="",C870=C871,C870=C872),ABS(N(G872))&lt;=0.05),"OK","Revisar")</f>
        <v>OK</v>
      </c>
      <c r="L50" s="1"/>
    </row>
    <row r="51" customFormat="false" ht="15" hidden="false" customHeight="false" outlineLevel="0" collapsed="false">
      <c r="A51" s="1"/>
      <c r="B51" s="38" t="s">
        <v>125</v>
      </c>
      <c r="C51" s="39" t="n">
        <f aca="false">C884</f>
        <v>46205</v>
      </c>
      <c r="D51" s="16" t="str">
        <f aca="false">C883</f>
        <v>Andre Eduardo Hipolito</v>
      </c>
      <c r="E51" s="30" t="str">
        <f aca="false">G883</f>
        <v>Cupom (NFC-e) DOC 050716</v>
      </c>
      <c r="F51" s="30" t="str">
        <f aca="false">G884</f>
        <v>Cartão de Crédito</v>
      </c>
      <c r="G51" s="40" t="n">
        <f aca="false">C886</f>
        <v>4</v>
      </c>
      <c r="H51" s="17" t="n">
        <f aca="false">G885</f>
        <v>20.73</v>
      </c>
      <c r="I51" s="17" t="n">
        <f aca="false">G886</f>
        <v>20.73</v>
      </c>
      <c r="J51" s="17" t="n">
        <f aca="false">G887</f>
        <v>0</v>
      </c>
      <c r="K51" s="41" t="str">
        <f aca="false">IF(AND(OR(C885="",C885=C886,C885=C887),ABS(N(G887))&lt;=0.05),"OK","Revisar")</f>
        <v>OK</v>
      </c>
      <c r="L51" s="1"/>
    </row>
    <row r="52" customFormat="false" ht="15" hidden="false" customHeight="false" outlineLevel="0" collapsed="false">
      <c r="A52" s="1"/>
      <c r="B52" s="38" t="s">
        <v>126</v>
      </c>
      <c r="C52" s="42" t="n">
        <f aca="false">C897</f>
        <v>46207</v>
      </c>
      <c r="D52" s="19" t="str">
        <f aca="false">C896</f>
        <v>Supermercados Nori</v>
      </c>
      <c r="E52" s="32" t="str">
        <f aca="false">G896</f>
        <v>Cupom (NFC-e) 96224</v>
      </c>
      <c r="F52" s="32" t="str">
        <f aca="false">G897</f>
        <v>Cartão de Crédito</v>
      </c>
      <c r="G52" s="43" t="n">
        <f aca="false">C899</f>
        <v>74</v>
      </c>
      <c r="H52" s="20" t="n">
        <f aca="false">G898</f>
        <v>502.56</v>
      </c>
      <c r="I52" s="20" t="n">
        <f aca="false">G899</f>
        <v>503.18</v>
      </c>
      <c r="J52" s="20" t="n">
        <f aca="false">G900</f>
        <v>-0.62</v>
      </c>
      <c r="K52" s="44" t="str">
        <f aca="false">IF(AND(OR(C898="",C898=C899,C898=C900),ABS(N(G900))&lt;=0.05),"OK","Revisar")</f>
        <v>Revisar</v>
      </c>
      <c r="L52" s="1"/>
    </row>
    <row r="53" customFormat="false" ht="15" hidden="false" customHeight="false" outlineLevel="0" collapsed="false">
      <c r="A53" s="1"/>
      <c r="B53" s="38" t="s">
        <v>127</v>
      </c>
      <c r="C53" s="39" t="n">
        <f aca="false">C980</f>
        <v>46207</v>
      </c>
      <c r="D53" s="16" t="str">
        <f aca="false">C979</f>
        <v>Varejao Monteverde</v>
      </c>
      <c r="E53" s="30" t="str">
        <f aca="false">G979</f>
        <v>Cupom (NFC-e) 000004121 / Série 3</v>
      </c>
      <c r="F53" s="30" t="str">
        <f aca="false">G980</f>
        <v>Cartão de Crédito</v>
      </c>
      <c r="G53" s="40" t="n">
        <f aca="false">C982</f>
        <v>3</v>
      </c>
      <c r="H53" s="17" t="n">
        <f aca="false">G981</f>
        <v>24.72</v>
      </c>
      <c r="I53" s="17" t="n">
        <f aca="false">G982</f>
        <v>24.72</v>
      </c>
      <c r="J53" s="17" t="n">
        <f aca="false">G983</f>
        <v>0</v>
      </c>
      <c r="K53" s="41" t="str">
        <f aca="false">IF(AND(OR(C981="",C981=C982,C981=C983),ABS(N(G983))&lt;=0.05),"OK","Revisar")</f>
        <v>OK</v>
      </c>
      <c r="L53" s="1"/>
    </row>
    <row r="54" customFormat="false" ht="15" hidden="false" customHeight="false" outlineLevel="0" collapsed="false">
      <c r="A54" s="1"/>
      <c r="B54" s="38" t="s">
        <v>128</v>
      </c>
      <c r="C54" s="42" t="n">
        <f aca="false">C992</f>
        <v>46208</v>
      </c>
      <c r="D54" s="19" t="str">
        <f aca="false">C991</f>
        <v>Supermercados Nori</v>
      </c>
      <c r="E54" s="32" t="str">
        <f aca="false">G991</f>
        <v>Cupom 00046948 / Série 008</v>
      </c>
      <c r="F54" s="32" t="str">
        <f aca="false">G992</f>
        <v>Cartão de Crédito</v>
      </c>
      <c r="G54" s="43" t="n">
        <f aca="false">C994</f>
        <v>7</v>
      </c>
      <c r="H54" s="20" t="n">
        <f aca="false">G993</f>
        <v>74.35</v>
      </c>
      <c r="I54" s="20" t="n">
        <f aca="false">G994</f>
        <v>74.35</v>
      </c>
      <c r="J54" s="20" t="n">
        <f aca="false">G995</f>
        <v>0</v>
      </c>
      <c r="K54" s="44" t="str">
        <f aca="false">IF(AND(OR(C993="",C993=C994,C993=C995),ABS(N(G995))&lt;=0.05),"OK","Revisar")</f>
        <v>OK</v>
      </c>
      <c r="L54" s="1"/>
    </row>
    <row r="55" customFormat="false" ht="15" hidden="false" customHeight="false" outlineLevel="0" collapsed="false">
      <c r="A55" s="1"/>
      <c r="B55" s="38" t="s">
        <v>129</v>
      </c>
      <c r="C55" s="39" t="n">
        <f aca="false">C1008</f>
        <v>46209</v>
      </c>
      <c r="D55" s="16" t="str">
        <f aca="false">C1007</f>
        <v>Varejao Monteverde</v>
      </c>
      <c r="E55" s="30" t="str">
        <f aca="false">G1007</f>
        <v>Cupom (NFC-e) 000004161 / Série 3</v>
      </c>
      <c r="F55" s="30" t="str">
        <f aca="false">G1008</f>
        <v>Cartão de Crédito</v>
      </c>
      <c r="G55" s="40" t="n">
        <f aca="false">C1010</f>
        <v>2</v>
      </c>
      <c r="H55" s="17" t="n">
        <f aca="false">G1009</f>
        <v>10.08</v>
      </c>
      <c r="I55" s="17" t="n">
        <f aca="false">G1010</f>
        <v>10.08</v>
      </c>
      <c r="J55" s="17" t="n">
        <f aca="false">G1011</f>
        <v>0</v>
      </c>
      <c r="K55" s="41" t="str">
        <f aca="false">IF(AND(OR(C1009="",C1009=C1010,C1009=C1011),ABS(N(G1011))&lt;=0.05),"OK","Revisar")</f>
        <v>OK</v>
      </c>
      <c r="L55" s="1"/>
    </row>
    <row r="56" customFormat="false" ht="15" hidden="false" customHeight="false" outlineLevel="0" collapsed="false">
      <c r="A56" s="1"/>
      <c r="B56" s="38" t="s">
        <v>130</v>
      </c>
      <c r="C56" s="42" t="n">
        <f aca="false">C1019</f>
        <v>46209</v>
      </c>
      <c r="D56" s="19" t="str">
        <f aca="false">C1018</f>
        <v>Supermercado Canesin</v>
      </c>
      <c r="E56" s="32" t="str">
        <f aca="false">G1018</f>
        <v>Cupom (NFC-e) 000051984 / Série 301</v>
      </c>
      <c r="F56" s="32" t="str">
        <f aca="false">G1019</f>
        <v>Cartão de Crédito</v>
      </c>
      <c r="G56" s="43" t="n">
        <f aca="false">C1021</f>
        <v>3</v>
      </c>
      <c r="H56" s="20" t="n">
        <f aca="false">G1020</f>
        <v>35</v>
      </c>
      <c r="I56" s="20" t="n">
        <f aca="false">G1021</f>
        <v>35</v>
      </c>
      <c r="J56" s="20" t="n">
        <f aca="false">G1022</f>
        <v>0</v>
      </c>
      <c r="K56" s="44" t="str">
        <f aca="false">IF(AND(OR(C1020="",C1020=C1021,C1020=C1022),ABS(N(G1022))&lt;=0.05),"OK","Revisar")</f>
        <v>OK</v>
      </c>
      <c r="L56" s="1"/>
    </row>
    <row r="57" customFormat="false" ht="15" hidden="false" customHeight="false" outlineLevel="0" collapsed="false">
      <c r="A57" s="1"/>
      <c r="B57" s="38" t="s">
        <v>131</v>
      </c>
      <c r="C57" s="39" t="n">
        <f aca="false">C1031</f>
        <v>46210</v>
      </c>
      <c r="D57" s="16" t="str">
        <f aca="false">C1030</f>
        <v>Supermercados Nori</v>
      </c>
      <c r="E57" s="30" t="str">
        <f aca="false">G1030</f>
        <v>Cupom 00097350 / Série 003</v>
      </c>
      <c r="F57" s="30" t="str">
        <f aca="false">G1031</f>
        <v>Cartão de Crédito</v>
      </c>
      <c r="G57" s="40" t="n">
        <f aca="false">C1033</f>
        <v>20</v>
      </c>
      <c r="H57" s="17" t="n">
        <f aca="false">G1032</f>
        <v>192.25</v>
      </c>
      <c r="I57" s="17" t="n">
        <f aca="false">G1033</f>
        <v>192.25</v>
      </c>
      <c r="J57" s="17" t="n">
        <f aca="false">G1034</f>
        <v>0</v>
      </c>
      <c r="K57" s="41" t="str">
        <f aca="false">IF(AND(OR(C1032="",C1032=C1033,C1032=C1034),ABS(N(G1034))&lt;=0.05),"OK","Revisar")</f>
        <v>OK</v>
      </c>
      <c r="L57" s="1"/>
    </row>
    <row r="58" customFormat="false" ht="15" hidden="false" customHeight="false" outlineLevel="0" collapsed="false">
      <c r="A58" s="1"/>
      <c r="B58" s="38" t="s">
        <v>132</v>
      </c>
      <c r="C58" s="42" t="n">
        <f aca="false">C1060</f>
        <v>46212</v>
      </c>
      <c r="D58" s="19" t="str">
        <f aca="false">C1059</f>
        <v>Supermercados Nori</v>
      </c>
      <c r="E58" s="32" t="str">
        <f aca="false">G1059</f>
        <v>Cupom 00074873 / Série 005</v>
      </c>
      <c r="F58" s="32" t="str">
        <f aca="false">G1060</f>
        <v>Cartão de Crédito</v>
      </c>
      <c r="G58" s="43" t="n">
        <f aca="false">C1062</f>
        <v>24</v>
      </c>
      <c r="H58" s="20" t="n">
        <f aca="false">G1061</f>
        <v>265.82</v>
      </c>
      <c r="I58" s="20" t="n">
        <f aca="false">G1062</f>
        <v>265.82</v>
      </c>
      <c r="J58" s="20" t="n">
        <f aca="false">G1063</f>
        <v>0</v>
      </c>
      <c r="K58" s="44" t="str">
        <f aca="false">IF(AND(OR(C1061="",C1061=C1062,C1061=C1063),ABS(N(G1063))&lt;=0.05),"OK","Revisar")</f>
        <v>OK</v>
      </c>
      <c r="L58" s="1"/>
    </row>
    <row r="59" customFormat="false" ht="15" hidden="false" customHeight="false" outlineLevel="0" collapsed="false">
      <c r="A59" s="1"/>
      <c r="B59" s="38" t="s">
        <v>133</v>
      </c>
      <c r="C59" s="39" t="n">
        <f aca="false">C1093</f>
        <v>46215</v>
      </c>
      <c r="D59" s="16" t="str">
        <f aca="false">C1092</f>
        <v>Supermercados Nori</v>
      </c>
      <c r="E59" s="30" t="str">
        <f aca="false">G1092</f>
        <v>Cupom 00050006 / Série 011</v>
      </c>
      <c r="F59" s="30" t="str">
        <f aca="false">G1093</f>
        <v>Cartão de Crédito</v>
      </c>
      <c r="G59" s="40" t="n">
        <f aca="false">C1095</f>
        <v>13</v>
      </c>
      <c r="H59" s="17" t="n">
        <f aca="false">G1094</f>
        <v>134.58</v>
      </c>
      <c r="I59" s="17" t="n">
        <f aca="false">G1095</f>
        <v>134.58</v>
      </c>
      <c r="J59" s="17" t="n">
        <f aca="false">G1096</f>
        <v>0</v>
      </c>
      <c r="K59" s="41" t="str">
        <f aca="false">IF(AND(OR(C1094="",C1094=C1095,C1094=C1096),ABS(N(G1096))&lt;=0.05),"OK","Revisar")</f>
        <v>OK</v>
      </c>
      <c r="L59" s="1"/>
    </row>
    <row r="60" customFormat="false" ht="15" hidden="false" customHeight="false" outlineLevel="0" collapsed="false">
      <c r="A60" s="1"/>
      <c r="B60" s="38" t="s">
        <v>134</v>
      </c>
      <c r="C60" s="42" t="n">
        <f aca="false">C1115</f>
        <v>46217</v>
      </c>
      <c r="D60" s="19" t="str">
        <f aca="false">C1114</f>
        <v>Varejao Monteverde</v>
      </c>
      <c r="E60" s="32" t="str">
        <f aca="false">G1114</f>
        <v>Cupom 4194 / Série 002</v>
      </c>
      <c r="F60" s="32" t="str">
        <f aca="false">G1115</f>
        <v>Cartão de Crédito</v>
      </c>
      <c r="G60" s="43" t="n">
        <f aca="false">C1117</f>
        <v>3</v>
      </c>
      <c r="H60" s="20" t="n">
        <f aca="false">G1116</f>
        <v>23.31</v>
      </c>
      <c r="I60" s="20" t="n">
        <f aca="false">G1117</f>
        <v>23.31</v>
      </c>
      <c r="J60" s="20" t="n">
        <f aca="false">G1118</f>
        <v>0</v>
      </c>
      <c r="K60" s="44" t="str">
        <f aca="false">IF(AND(OR(C1116="",C1116=C1117,C1116=C1118),ABS(N(G1118))&lt;=0.05),"OK","Revisar")</f>
        <v>OK</v>
      </c>
      <c r="L60" s="1"/>
    </row>
    <row r="61" customFormat="false" ht="15" hidden="false" customHeight="false" outlineLevel="0" collapsed="false">
      <c r="A61" s="1"/>
      <c r="B61" s="38" t="s">
        <v>135</v>
      </c>
      <c r="C61" s="39" t="n">
        <f aca="false">C1127</f>
        <v>46217</v>
      </c>
      <c r="D61" s="16" t="str">
        <f aca="false">C1126</f>
        <v>Supermercado Canesin</v>
      </c>
      <c r="E61" s="30" t="str">
        <f aca="false">G1126</f>
        <v>Cupom 053763 / Série 301</v>
      </c>
      <c r="F61" s="30" t="str">
        <f aca="false">G1127</f>
        <v>Cartão de Crédito</v>
      </c>
      <c r="G61" s="40" t="n">
        <f aca="false">C1129</f>
        <v>5</v>
      </c>
      <c r="H61" s="17" t="n">
        <f aca="false">G1128</f>
        <v>67.69</v>
      </c>
      <c r="I61" s="17" t="n">
        <f aca="false">G1129</f>
        <v>67.69</v>
      </c>
      <c r="J61" s="17" t="n">
        <f aca="false">G1130</f>
        <v>0</v>
      </c>
      <c r="K61" s="41" t="str">
        <f aca="false">IF(AND(OR(C1128="",C1128=C1129,C1128=C1130),ABS(N(G1130))&lt;=0.05),"OK","Revisar")</f>
        <v>OK</v>
      </c>
      <c r="L61" s="1"/>
    </row>
    <row r="62" customFormat="false" ht="15" hidden="false" customHeight="false" outlineLevel="0" collapsed="false">
      <c r="A62" s="1"/>
      <c r="B62" s="38" t="s">
        <v>136</v>
      </c>
      <c r="C62" s="42" t="n">
        <f aca="false">C1141</f>
        <v>46220</v>
      </c>
      <c r="D62" s="19" t="str">
        <f aca="false">C1140</f>
        <v>Varejao Monteverde</v>
      </c>
      <c r="E62" s="32" t="str">
        <f aca="false">G1140</f>
        <v>Cupom 1500598 / PDV3</v>
      </c>
      <c r="F62" s="32" t="str">
        <f aca="false">G1141</f>
        <v>Dinheiro</v>
      </c>
      <c r="G62" s="43" t="n">
        <f aca="false">C1143</f>
        <v>4</v>
      </c>
      <c r="H62" s="20" t="n">
        <f aca="false">G1142</f>
        <v>32.49</v>
      </c>
      <c r="I62" s="20" t="n">
        <f aca="false">G1143</f>
        <v>32.49</v>
      </c>
      <c r="J62" s="20" t="n">
        <f aca="false">G1144</f>
        <v>0</v>
      </c>
      <c r="K62" s="44" t="str">
        <f aca="false">IF(AND(OR(C1142="",C1142=C1143,C1142=C1144),ABS(N(G1144))&lt;=0.05),"OK","Revisar")</f>
        <v>OK</v>
      </c>
      <c r="L62" s="1"/>
    </row>
    <row r="63" customFormat="false" ht="15" hidden="false" customHeight="false" outlineLevel="0" collapsed="false">
      <c r="A63" s="1"/>
      <c r="B63" s="38" t="s">
        <v>137</v>
      </c>
      <c r="C63" s="39" t="n">
        <f aca="false">C1154</f>
        <v>46220</v>
      </c>
      <c r="D63" s="16" t="str">
        <f aca="false">C1153</f>
        <v>Andre Eduardo Hipolito</v>
      </c>
      <c r="E63" s="30" t="str">
        <f aca="false">G1153</f>
        <v>Cupom 54527</v>
      </c>
      <c r="F63" s="30" t="str">
        <f aca="false">G1154</f>
        <v>Dinheiro</v>
      </c>
      <c r="G63" s="40" t="n">
        <f aca="false">C1156</f>
        <v>2</v>
      </c>
      <c r="H63" s="17" t="n">
        <f aca="false">G1155</f>
        <v>21</v>
      </c>
      <c r="I63" s="17" t="n">
        <f aca="false">G1156</f>
        <v>21</v>
      </c>
      <c r="J63" s="17" t="n">
        <f aca="false">G1157</f>
        <v>0</v>
      </c>
      <c r="K63" s="41" t="str">
        <f aca="false">IF(AND(OR(C1155="",C1155=C1156,C1155=C1157),ABS(N(G1157))&lt;=0.05),"OK","Revisar")</f>
        <v>OK</v>
      </c>
      <c r="L63" s="1"/>
    </row>
    <row r="64" customFormat="false" ht="15" hidden="false" customHeight="false" outlineLevel="0" collapsed="false">
      <c r="A64" s="1"/>
      <c r="B64" s="38" t="s">
        <v>138</v>
      </c>
      <c r="C64" s="42" t="n">
        <f aca="false">C1165</f>
        <v>46222</v>
      </c>
      <c r="D64" s="19" t="str">
        <f aca="false">C1164</f>
        <v>Varejao Monteverde</v>
      </c>
      <c r="E64" s="32" t="str">
        <f aca="false">G1164</f>
        <v>Cupom 1500813 / PDV2</v>
      </c>
      <c r="F64" s="32" t="str">
        <f aca="false">G1165</f>
        <v>Dinheiro</v>
      </c>
      <c r="G64" s="43" t="n">
        <f aca="false">C1167</f>
        <v>1</v>
      </c>
      <c r="H64" s="20" t="n">
        <f aca="false">G1166</f>
        <v>2.59</v>
      </c>
      <c r="I64" s="20" t="n">
        <f aca="false">G1167</f>
        <v>2.59</v>
      </c>
      <c r="J64" s="20" t="n">
        <f aca="false">G1168</f>
        <v>0</v>
      </c>
      <c r="K64" s="44" t="str">
        <f aca="false">IF(AND(OR(C1166="",C1166=C1167,C1166=C1168),ABS(N(G1168))&lt;=0.05),"OK","Revisar")</f>
        <v>OK</v>
      </c>
      <c r="L64" s="1"/>
    </row>
    <row r="65" customFormat="false" ht="15" hidden="false" customHeight="false" outlineLevel="0" collapsed="false">
      <c r="A65" s="1"/>
      <c r="B65" s="38" t="s">
        <v>139</v>
      </c>
      <c r="C65" s="39" t="n">
        <f aca="false">C1175</f>
        <v>46222</v>
      </c>
      <c r="D65" s="16" t="str">
        <f aca="false">C1174</f>
        <v>Varejao Nova Brasil</v>
      </c>
      <c r="E65" s="30" t="str">
        <f aca="false">G1174</f>
        <v>Cupom 002286 / Série 002</v>
      </c>
      <c r="F65" s="30" t="str">
        <f aca="false">G1175</f>
        <v>Dinheiro</v>
      </c>
      <c r="G65" s="40" t="n">
        <f aca="false">C1177</f>
        <v>1</v>
      </c>
      <c r="H65" s="17" t="n">
        <f aca="false">G1176</f>
        <v>16.48</v>
      </c>
      <c r="I65" s="17" t="n">
        <f aca="false">G1177</f>
        <v>16.48</v>
      </c>
      <c r="J65" s="17" t="n">
        <f aca="false">G1178</f>
        <v>0</v>
      </c>
      <c r="K65" s="41" t="str">
        <f aca="false">IF(AND(OR(C1176="",C1176=C1177,C1176=C1178),ABS(N(G1178))&lt;=0.05),"OK","Revisar")</f>
        <v>OK</v>
      </c>
      <c r="L65" s="1"/>
    </row>
    <row r="66" customFormat="false" ht="15" hidden="false" customHeight="false" outlineLevel="0" collapsed="false">
      <c r="A66" s="1"/>
      <c r="B66" s="38" t="s">
        <v>140</v>
      </c>
      <c r="C66" s="42" t="n">
        <f aca="false">C1185</f>
        <v>46222</v>
      </c>
      <c r="D66" s="19" t="str">
        <f aca="false">C1184</f>
        <v>Supermercado Canesin</v>
      </c>
      <c r="E66" s="32" t="str">
        <f aca="false">G1184</f>
        <v>Cupom 055105 / Série 301</v>
      </c>
      <c r="F66" s="32" t="str">
        <f aca="false">G1185</f>
        <v>Dinheiro</v>
      </c>
      <c r="G66" s="43" t="n">
        <f aca="false">C1187</f>
        <v>5</v>
      </c>
      <c r="H66" s="20" t="n">
        <f aca="false">G1186</f>
        <v>37.35</v>
      </c>
      <c r="I66" s="20" t="n">
        <f aca="false">G1187</f>
        <v>37.35</v>
      </c>
      <c r="J66" s="20" t="n">
        <f aca="false">G1188</f>
        <v>0</v>
      </c>
      <c r="K66" s="44" t="str">
        <f aca="false">IF(AND(OR(C1186="",C1186=C1187,C1186=C1188),ABS(N(G1188))&lt;=0.05),"OK","Revisar")</f>
        <v>OK</v>
      </c>
      <c r="L66" s="1"/>
    </row>
    <row r="67" customFormat="false" ht="15" hidden="false" customHeight="false" outlineLevel="0" collapsed="false">
      <c r="A67" s="1"/>
      <c r="B67" s="38" t="s">
        <v>141</v>
      </c>
      <c r="C67" s="39" t="n">
        <f aca="false">C1199</f>
        <v>46223</v>
      </c>
      <c r="D67" s="16" t="str">
        <f aca="false">C1198</f>
        <v>Varejao Monteverde</v>
      </c>
      <c r="E67" s="30" t="str">
        <f aca="false">G1198</f>
        <v>Cupom 1500960 / PDV1</v>
      </c>
      <c r="F67" s="30" t="str">
        <f aca="false">G1199</f>
        <v>Dinheiro</v>
      </c>
      <c r="G67" s="40" t="n">
        <f aca="false">C1201</f>
        <v>1</v>
      </c>
      <c r="H67" s="17" t="n">
        <f aca="false">G1200</f>
        <v>16.8</v>
      </c>
      <c r="I67" s="17" t="n">
        <f aca="false">G1201</f>
        <v>16.8</v>
      </c>
      <c r="J67" s="17" t="n">
        <f aca="false">G1202</f>
        <v>0</v>
      </c>
      <c r="K67" s="41" t="str">
        <f aca="false">IF(AND(OR(C1200="",C1200=C1201,C1200=C1202),ABS(N(G1202))&lt;=0.05),"OK","Revisar")</f>
        <v>OK</v>
      </c>
      <c r="L67" s="1"/>
    </row>
    <row r="68" customFormat="false" ht="15" hidden="false" customHeight="false" outlineLevel="0" collapsed="false">
      <c r="A68" s="1"/>
      <c r="B68" s="38" t="s">
        <v>142</v>
      </c>
      <c r="C68" s="42" t="n">
        <f aca="false">C1209</f>
        <v>46223</v>
      </c>
      <c r="D68" s="19" t="str">
        <f aca="false">C1208</f>
        <v>Andre Eduardo Hipolito</v>
      </c>
      <c r="E68" s="32" t="str">
        <f aca="false">G1208</f>
        <v>Cupom 055348</v>
      </c>
      <c r="F68" s="32" t="str">
        <f aca="false">G1209</f>
        <v>Cartão de Crédito</v>
      </c>
      <c r="G68" s="43" t="n">
        <f aca="false">C1211</f>
        <v>3</v>
      </c>
      <c r="H68" s="20" t="n">
        <f aca="false">G1210</f>
        <v>19.54</v>
      </c>
      <c r="I68" s="20" t="n">
        <f aca="false">G1211</f>
        <v>19.54</v>
      </c>
      <c r="J68" s="20" t="n">
        <f aca="false">G1212</f>
        <v>0</v>
      </c>
      <c r="K68" s="44" t="str">
        <f aca="false">IF(AND(OR(C1210="",C1210=C1211,C1210=C1212),ABS(N(G1212))&lt;=0.05),"OK","Revisar")</f>
        <v>OK</v>
      </c>
      <c r="L68" s="1"/>
    </row>
    <row r="69" customFormat="false" ht="15" hidden="false" customHeight="false" outlineLevel="0" collapsed="false">
      <c r="A69" s="1"/>
      <c r="B69" s="38" t="s">
        <v>143</v>
      </c>
      <c r="C69" s="39" t="n">
        <f aca="false">C1221</f>
        <v>46226</v>
      </c>
      <c r="D69" s="16" t="str">
        <f aca="false">C1220</f>
        <v>Varejao Monteverde</v>
      </c>
      <c r="E69" s="30" t="str">
        <f aca="false">G1220</f>
        <v>NFC-e 4449 / Série 002</v>
      </c>
      <c r="F69" s="30" t="str">
        <f aca="false">G1221</f>
        <v>Cartão de Crédito</v>
      </c>
      <c r="G69" s="40" t="n">
        <f aca="false">C1223</f>
        <v>5</v>
      </c>
      <c r="H69" s="17" t="n">
        <f aca="false">G1222</f>
        <v>25.87</v>
      </c>
      <c r="I69" s="17" t="n">
        <f aca="false">G1223</f>
        <v>25.87</v>
      </c>
      <c r="J69" s="17" t="n">
        <f aca="false">G1224</f>
        <v>0</v>
      </c>
      <c r="K69" s="41" t="str">
        <f aca="false">IF(AND(OR(C1222="",C1222=C1223,C1222=C1224),ABS(N(G1224))&lt;=0.05),"OK","Revisar")</f>
        <v>OK</v>
      </c>
      <c r="L69" s="1"/>
    </row>
    <row r="70" customFormat="false" ht="15" hidden="false" customHeight="false" outlineLevel="0" collapsed="false">
      <c r="A70" s="1"/>
      <c r="B70" s="38" t="s">
        <v>144</v>
      </c>
      <c r="C70" s="42" t="n">
        <f aca="false">C1235</f>
        <v>46226</v>
      </c>
      <c r="D70" s="19" t="str">
        <f aca="false">C1234</f>
        <v>Supermercado Canesin</v>
      </c>
      <c r="E70" s="32" t="str">
        <f aca="false">G1234</f>
        <v>NFC-e Série 302 (nº não visível no cupom)</v>
      </c>
      <c r="F70" s="32" t="str">
        <f aca="false">G1235</f>
        <v>Prazo</v>
      </c>
      <c r="G70" s="43" t="n">
        <f aca="false">C1237</f>
        <v>10</v>
      </c>
      <c r="H70" s="20" t="n">
        <f aca="false">G1236</f>
        <v>76.56</v>
      </c>
      <c r="I70" s="20" t="n">
        <f aca="false">G1237</f>
        <v>76.56</v>
      </c>
      <c r="J70" s="20" t="n">
        <f aca="false">G1238</f>
        <v>0</v>
      </c>
      <c r="K70" s="44" t="str">
        <f aca="false">IF(AND(OR(C1236="",C1236=C1237,C1236=C1238),ABS(N(G1238))&lt;=0.05),"OK","Revisar")</f>
        <v>OK</v>
      </c>
      <c r="L70" s="1"/>
    </row>
    <row r="71" customFormat="false" ht="15" hidden="false" customHeight="false" outlineLevel="0" collapsed="false">
      <c r="A71" s="1"/>
      <c r="B71" s="38" t="s">
        <v>145</v>
      </c>
      <c r="C71" s="39" t="n">
        <f aca="false">C1254</f>
        <v>46228</v>
      </c>
      <c r="D71" s="16" t="str">
        <f aca="false">C1253</f>
        <v>Supermercado Canesin</v>
      </c>
      <c r="E71" s="30" t="str">
        <f aca="false">G1253</f>
        <v>NFC-e 000056380 / Série 301</v>
      </c>
      <c r="F71" s="30" t="str">
        <f aca="false">G1254</f>
        <v>Prazo</v>
      </c>
      <c r="G71" s="40" t="n">
        <f aca="false">C1256</f>
        <v>17</v>
      </c>
      <c r="H71" s="17" t="n">
        <f aca="false">G1255</f>
        <v>108.78</v>
      </c>
      <c r="I71" s="17" t="n">
        <f aca="false">G1256</f>
        <v>108.78</v>
      </c>
      <c r="J71" s="17" t="n">
        <f aca="false">G1257</f>
        <v>0</v>
      </c>
      <c r="K71" s="41" t="str">
        <f aca="false">IF(AND(OR(C1255="",C1255=C1256,C1255=C1257),ABS(N(G1257))&lt;=0.05),"OK","Revisar")</f>
        <v>OK</v>
      </c>
      <c r="L71" s="1"/>
    </row>
    <row r="72" customFormat="false" ht="15" hidden="false" customHeight="false" outlineLevel="0" collapsed="false">
      <c r="A72" s="1"/>
      <c r="B72" s="38" t="s">
        <v>146</v>
      </c>
      <c r="C72" s="42" t="n">
        <f aca="false">C1280</f>
        <v>46229</v>
      </c>
      <c r="D72" s="19" t="str">
        <f aca="false">C1279</f>
        <v>Supermercado Canesin</v>
      </c>
      <c r="E72" s="32" t="str">
        <f aca="false">G1279</f>
        <v>NFC-e 000030471 / Série 303</v>
      </c>
      <c r="F72" s="32" t="str">
        <f aca="false">G1280</f>
        <v>Dinheiro</v>
      </c>
      <c r="G72" s="43" t="n">
        <f aca="false">C1282</f>
        <v>3</v>
      </c>
      <c r="H72" s="20" t="n">
        <f aca="false">G1281</f>
        <v>48.96</v>
      </c>
      <c r="I72" s="20" t="n">
        <f aca="false">G1282</f>
        <v>48.96</v>
      </c>
      <c r="J72" s="20" t="n">
        <f aca="false">G1283</f>
        <v>0</v>
      </c>
      <c r="K72" s="44" t="str">
        <f aca="false">IF(AND(OR(C1281="",C1281=C1282,C1281=C1283),ABS(N(G1283))&lt;=0.05),"OK","Revisar")</f>
        <v>OK</v>
      </c>
      <c r="L72" s="1"/>
    </row>
    <row r="73" customFormat="false" ht="15" hidden="false" customHeight="false" outlineLevel="0" collapsed="false">
      <c r="A73" s="1"/>
      <c r="B73" s="38" t="s">
        <v>147</v>
      </c>
      <c r="C73" s="39" t="n">
        <f aca="false">C1292</f>
        <v>46230</v>
      </c>
      <c r="D73" s="16" t="str">
        <f aca="false">C1291</f>
        <v>Supermercado Canesin</v>
      </c>
      <c r="E73" s="30" t="str">
        <f aca="false">G1291</f>
        <v>NFC-e 000064856 / Série 302</v>
      </c>
      <c r="F73" s="30" t="str">
        <f aca="false">G1292</f>
        <v>Cartão de Crédito</v>
      </c>
      <c r="G73" s="40" t="n">
        <f aca="false">C1294</f>
        <v>4</v>
      </c>
      <c r="H73" s="17" t="n">
        <f aca="false">G1293</f>
        <v>39.27</v>
      </c>
      <c r="I73" s="17" t="n">
        <f aca="false">G1294</f>
        <v>39.27</v>
      </c>
      <c r="J73" s="17" t="n">
        <f aca="false">G1295</f>
        <v>0</v>
      </c>
      <c r="K73" s="41" t="str">
        <f aca="false">IF(AND(OR(C1293="",C1293=C1294,C1293=C1295),ABS(N(G1295))&lt;=0.05),"OK","Revisar")</f>
        <v>OK</v>
      </c>
      <c r="L73" s="1"/>
    </row>
    <row r="74" customFormat="false" ht="15" hidden="false" customHeight="false" outlineLevel="0" collapsed="false">
      <c r="A74" s="1"/>
      <c r="B74" s="38" t="s">
        <v>148</v>
      </c>
      <c r="C74" s="42" t="n">
        <f aca="false">C1305</f>
        <v>46231</v>
      </c>
      <c r="D74" s="19" t="str">
        <f aca="false">C1304</f>
        <v>Supermercado Canesin</v>
      </c>
      <c r="E74" s="32" t="str">
        <f aca="false">G1304</f>
        <v>NFC-e 000064994 / Série 302</v>
      </c>
      <c r="F74" s="32" t="str">
        <f aca="false">G1305</f>
        <v>Débito</v>
      </c>
      <c r="G74" s="43" t="n">
        <f aca="false">C1307</f>
        <v>4</v>
      </c>
      <c r="H74" s="20" t="n">
        <f aca="false">G1306</f>
        <v>20.67</v>
      </c>
      <c r="I74" s="20" t="n">
        <f aca="false">G1307</f>
        <v>20.67</v>
      </c>
      <c r="J74" s="20" t="n">
        <f aca="false">G1308</f>
        <v>0</v>
      </c>
      <c r="K74" s="44" t="str">
        <f aca="false">IF(AND(OR(C1306="",C1306=C1307,C1306=C1308),ABS(N(G1308))&lt;=0.05),"OK","Revisar")</f>
        <v>OK</v>
      </c>
      <c r="L74" s="1"/>
    </row>
    <row r="75" customFormat="false" ht="15" hidden="false" customHeight="false" outlineLevel="0" collapsed="false">
      <c r="A75" s="1"/>
      <c r="B75" s="38" t="s">
        <v>149</v>
      </c>
      <c r="C75" s="39" t="n">
        <f aca="false">C1318</f>
        <v>46232</v>
      </c>
      <c r="D75" s="16" t="str">
        <f aca="false">C1317</f>
        <v>Supermercado Canesin</v>
      </c>
      <c r="E75" s="30" t="str">
        <f aca="false">G1317</f>
        <v>NFC-e 000057380 / Série 301</v>
      </c>
      <c r="F75" s="30" t="str">
        <f aca="false">G1318</f>
        <v>Débito</v>
      </c>
      <c r="G75" s="40" t="n">
        <f aca="false">C1320</f>
        <v>5</v>
      </c>
      <c r="H75" s="17" t="n">
        <f aca="false">G1319</f>
        <v>48.4</v>
      </c>
      <c r="I75" s="17" t="n">
        <f aca="false">G1320</f>
        <v>48.4</v>
      </c>
      <c r="J75" s="17" t="n">
        <f aca="false">G1321</f>
        <v>0</v>
      </c>
      <c r="K75" s="41" t="str">
        <f aca="false">IF(AND(OR(C1319="",C1319=C1320,C1319=C1321),ABS(N(G1321))&lt;=0.05),"OK","Revisar")</f>
        <v>OK</v>
      </c>
      <c r="L75" s="1"/>
    </row>
    <row r="76" customFormat="false" ht="15" hidden="false" customHeight="false" outlineLevel="0" collapsed="false">
      <c r="A76" s="1"/>
      <c r="B76" s="38" t="s">
        <v>150</v>
      </c>
      <c r="C76" s="42" t="n">
        <f aca="false">C1332</f>
        <v>46233</v>
      </c>
      <c r="D76" s="19" t="str">
        <f aca="false">C1331</f>
        <v>Supermercado Canesin</v>
      </c>
      <c r="E76" s="32" t="str">
        <f aca="false">G1331</f>
        <v>NFC-e 000065542 / Série 302</v>
      </c>
      <c r="F76" s="32" t="str">
        <f aca="false">G1332</f>
        <v>Débito</v>
      </c>
      <c r="G76" s="43" t="n">
        <f aca="false">C1334</f>
        <v>2</v>
      </c>
      <c r="H76" s="20" t="n">
        <f aca="false">G1333</f>
        <v>27.73</v>
      </c>
      <c r="I76" s="20" t="n">
        <f aca="false">G1334</f>
        <v>27.73</v>
      </c>
      <c r="J76" s="20" t="n">
        <f aca="false">G1335</f>
        <v>0</v>
      </c>
      <c r="K76" s="44" t="str">
        <f aca="false">IF(AND(OR(C1333="",C1333=C1334,C1333=C1335),ABS(N(G1335))&lt;=0.05),"OK","Revisar")</f>
        <v>OK</v>
      </c>
      <c r="L76" s="1"/>
    </row>
    <row r="77" customFormat="false" ht="15" hidden="false" customHeight="false" outlineLevel="0" collapsed="false">
      <c r="A77" s="1"/>
      <c r="B77" s="38" t="s">
        <v>151</v>
      </c>
      <c r="C77" s="39" t="n">
        <f aca="false">C1343</f>
        <v>46237</v>
      </c>
      <c r="D77" s="16" t="str">
        <f aca="false">C1342</f>
        <v>Supermercado Canesin</v>
      </c>
      <c r="E77" s="30" t="str">
        <f aca="false">G1342</f>
        <v>NFC-e 000066429 / Série 302</v>
      </c>
      <c r="F77" s="30" t="str">
        <f aca="false">G1343</f>
        <v>Débito</v>
      </c>
      <c r="G77" s="40" t="n">
        <f aca="false">C1345</f>
        <v>3</v>
      </c>
      <c r="H77" s="17" t="n">
        <f aca="false">G1344</f>
        <v>33.35</v>
      </c>
      <c r="I77" s="17" t="n">
        <f aca="false">G1345</f>
        <v>33.35</v>
      </c>
      <c r="J77" s="17" t="n">
        <f aca="false">G1346</f>
        <v>0</v>
      </c>
      <c r="K77" s="41" t="str">
        <f aca="false">IF(AND(OR(C1344="",C1344=C1345,C1344=C1346),ABS(N(G1346))&lt;=0.05),"OK","Revisar")</f>
        <v>OK</v>
      </c>
      <c r="L77" s="1"/>
    </row>
    <row r="78" customFormat="false" ht="15" hidden="false" customHeight="false" outlineLevel="0" collapsed="false">
      <c r="A78" s="1"/>
      <c r="B78" s="38" t="s">
        <v>152</v>
      </c>
      <c r="C78" s="39" t="n">
        <f aca="false">C1355</f>
        <v>46239</v>
      </c>
      <c r="D78" s="16" t="str">
        <f aca="false">C1354</f>
        <v>Supermercado Canesin</v>
      </c>
      <c r="E78" s="30" t="str">
        <f aca="false">G1354</f>
        <v>NFC-e 000059085 / Série 301</v>
      </c>
      <c r="F78" s="30" t="str">
        <f aca="false">G1355</f>
        <v>Débito</v>
      </c>
      <c r="G78" s="40" t="n">
        <f aca="false">C1357</f>
        <v>6</v>
      </c>
      <c r="H78" s="17" t="n">
        <f aca="false">G1356</f>
        <v>55.75</v>
      </c>
      <c r="I78" s="17" t="n">
        <f aca="false">G1357</f>
        <v>55.75</v>
      </c>
      <c r="J78" s="17" t="n">
        <f aca="false">G1358</f>
        <v>0</v>
      </c>
      <c r="K78" s="41" t="str">
        <f aca="false">IF(AND(OR(C1356="",C1356=C1357,C1356=C1358),ABS(N(G1358))&lt;=0.05),"OK","Revisar")</f>
        <v>OK</v>
      </c>
      <c r="L78" s="1"/>
    </row>
    <row r="79" customFormat="false" ht="15" hidden="false" customHeight="false" outlineLevel="0" collapsed="false">
      <c r="A79" s="1"/>
      <c r="B79" s="38" t="s">
        <v>153</v>
      </c>
      <c r="C79" s="39" t="n">
        <f aca="false">C1370</f>
        <v>46240</v>
      </c>
      <c r="D79" s="16" t="str">
        <f aca="false">C1369</f>
        <v>Supermercado Canesin</v>
      </c>
      <c r="E79" s="30" t="str">
        <f aca="false">G1369</f>
        <v>NFC-e 000059425 / Série 301</v>
      </c>
      <c r="F79" s="30" t="str">
        <f aca="false">G1370</f>
        <v>Débito</v>
      </c>
      <c r="G79" s="40" t="n">
        <f aca="false">C1372</f>
        <v>4</v>
      </c>
      <c r="H79" s="17" t="n">
        <f aca="false">G1371</f>
        <v>49.26</v>
      </c>
      <c r="I79" s="17" t="n">
        <f aca="false">G1372</f>
        <v>49.26</v>
      </c>
      <c r="J79" s="17" t="n">
        <f aca="false">G1373</f>
        <v>0</v>
      </c>
      <c r="K79" s="41" t="str">
        <f aca="false">IF(AND(OR(C1371="",C1371=C1372,C1371=C1373),ABS(N(G1373))&lt;=0.05),"OK","Revisar")</f>
        <v>OK</v>
      </c>
      <c r="L79" s="1"/>
    </row>
    <row r="80" customFormat="false" ht="15" hidden="false" customHeight="false" outlineLevel="0" collapsed="false">
      <c r="A80" s="1"/>
      <c r="B80" s="38" t="s">
        <v>154</v>
      </c>
      <c r="C80" s="39" t="n">
        <f aca="false">C1383</f>
        <v>46243</v>
      </c>
      <c r="D80" s="45" t="str">
        <f aca="false">C1382</f>
        <v>Supermercados Nori</v>
      </c>
      <c r="E80" s="46" t="str">
        <f aca="false">G1382</f>
        <v>Cupom 00053519 / NFC-e 015626 Série 008</v>
      </c>
      <c r="F80" s="46" t="str">
        <f aca="false">G1383</f>
        <v>Débito</v>
      </c>
      <c r="G80" s="40" t="n">
        <f aca="false">C1385</f>
        <v>10</v>
      </c>
      <c r="H80" s="17" t="n">
        <f aca="false">G1384</f>
        <v>104.29</v>
      </c>
      <c r="I80" s="17" t="n">
        <f aca="false">G1385</f>
        <v>104.29</v>
      </c>
      <c r="J80" s="17" t="n">
        <f aca="false">G1386</f>
        <v>0</v>
      </c>
      <c r="K80" s="41" t="str">
        <f aca="false">IF(AND(OR(C1384="",C1384=C1385,C1384=C1386),ABS(N(G1386))&lt;=0.05),"OK","Revisar")</f>
        <v>OK</v>
      </c>
      <c r="L80" s="1"/>
    </row>
    <row r="81" customFormat="false" ht="15" hidden="false" customHeight="false" outlineLevel="0" collapsed="false">
      <c r="A81" s="1"/>
      <c r="B81" s="38" t="s">
        <v>155</v>
      </c>
      <c r="C81" s="39" t="n">
        <f aca="false">C1402</f>
        <v>46244</v>
      </c>
      <c r="D81" s="45" t="str">
        <f aca="false">C1401</f>
        <v>Varejao Monteverde</v>
      </c>
      <c r="E81" s="46" t="str">
        <f aca="false">G1401</f>
        <v>NFC-e 011275 / Série 1</v>
      </c>
      <c r="F81" s="46" t="str">
        <f aca="false">G1402</f>
        <v>Débito</v>
      </c>
      <c r="G81" s="40" t="n">
        <f aca="false">C1404</f>
        <v>2</v>
      </c>
      <c r="H81" s="17" t="n">
        <f aca="false">G1403</f>
        <v>13.28</v>
      </c>
      <c r="I81" s="17" t="n">
        <f aca="false">G1404</f>
        <v>13.28</v>
      </c>
      <c r="J81" s="17" t="n">
        <f aca="false">G1405</f>
        <v>0</v>
      </c>
      <c r="K81" s="41" t="str">
        <f aca="false">IF(AND(OR(C1403="",C1403=C1404,C1403=C1405),ABS(N(G1405))&lt;=0.05),"OK","Revisar")</f>
        <v>OK</v>
      </c>
      <c r="L81" s="1"/>
    </row>
    <row r="82" customFormat="false" ht="15" hidden="false" customHeight="false" outlineLevel="0" collapsed="false">
      <c r="A82" s="1"/>
      <c r="B82" s="47"/>
      <c r="C82" s="47"/>
      <c r="D82" s="22" t="s">
        <v>10</v>
      </c>
      <c r="E82" s="47"/>
      <c r="F82" s="47"/>
      <c r="G82" s="48" t="n">
        <f aca="false">SUM(G11:G81)</f>
        <v>671</v>
      </c>
      <c r="H82" s="23" t="n">
        <f aca="false">SUM(H11:H81)</f>
        <v>5595.07</v>
      </c>
      <c r="I82" s="23" t="n">
        <f aca="false">SUM(I11:I81)</f>
        <v>5595.59</v>
      </c>
      <c r="J82" s="23" t="n">
        <f aca="false">SUM(J11:J81)</f>
        <v>-0.52</v>
      </c>
      <c r="K82" s="47"/>
      <c r="L82" s="1"/>
    </row>
    <row r="83" customFormat="false" ht="19.5" hidden="false" customHeight="true" outlineLevel="0" collapsed="false">
      <c r="A83" s="1"/>
      <c r="B83" s="49" t="s">
        <v>156</v>
      </c>
      <c r="C83" s="49"/>
      <c r="D83" s="49"/>
      <c r="E83" s="49"/>
      <c r="F83" s="49"/>
      <c r="G83" s="49"/>
      <c r="H83" s="49"/>
      <c r="I83" s="49"/>
      <c r="J83" s="49"/>
      <c r="K83" s="49"/>
      <c r="L83" s="1"/>
    </row>
    <row r="84" customFormat="false" ht="15" hidden="false" customHeight="false" outlineLevel="0" collapsed="false">
      <c r="A84" s="1"/>
      <c r="B84" s="50" t="s">
        <v>34</v>
      </c>
      <c r="C84" s="51"/>
      <c r="D84" s="51"/>
      <c r="E84" s="50" t="s">
        <v>157</v>
      </c>
      <c r="F84" s="50"/>
      <c r="G84" s="51"/>
      <c r="H84" s="51"/>
      <c r="I84" s="51"/>
      <c r="J84" s="51"/>
      <c r="K84" s="51"/>
      <c r="L84" s="1"/>
    </row>
    <row r="85" customFormat="false" ht="15" hidden="false" customHeight="false" outlineLevel="0" collapsed="false">
      <c r="A85" s="1"/>
      <c r="B85" s="50" t="s">
        <v>78</v>
      </c>
      <c r="C85" s="52"/>
      <c r="D85" s="52"/>
      <c r="E85" s="50" t="s">
        <v>80</v>
      </c>
      <c r="F85" s="50"/>
      <c r="G85" s="51"/>
      <c r="H85" s="51"/>
      <c r="I85" s="51"/>
      <c r="J85" s="51"/>
      <c r="K85" s="51"/>
      <c r="L85" s="1"/>
    </row>
    <row r="86" customFormat="false" ht="15" hidden="false" customHeight="false" outlineLevel="0" collapsed="false">
      <c r="A86" s="1"/>
      <c r="B86" s="50" t="s">
        <v>158</v>
      </c>
      <c r="C86" s="53"/>
      <c r="D86" s="53"/>
      <c r="E86" s="50" t="s">
        <v>159</v>
      </c>
      <c r="F86" s="50"/>
      <c r="G86" s="54"/>
      <c r="H86" s="54"/>
      <c r="I86" s="54"/>
      <c r="J86" s="54"/>
      <c r="K86" s="54"/>
      <c r="L86" s="1"/>
    </row>
    <row r="87" customFormat="false" ht="15" hidden="false" customHeight="false" outlineLevel="0" collapsed="false">
      <c r="A87" s="1"/>
      <c r="B87" s="50" t="s">
        <v>160</v>
      </c>
      <c r="C87" s="55" t="n">
        <f aca="false">COUNT(H91:H98)</f>
        <v>0</v>
      </c>
      <c r="D87" s="55"/>
      <c r="E87" s="50" t="s">
        <v>161</v>
      </c>
      <c r="F87" s="50"/>
      <c r="G87" s="56" t="n">
        <f aca="false">ROUND(SUM(H91:H98),2)</f>
        <v>0</v>
      </c>
      <c r="H87" s="56"/>
      <c r="I87" s="56"/>
      <c r="J87" s="56"/>
      <c r="K87" s="56"/>
      <c r="L87" s="1"/>
    </row>
    <row r="88" customFormat="false" ht="15" hidden="false" customHeight="false" outlineLevel="0" collapsed="false">
      <c r="A88" s="1"/>
      <c r="B88" s="50" t="s">
        <v>162</v>
      </c>
      <c r="C88" s="55" t="n">
        <f aca="false">ROUND(SUMPRODUCT(((F91:F98="KG")+(F91:F98="G"))*1)+SUMPRODUCT((F91:F98&lt;&gt;"KG")*(F91:F98&lt;&gt;"G")*E91:E98),0)</f>
        <v>0</v>
      </c>
      <c r="D88" s="55"/>
      <c r="E88" s="50" t="s">
        <v>163</v>
      </c>
      <c r="F88" s="50"/>
      <c r="G88" s="56" t="str">
        <f aca="false">IF(G86="","",ROUND(G86-G87,2))</f>
        <v/>
      </c>
      <c r="H88" s="56"/>
      <c r="I88" s="56"/>
      <c r="J88" s="56"/>
      <c r="K88" s="56"/>
      <c r="L88" s="1"/>
    </row>
    <row r="89" customFormat="false" ht="15" hidden="false" customHeight="false" outlineLevel="0" collapsed="false">
      <c r="A89" s="1"/>
      <c r="B89" s="50" t="s">
        <v>84</v>
      </c>
      <c r="C89" s="57" t="str">
        <f aca="false">IF(C87=0,"— aguardando lançamento",IF(G86="","SEM TOTAL OFICIAL — informe o total do cupom",IF(AND(OR(C86="",C86=C87,C86=C88),ABS(G88)&lt;=0.05),"FECHADO — itens e valor conferem",IF(ABS(G88)&lt;=0.05,"REVISAR — qtd. de itens não bate","REVISAR — diferença de R$ "&amp;ABS(G88)))))</f>
        <v>— aguardando lançamento</v>
      </c>
      <c r="D89" s="57"/>
      <c r="E89" s="57"/>
      <c r="F89" s="57"/>
      <c r="G89" s="50" t="s">
        <v>164</v>
      </c>
      <c r="H89" s="30"/>
      <c r="I89" s="30"/>
      <c r="J89" s="30"/>
      <c r="K89" s="30"/>
      <c r="L89" s="1"/>
    </row>
    <row r="90" customFormat="false" ht="15" hidden="false" customHeight="false" outlineLevel="0" collapsed="false">
      <c r="A90" s="1"/>
      <c r="B90" s="15" t="s">
        <v>165</v>
      </c>
      <c r="C90" s="15" t="s">
        <v>52</v>
      </c>
      <c r="D90" s="15" t="s">
        <v>9</v>
      </c>
      <c r="E90" s="15" t="s">
        <v>166</v>
      </c>
      <c r="F90" s="15" t="s">
        <v>167</v>
      </c>
      <c r="G90" s="15" t="s">
        <v>168</v>
      </c>
      <c r="H90" s="15" t="s">
        <v>10</v>
      </c>
      <c r="I90" s="15" t="s">
        <v>169</v>
      </c>
      <c r="J90" s="15" t="s">
        <v>170</v>
      </c>
      <c r="K90" s="15"/>
      <c r="L90" s="1"/>
    </row>
    <row r="91" customFormat="false" ht="15" hidden="false" customHeight="false" outlineLevel="0" collapsed="false">
      <c r="A91" s="1"/>
      <c r="B91" s="58"/>
      <c r="C91" s="58"/>
      <c r="D91" s="58"/>
      <c r="E91" s="59"/>
      <c r="F91" s="60"/>
      <c r="G91" s="61"/>
      <c r="H91" s="61"/>
      <c r="I91" s="62" t="str">
        <f aca="false">IF(OR(E91="",G91=""),"",ROUND(E91*G91,2))</f>
        <v/>
      </c>
      <c r="J91" s="25" t="str">
        <f aca="false">IF(OR(H91="",I91=""),"",IF(ABS(H91-I91)&lt;=0.02,"OK","≠"))</f>
        <v/>
      </c>
      <c r="K91" s="16"/>
      <c r="L91" s="1"/>
    </row>
    <row r="92" customFormat="false" ht="15" hidden="false" customHeight="false" outlineLevel="0" collapsed="false">
      <c r="A92" s="1"/>
      <c r="B92" s="58"/>
      <c r="C92" s="58"/>
      <c r="D92" s="58"/>
      <c r="E92" s="59"/>
      <c r="F92" s="60"/>
      <c r="G92" s="61"/>
      <c r="H92" s="61"/>
      <c r="I92" s="62" t="str">
        <f aca="false">IF(OR(E92="",G92=""),"",ROUND(E92*G92,2))</f>
        <v/>
      </c>
      <c r="J92" s="25" t="str">
        <f aca="false">IF(OR(H92="",I92=""),"",IF(ABS(H92-I92)&lt;=0.02,"OK","≠"))</f>
        <v/>
      </c>
      <c r="K92" s="16"/>
      <c r="L92" s="1"/>
    </row>
    <row r="93" customFormat="false" ht="15" hidden="false" customHeight="false" outlineLevel="0" collapsed="false">
      <c r="A93" s="1"/>
      <c r="B93" s="58"/>
      <c r="C93" s="58"/>
      <c r="D93" s="58"/>
      <c r="E93" s="59"/>
      <c r="F93" s="60"/>
      <c r="G93" s="61"/>
      <c r="H93" s="61"/>
      <c r="I93" s="62" t="str">
        <f aca="false">IF(OR(E93="",G93=""),"",ROUND(E93*G93,2))</f>
        <v/>
      </c>
      <c r="J93" s="25" t="str">
        <f aca="false">IF(OR(H93="",I93=""),"",IF(ABS(H93-I93)&lt;=0.02,"OK","≠"))</f>
        <v/>
      </c>
      <c r="K93" s="16"/>
      <c r="L93" s="1"/>
    </row>
    <row r="94" customFormat="false" ht="15" hidden="false" customHeight="false" outlineLevel="0" collapsed="false">
      <c r="A94" s="1"/>
      <c r="B94" s="58"/>
      <c r="C94" s="58"/>
      <c r="D94" s="58"/>
      <c r="E94" s="59"/>
      <c r="F94" s="60"/>
      <c r="G94" s="61"/>
      <c r="H94" s="61"/>
      <c r="I94" s="62" t="str">
        <f aca="false">IF(OR(E94="",G94=""),"",ROUND(E94*G94,2))</f>
        <v/>
      </c>
      <c r="J94" s="25" t="str">
        <f aca="false">IF(OR(H94="",I94=""),"",IF(ABS(H94-I94)&lt;=0.02,"OK","≠"))</f>
        <v/>
      </c>
      <c r="K94" s="16"/>
      <c r="L94" s="1"/>
    </row>
    <row r="95" customFormat="false" ht="15" hidden="false" customHeight="false" outlineLevel="0" collapsed="false">
      <c r="A95" s="1"/>
      <c r="B95" s="58"/>
      <c r="C95" s="58"/>
      <c r="D95" s="58"/>
      <c r="E95" s="59"/>
      <c r="F95" s="60"/>
      <c r="G95" s="61"/>
      <c r="H95" s="61"/>
      <c r="I95" s="62" t="str">
        <f aca="false">IF(OR(E95="",G95=""),"",ROUND(E95*G95,2))</f>
        <v/>
      </c>
      <c r="J95" s="25" t="str">
        <f aca="false">IF(OR(H95="",I95=""),"",IF(ABS(H95-I95)&lt;=0.02,"OK","≠"))</f>
        <v/>
      </c>
      <c r="K95" s="16"/>
      <c r="L95" s="1"/>
    </row>
    <row r="96" customFormat="false" ht="15" hidden="false" customHeight="false" outlineLevel="0" collapsed="false">
      <c r="A96" s="1"/>
      <c r="B96" s="58"/>
      <c r="C96" s="58"/>
      <c r="D96" s="58"/>
      <c r="E96" s="59"/>
      <c r="F96" s="60"/>
      <c r="G96" s="61"/>
      <c r="H96" s="61"/>
      <c r="I96" s="62" t="str">
        <f aca="false">IF(OR(E96="",G96=""),"",ROUND(E96*G96,2))</f>
        <v/>
      </c>
      <c r="J96" s="25" t="str">
        <f aca="false">IF(OR(H96="",I96=""),"",IF(ABS(H96-I96)&lt;=0.02,"OK","≠"))</f>
        <v/>
      </c>
      <c r="K96" s="16"/>
      <c r="L96" s="1"/>
    </row>
    <row r="97" customFormat="false" ht="15" hidden="false" customHeight="false" outlineLevel="0" collapsed="false">
      <c r="A97" s="1"/>
      <c r="B97" s="58"/>
      <c r="C97" s="58"/>
      <c r="D97" s="58"/>
      <c r="E97" s="59"/>
      <c r="F97" s="60"/>
      <c r="G97" s="61"/>
      <c r="H97" s="61"/>
      <c r="I97" s="62" t="str">
        <f aca="false">IF(OR(E97="",G97=""),"",ROUND(E97*G97,2))</f>
        <v/>
      </c>
      <c r="J97" s="25" t="str">
        <f aca="false">IF(OR(H97="",I97=""),"",IF(ABS(H97-I97)&lt;=0.02,"OK","≠"))</f>
        <v/>
      </c>
      <c r="K97" s="16"/>
      <c r="L97" s="1"/>
    </row>
    <row r="98" customFormat="false" ht="15" hidden="false" customHeight="false" outlineLevel="0" collapsed="false">
      <c r="A98" s="1"/>
      <c r="B98" s="58"/>
      <c r="C98" s="58"/>
      <c r="D98" s="58"/>
      <c r="E98" s="59"/>
      <c r="F98" s="60"/>
      <c r="G98" s="61"/>
      <c r="H98" s="61"/>
      <c r="I98" s="62" t="str">
        <f aca="false">IF(OR(E98="",G98=""),"",ROUND(E98*G98,2))</f>
        <v/>
      </c>
      <c r="J98" s="25" t="str">
        <f aca="false">IF(OR(H98="",I98=""),"",IF(ABS(H98-I98)&lt;=0.02,"OK","≠"))</f>
        <v/>
      </c>
      <c r="K98" s="16"/>
      <c r="L98" s="1"/>
    </row>
    <row r="99" customFormat="false" ht="15" hidden="false" customHeight="false" outlineLevel="0" collapsed="false">
      <c r="A99" s="1"/>
      <c r="B99" s="1"/>
      <c r="C99" s="1"/>
      <c r="D99" s="1"/>
      <c r="E99" s="1"/>
      <c r="F99" s="1"/>
      <c r="G99" s="1"/>
      <c r="H99" s="1"/>
      <c r="I99" s="1"/>
      <c r="J99" s="1"/>
      <c r="K99" s="1"/>
      <c r="L99" s="1"/>
    </row>
    <row r="100" customFormat="false" ht="15" hidden="false" customHeight="false" outlineLevel="0" collapsed="false">
      <c r="A100" s="1"/>
      <c r="B100" s="1"/>
      <c r="C100" s="1"/>
      <c r="D100" s="1"/>
      <c r="E100" s="1"/>
      <c r="F100" s="1"/>
      <c r="G100" s="1"/>
      <c r="H100" s="1"/>
      <c r="I100" s="1"/>
      <c r="J100" s="1"/>
      <c r="K100" s="1"/>
      <c r="L100" s="1"/>
    </row>
    <row r="101" customFormat="false" ht="19.5" hidden="false" customHeight="true" outlineLevel="0" collapsed="false">
      <c r="A101" s="1"/>
      <c r="B101" s="63" t="s">
        <v>171</v>
      </c>
      <c r="C101" s="63"/>
      <c r="D101" s="63"/>
      <c r="E101" s="63"/>
      <c r="F101" s="63"/>
      <c r="G101" s="63"/>
      <c r="H101" s="63"/>
      <c r="I101" s="63"/>
      <c r="J101" s="63"/>
      <c r="K101" s="63"/>
      <c r="L101" s="1"/>
    </row>
    <row r="102" customFormat="false" ht="15" hidden="false" customHeight="false" outlineLevel="0" collapsed="false">
      <c r="A102" s="1"/>
      <c r="B102" s="50" t="s">
        <v>34</v>
      </c>
      <c r="C102" s="45" t="s">
        <v>45</v>
      </c>
      <c r="D102" s="45"/>
      <c r="E102" s="50" t="s">
        <v>157</v>
      </c>
      <c r="F102" s="50"/>
      <c r="G102" s="45" t="s">
        <v>172</v>
      </c>
      <c r="H102" s="45"/>
      <c r="I102" s="45"/>
      <c r="J102" s="45"/>
      <c r="K102" s="45"/>
      <c r="L102" s="1"/>
    </row>
    <row r="103" customFormat="false" ht="15" hidden="false" customHeight="false" outlineLevel="0" collapsed="false">
      <c r="A103" s="1"/>
      <c r="B103" s="50" t="s">
        <v>78</v>
      </c>
      <c r="C103" s="39" t="n">
        <v>46144</v>
      </c>
      <c r="D103" s="39"/>
      <c r="E103" s="50" t="s">
        <v>80</v>
      </c>
      <c r="F103" s="50"/>
      <c r="G103" s="45" t="s">
        <v>173</v>
      </c>
      <c r="H103" s="45"/>
      <c r="I103" s="45"/>
      <c r="J103" s="45"/>
      <c r="K103" s="45"/>
      <c r="L103" s="1"/>
    </row>
    <row r="104" customFormat="false" ht="15" hidden="false" customHeight="false" outlineLevel="0" collapsed="false">
      <c r="A104" s="1"/>
      <c r="B104" s="50" t="s">
        <v>158</v>
      </c>
      <c r="C104" s="55" t="n">
        <v>3</v>
      </c>
      <c r="D104" s="55"/>
      <c r="E104" s="50" t="s">
        <v>159</v>
      </c>
      <c r="F104" s="50"/>
      <c r="G104" s="56" t="n">
        <v>27.67</v>
      </c>
      <c r="H104" s="56"/>
      <c r="I104" s="56"/>
      <c r="J104" s="56"/>
      <c r="K104" s="56"/>
      <c r="L104" s="1"/>
    </row>
    <row r="105" customFormat="false" ht="15" hidden="false" customHeight="false" outlineLevel="0" collapsed="false">
      <c r="A105" s="1"/>
      <c r="B105" s="50" t="s">
        <v>160</v>
      </c>
      <c r="C105" s="55" t="n">
        <f aca="false">COUNT(H109:H111)</f>
        <v>3</v>
      </c>
      <c r="D105" s="55"/>
      <c r="E105" s="50" t="s">
        <v>161</v>
      </c>
      <c r="F105" s="50"/>
      <c r="G105" s="56" t="n">
        <f aca="false">ROUND(SUM(H109:H111),2)</f>
        <v>27.67</v>
      </c>
      <c r="H105" s="56"/>
      <c r="I105" s="56"/>
      <c r="J105" s="56"/>
      <c r="K105" s="56"/>
      <c r="L105" s="1"/>
    </row>
    <row r="106" customFormat="false" ht="15" hidden="false" customHeight="false" outlineLevel="0" collapsed="false">
      <c r="A106" s="1"/>
      <c r="B106" s="50" t="s">
        <v>162</v>
      </c>
      <c r="C106" s="55" t="n">
        <f aca="false">ROUND(SUMPRODUCT(((F109:F111="KG")+(F109:F111="G"))*1)+SUMPRODUCT((F109:F111&lt;&gt;"KG")*(F109:F111&lt;&gt;"G")*E109:E111),0)</f>
        <v>3</v>
      </c>
      <c r="D106" s="55"/>
      <c r="E106" s="50" t="s">
        <v>163</v>
      </c>
      <c r="F106" s="50"/>
      <c r="G106" s="56" t="n">
        <f aca="false">IF(G104="","",ROUND(G104-G105,2))</f>
        <v>0</v>
      </c>
      <c r="H106" s="56"/>
      <c r="I106" s="56"/>
      <c r="J106" s="56"/>
      <c r="K106" s="56"/>
      <c r="L106" s="1"/>
    </row>
    <row r="107" customFormat="false" ht="15" hidden="false" customHeight="false" outlineLevel="0" collapsed="false">
      <c r="A107" s="1"/>
      <c r="B107" s="50" t="s">
        <v>84</v>
      </c>
      <c r="C107" s="57" t="str">
        <f aca="false">IF(C105=0,"— aguardando lançamento",IF(G104="","SEM TOTAL OFICIAL — informe o total do cupom",IF(AND(OR(C104="",C104=C105,C104=C106),ABS(G106)&lt;=0.05),"FECHADO — itens e valor conferem",IF(ABS(G106)&lt;=0.05,"REVISAR — qtd. de itens não bate","REVISAR — diferença de R$ "&amp;ABS(G106)))))</f>
        <v>FECHADO — itens e valor conferem</v>
      </c>
      <c r="D107" s="57"/>
      <c r="E107" s="57"/>
      <c r="F107" s="57"/>
      <c r="G107" s="50" t="s">
        <v>164</v>
      </c>
      <c r="H107" s="30"/>
      <c r="I107" s="30"/>
      <c r="J107" s="30"/>
      <c r="K107" s="30"/>
      <c r="L107" s="1"/>
    </row>
    <row r="108" customFormat="false" ht="15" hidden="false" customHeight="false" outlineLevel="0" collapsed="false">
      <c r="A108" s="1"/>
      <c r="B108" s="15" t="s">
        <v>165</v>
      </c>
      <c r="C108" s="15" t="s">
        <v>52</v>
      </c>
      <c r="D108" s="15" t="s">
        <v>9</v>
      </c>
      <c r="E108" s="15" t="s">
        <v>166</v>
      </c>
      <c r="F108" s="15" t="s">
        <v>167</v>
      </c>
      <c r="G108" s="15" t="s">
        <v>168</v>
      </c>
      <c r="H108" s="15" t="s">
        <v>10</v>
      </c>
      <c r="I108" s="15" t="s">
        <v>169</v>
      </c>
      <c r="J108" s="15" t="s">
        <v>170</v>
      </c>
      <c r="K108" s="15"/>
      <c r="L108" s="1"/>
    </row>
    <row r="109" customFormat="false" ht="15" hidden="false" customHeight="false" outlineLevel="0" collapsed="false">
      <c r="A109" s="1"/>
      <c r="B109" s="30" t="s">
        <v>174</v>
      </c>
      <c r="C109" s="16" t="s">
        <v>175</v>
      </c>
      <c r="D109" s="16" t="s">
        <v>14</v>
      </c>
      <c r="E109" s="64" t="n">
        <v>0.0859</v>
      </c>
      <c r="F109" s="25" t="s">
        <v>176</v>
      </c>
      <c r="G109" s="17" t="n">
        <v>65.98</v>
      </c>
      <c r="H109" s="17" t="n">
        <v>5.67</v>
      </c>
      <c r="I109" s="62" t="n">
        <f aca="false">IF(OR(E109="",G109=""),"",ROUND(E109*G109,2))</f>
        <v>5.67</v>
      </c>
      <c r="J109" s="25" t="str">
        <f aca="false">IF(OR(H109="",I109=""),"",IF(ABS(H109-I109)&lt;=0.02,"OK","≠"))</f>
        <v>OK</v>
      </c>
      <c r="K109" s="16"/>
      <c r="L109" s="1"/>
    </row>
    <row r="110" customFormat="false" ht="15" hidden="false" customHeight="false" outlineLevel="0" collapsed="false">
      <c r="A110" s="1"/>
      <c r="B110" s="32" t="s">
        <v>177</v>
      </c>
      <c r="C110" s="19" t="s">
        <v>178</v>
      </c>
      <c r="D110" s="19" t="s">
        <v>12</v>
      </c>
      <c r="E110" s="65" t="n">
        <v>1</v>
      </c>
      <c r="F110" s="27" t="s">
        <v>179</v>
      </c>
      <c r="G110" s="20" t="n">
        <v>11.98</v>
      </c>
      <c r="H110" s="20" t="n">
        <v>11.98</v>
      </c>
      <c r="I110" s="62" t="n">
        <f aca="false">IF(OR(E110="",G110=""),"",ROUND(E110*G110,2))</f>
        <v>11.98</v>
      </c>
      <c r="J110" s="25" t="str">
        <f aca="false">IF(OR(H110="",I110=""),"",IF(ABS(H110-I110)&lt;=0.02,"OK","≠"))</f>
        <v>OK</v>
      </c>
      <c r="K110" s="16"/>
      <c r="L110" s="1"/>
    </row>
    <row r="111" customFormat="false" ht="15" hidden="false" customHeight="false" outlineLevel="0" collapsed="false">
      <c r="A111" s="1"/>
      <c r="B111" s="30" t="s">
        <v>180</v>
      </c>
      <c r="C111" s="16" t="s">
        <v>181</v>
      </c>
      <c r="D111" s="16" t="s">
        <v>14</v>
      </c>
      <c r="E111" s="64" t="n">
        <v>0.59</v>
      </c>
      <c r="F111" s="25" t="s">
        <v>176</v>
      </c>
      <c r="G111" s="17" t="n">
        <v>16.98</v>
      </c>
      <c r="H111" s="17" t="n">
        <v>10.02</v>
      </c>
      <c r="I111" s="62" t="n">
        <f aca="false">IF(OR(E111="",G111=""),"",ROUND(E111*G111,2))</f>
        <v>10.02</v>
      </c>
      <c r="J111" s="25" t="str">
        <f aca="false">IF(OR(H111="",I111=""),"",IF(ABS(H111-I111)&lt;=0.02,"OK","≠"))</f>
        <v>OK</v>
      </c>
      <c r="K111" s="16"/>
      <c r="L111" s="1"/>
    </row>
    <row r="112" customFormat="false" ht="15" hidden="false" customHeight="false" outlineLevel="0" collapsed="false">
      <c r="A112" s="1"/>
      <c r="B112" s="1"/>
      <c r="C112" s="1"/>
      <c r="D112" s="1"/>
      <c r="E112" s="1"/>
      <c r="F112" s="1"/>
      <c r="G112" s="1"/>
      <c r="H112" s="1"/>
      <c r="I112" s="1"/>
      <c r="J112" s="1"/>
      <c r="K112" s="1"/>
      <c r="L112" s="1"/>
    </row>
    <row r="113" customFormat="false" ht="19.5" hidden="false" customHeight="true" outlineLevel="0" collapsed="false">
      <c r="A113" s="1"/>
      <c r="B113" s="63" t="s">
        <v>182</v>
      </c>
      <c r="C113" s="63"/>
      <c r="D113" s="63"/>
      <c r="E113" s="63"/>
      <c r="F113" s="63"/>
      <c r="G113" s="63"/>
      <c r="H113" s="63"/>
      <c r="I113" s="63"/>
      <c r="J113" s="63"/>
      <c r="K113" s="63"/>
      <c r="L113" s="1"/>
    </row>
    <row r="114" customFormat="false" ht="15" hidden="false" customHeight="false" outlineLevel="0" collapsed="false">
      <c r="A114" s="1"/>
      <c r="B114" s="50" t="s">
        <v>34</v>
      </c>
      <c r="C114" s="45" t="s">
        <v>36</v>
      </c>
      <c r="D114" s="45"/>
      <c r="E114" s="50" t="s">
        <v>157</v>
      </c>
      <c r="F114" s="50"/>
      <c r="G114" s="45" t="s">
        <v>183</v>
      </c>
      <c r="H114" s="45"/>
      <c r="I114" s="45"/>
      <c r="J114" s="45"/>
      <c r="K114" s="45"/>
      <c r="L114" s="1"/>
    </row>
    <row r="115" customFormat="false" ht="15" hidden="false" customHeight="false" outlineLevel="0" collapsed="false">
      <c r="A115" s="1"/>
      <c r="B115" s="50" t="s">
        <v>78</v>
      </c>
      <c r="C115" s="39" t="n">
        <v>46146</v>
      </c>
      <c r="D115" s="39"/>
      <c r="E115" s="50" t="s">
        <v>80</v>
      </c>
      <c r="F115" s="50"/>
      <c r="G115" s="45" t="s">
        <v>173</v>
      </c>
      <c r="H115" s="45"/>
      <c r="I115" s="45"/>
      <c r="J115" s="45"/>
      <c r="K115" s="45"/>
      <c r="L115" s="1"/>
    </row>
    <row r="116" customFormat="false" ht="15" hidden="false" customHeight="false" outlineLevel="0" collapsed="false">
      <c r="A116" s="1"/>
      <c r="B116" s="50" t="s">
        <v>158</v>
      </c>
      <c r="C116" s="55" t="n">
        <v>22</v>
      </c>
      <c r="D116" s="55"/>
      <c r="E116" s="50" t="s">
        <v>159</v>
      </c>
      <c r="F116" s="50"/>
      <c r="G116" s="56" t="n">
        <v>184.05</v>
      </c>
      <c r="H116" s="56"/>
      <c r="I116" s="56"/>
      <c r="J116" s="56"/>
      <c r="K116" s="56"/>
      <c r="L116" s="1"/>
    </row>
    <row r="117" customFormat="false" ht="15" hidden="false" customHeight="false" outlineLevel="0" collapsed="false">
      <c r="A117" s="1"/>
      <c r="B117" s="50" t="s">
        <v>160</v>
      </c>
      <c r="C117" s="55" t="n">
        <f aca="false">COUNT(H121:H141)</f>
        <v>21</v>
      </c>
      <c r="D117" s="55"/>
      <c r="E117" s="50" t="s">
        <v>161</v>
      </c>
      <c r="F117" s="50"/>
      <c r="G117" s="56" t="n">
        <f aca="false">ROUND(SUM(H121:H141),2)</f>
        <v>184.05</v>
      </c>
      <c r="H117" s="56"/>
      <c r="I117" s="56"/>
      <c r="J117" s="56"/>
      <c r="K117" s="56"/>
      <c r="L117" s="1"/>
    </row>
    <row r="118" customFormat="false" ht="15" hidden="false" customHeight="false" outlineLevel="0" collapsed="false">
      <c r="A118" s="1"/>
      <c r="B118" s="50" t="s">
        <v>162</v>
      </c>
      <c r="C118" s="55" t="n">
        <f aca="false">ROUND(SUMPRODUCT(((F121:F141="KG")+(F121:F141="G"))*1)+SUMPRODUCT((F121:F141&lt;&gt;"KG")*(F121:F141&lt;&gt;"G")*E121:E141),0)</f>
        <v>22</v>
      </c>
      <c r="D118" s="55"/>
      <c r="E118" s="50" t="s">
        <v>163</v>
      </c>
      <c r="F118" s="50"/>
      <c r="G118" s="56" t="n">
        <f aca="false">IF(G116="","",ROUND(G116-G117,2))</f>
        <v>0</v>
      </c>
      <c r="H118" s="56"/>
      <c r="I118" s="56"/>
      <c r="J118" s="56"/>
      <c r="K118" s="56"/>
      <c r="L118" s="1"/>
    </row>
    <row r="119" customFormat="false" ht="15" hidden="false" customHeight="false" outlineLevel="0" collapsed="false">
      <c r="A119" s="1"/>
      <c r="B119" s="50" t="s">
        <v>84</v>
      </c>
      <c r="C119" s="57" t="str">
        <f aca="false">IF(C117=0,"— aguardando lançamento",IF(G116="","SEM TOTAL OFICIAL — informe o total do cupom",IF(AND(OR(C116="",C116=C117,C116=C118),ABS(G118)&lt;=0.05),"FECHADO — itens e valor conferem",IF(ABS(G118)&lt;=0.05,"REVISAR — qtd. de itens não bate","REVISAR — diferença de R$ "&amp;ABS(G118)))))</f>
        <v>FECHADO — itens e valor conferem</v>
      </c>
      <c r="D119" s="57"/>
      <c r="E119" s="57"/>
      <c r="F119" s="57"/>
      <c r="G119" s="50" t="s">
        <v>164</v>
      </c>
      <c r="H119" s="30"/>
      <c r="I119" s="30"/>
      <c r="J119" s="30"/>
      <c r="K119" s="30"/>
      <c r="L119" s="1"/>
    </row>
    <row r="120" customFormat="false" ht="15" hidden="false" customHeight="false" outlineLevel="0" collapsed="false">
      <c r="A120" s="1"/>
      <c r="B120" s="15" t="s">
        <v>165</v>
      </c>
      <c r="C120" s="15" t="s">
        <v>52</v>
      </c>
      <c r="D120" s="15" t="s">
        <v>9</v>
      </c>
      <c r="E120" s="15" t="s">
        <v>166</v>
      </c>
      <c r="F120" s="15" t="s">
        <v>167</v>
      </c>
      <c r="G120" s="15" t="s">
        <v>168</v>
      </c>
      <c r="H120" s="15" t="s">
        <v>10</v>
      </c>
      <c r="I120" s="15" t="s">
        <v>169</v>
      </c>
      <c r="J120" s="15" t="s">
        <v>170</v>
      </c>
      <c r="K120" s="15"/>
      <c r="L120" s="1"/>
    </row>
    <row r="121" customFormat="false" ht="15" hidden="false" customHeight="false" outlineLevel="0" collapsed="false">
      <c r="A121" s="1"/>
      <c r="B121" s="30" t="s">
        <v>184</v>
      </c>
      <c r="C121" s="16" t="s">
        <v>185</v>
      </c>
      <c r="D121" s="16" t="s">
        <v>23</v>
      </c>
      <c r="E121" s="64" t="n">
        <v>1</v>
      </c>
      <c r="F121" s="25" t="s">
        <v>179</v>
      </c>
      <c r="G121" s="17" t="n">
        <v>27</v>
      </c>
      <c r="H121" s="17" t="n">
        <v>27</v>
      </c>
      <c r="I121" s="62" t="n">
        <f aca="false">IF(OR(E121="",G121=""),"",ROUND(E121*G121,2))</f>
        <v>27</v>
      </c>
      <c r="J121" s="25" t="str">
        <f aca="false">IF(OR(H121="",I121=""),"",IF(ABS(H121-I121)&lt;=0.02,"OK","≠"))</f>
        <v>OK</v>
      </c>
      <c r="K121" s="16"/>
      <c r="L121" s="1"/>
    </row>
    <row r="122" customFormat="false" ht="15" hidden="false" customHeight="false" outlineLevel="0" collapsed="false">
      <c r="A122" s="1"/>
      <c r="B122" s="32" t="s">
        <v>186</v>
      </c>
      <c r="C122" s="19" t="s">
        <v>187</v>
      </c>
      <c r="D122" s="19" t="s">
        <v>12</v>
      </c>
      <c r="E122" s="65" t="n">
        <v>1</v>
      </c>
      <c r="F122" s="27" t="s">
        <v>179</v>
      </c>
      <c r="G122" s="20" t="n">
        <v>4.25</v>
      </c>
      <c r="H122" s="20" t="n">
        <v>4.25</v>
      </c>
      <c r="I122" s="62" t="n">
        <f aca="false">IF(OR(E122="",G122=""),"",ROUND(E122*G122,2))</f>
        <v>4.25</v>
      </c>
      <c r="J122" s="25" t="str">
        <f aca="false">IF(OR(H122="",I122=""),"",IF(ABS(H122-I122)&lt;=0.02,"OK","≠"))</f>
        <v>OK</v>
      </c>
      <c r="K122" s="16"/>
      <c r="L122" s="1"/>
    </row>
    <row r="123" customFormat="false" ht="15" hidden="false" customHeight="false" outlineLevel="0" collapsed="false">
      <c r="A123" s="1"/>
      <c r="B123" s="30" t="s">
        <v>188</v>
      </c>
      <c r="C123" s="16" t="s">
        <v>189</v>
      </c>
      <c r="D123" s="16" t="s">
        <v>12</v>
      </c>
      <c r="E123" s="64" t="n">
        <v>1</v>
      </c>
      <c r="F123" s="25" t="s">
        <v>179</v>
      </c>
      <c r="G123" s="17" t="n">
        <v>3.99</v>
      </c>
      <c r="H123" s="17" t="n">
        <v>3.99</v>
      </c>
      <c r="I123" s="62" t="n">
        <f aca="false">IF(OR(E123="",G123=""),"",ROUND(E123*G123,2))</f>
        <v>3.99</v>
      </c>
      <c r="J123" s="25" t="str">
        <f aca="false">IF(OR(H123="",I123=""),"",IF(ABS(H123-I123)&lt;=0.02,"OK","≠"))</f>
        <v>OK</v>
      </c>
      <c r="K123" s="16"/>
      <c r="L123" s="1"/>
    </row>
    <row r="124" customFormat="false" ht="15" hidden="false" customHeight="false" outlineLevel="0" collapsed="false">
      <c r="A124" s="1"/>
      <c r="B124" s="32" t="s">
        <v>190</v>
      </c>
      <c r="C124" s="19" t="s">
        <v>191</v>
      </c>
      <c r="D124" s="19" t="s">
        <v>12</v>
      </c>
      <c r="E124" s="65" t="n">
        <v>1</v>
      </c>
      <c r="F124" s="27" t="s">
        <v>179</v>
      </c>
      <c r="G124" s="20" t="n">
        <v>5.75</v>
      </c>
      <c r="H124" s="20" t="n">
        <v>5.75</v>
      </c>
      <c r="I124" s="62" t="n">
        <f aca="false">IF(OR(E124="",G124=""),"",ROUND(E124*G124,2))</f>
        <v>5.75</v>
      </c>
      <c r="J124" s="25" t="str">
        <f aca="false">IF(OR(H124="",I124=""),"",IF(ABS(H124-I124)&lt;=0.02,"OK","≠"))</f>
        <v>OK</v>
      </c>
      <c r="K124" s="16"/>
      <c r="L124" s="1"/>
    </row>
    <row r="125" customFormat="false" ht="15" hidden="false" customHeight="false" outlineLevel="0" collapsed="false">
      <c r="A125" s="1"/>
      <c r="B125" s="30" t="s">
        <v>192</v>
      </c>
      <c r="C125" s="16" t="s">
        <v>193</v>
      </c>
      <c r="D125" s="16" t="s">
        <v>12</v>
      </c>
      <c r="E125" s="64" t="n">
        <v>1</v>
      </c>
      <c r="F125" s="25" t="s">
        <v>179</v>
      </c>
      <c r="G125" s="17" t="n">
        <v>4.99</v>
      </c>
      <c r="H125" s="17" t="n">
        <v>4.99</v>
      </c>
      <c r="I125" s="62" t="n">
        <f aca="false">IF(OR(E125="",G125=""),"",ROUND(E125*G125,2))</f>
        <v>4.99</v>
      </c>
      <c r="J125" s="25" t="str">
        <f aca="false">IF(OR(H125="",I125=""),"",IF(ABS(H125-I125)&lt;=0.02,"OK","≠"))</f>
        <v>OK</v>
      </c>
      <c r="K125" s="16"/>
      <c r="L125" s="1"/>
    </row>
    <row r="126" customFormat="false" ht="15" hidden="false" customHeight="false" outlineLevel="0" collapsed="false">
      <c r="A126" s="1"/>
      <c r="B126" s="32" t="s">
        <v>194</v>
      </c>
      <c r="C126" s="19" t="s">
        <v>195</v>
      </c>
      <c r="D126" s="19" t="s">
        <v>12</v>
      </c>
      <c r="E126" s="65" t="n">
        <v>1</v>
      </c>
      <c r="F126" s="27" t="s">
        <v>179</v>
      </c>
      <c r="G126" s="20" t="n">
        <v>11.99</v>
      </c>
      <c r="H126" s="20" t="n">
        <v>11.99</v>
      </c>
      <c r="I126" s="62" t="n">
        <f aca="false">IF(OR(E126="",G126=""),"",ROUND(E126*G126,2))</f>
        <v>11.99</v>
      </c>
      <c r="J126" s="25" t="str">
        <f aca="false">IF(OR(H126="",I126=""),"",IF(ABS(H126-I126)&lt;=0.02,"OK","≠"))</f>
        <v>OK</v>
      </c>
      <c r="K126" s="16"/>
      <c r="L126" s="1"/>
    </row>
    <row r="127" customFormat="false" ht="15" hidden="false" customHeight="false" outlineLevel="0" collapsed="false">
      <c r="A127" s="1"/>
      <c r="B127" s="30" t="s">
        <v>196</v>
      </c>
      <c r="C127" s="16" t="s">
        <v>197</v>
      </c>
      <c r="D127" s="16" t="s">
        <v>14</v>
      </c>
      <c r="E127" s="64" t="n">
        <v>0.486</v>
      </c>
      <c r="F127" s="25" t="s">
        <v>176</v>
      </c>
      <c r="G127" s="17" t="n">
        <v>14.9</v>
      </c>
      <c r="H127" s="17" t="n">
        <v>7.24</v>
      </c>
      <c r="I127" s="62" t="n">
        <f aca="false">IF(OR(E127="",G127=""),"",ROUND(E127*G127,2))</f>
        <v>7.24</v>
      </c>
      <c r="J127" s="25" t="str">
        <f aca="false">IF(OR(H127="",I127=""),"",IF(ABS(H127-I127)&lt;=0.02,"OK","≠"))</f>
        <v>OK</v>
      </c>
      <c r="K127" s="16"/>
      <c r="L127" s="1"/>
    </row>
    <row r="128" customFormat="false" ht="15" hidden="false" customHeight="false" outlineLevel="0" collapsed="false">
      <c r="A128" s="1"/>
      <c r="B128" s="32" t="s">
        <v>198</v>
      </c>
      <c r="C128" s="19" t="s">
        <v>199</v>
      </c>
      <c r="D128" s="19" t="s">
        <v>12</v>
      </c>
      <c r="E128" s="65" t="n">
        <v>1</v>
      </c>
      <c r="F128" s="27" t="s">
        <v>179</v>
      </c>
      <c r="G128" s="20" t="n">
        <v>3.7</v>
      </c>
      <c r="H128" s="20" t="n">
        <v>3.7</v>
      </c>
      <c r="I128" s="62" t="n">
        <f aca="false">IF(OR(E128="",G128=""),"",ROUND(E128*G128,2))</f>
        <v>3.7</v>
      </c>
      <c r="J128" s="25" t="str">
        <f aca="false">IF(OR(H128="",I128=""),"",IF(ABS(H128-I128)&lt;=0.02,"OK","≠"))</f>
        <v>OK</v>
      </c>
      <c r="K128" s="16"/>
      <c r="L128" s="1"/>
    </row>
    <row r="129" customFormat="false" ht="15" hidden="false" customHeight="false" outlineLevel="0" collapsed="false">
      <c r="A129" s="1"/>
      <c r="B129" s="30" t="s">
        <v>200</v>
      </c>
      <c r="C129" s="16" t="s">
        <v>201</v>
      </c>
      <c r="D129" s="16" t="s">
        <v>12</v>
      </c>
      <c r="E129" s="64" t="n">
        <v>1</v>
      </c>
      <c r="F129" s="25" t="s">
        <v>179</v>
      </c>
      <c r="G129" s="17" t="n">
        <v>1.7</v>
      </c>
      <c r="H129" s="17" t="n">
        <v>1.7</v>
      </c>
      <c r="I129" s="62" t="n">
        <f aca="false">IF(OR(E129="",G129=""),"",ROUND(E129*G129,2))</f>
        <v>1.7</v>
      </c>
      <c r="J129" s="25" t="str">
        <f aca="false">IF(OR(H129="",I129=""),"",IF(ABS(H129-I129)&lt;=0.02,"OK","≠"))</f>
        <v>OK</v>
      </c>
      <c r="K129" s="16"/>
      <c r="L129" s="1"/>
    </row>
    <row r="130" customFormat="false" ht="15" hidden="false" customHeight="false" outlineLevel="0" collapsed="false">
      <c r="A130" s="1"/>
      <c r="B130" s="32" t="s">
        <v>198</v>
      </c>
      <c r="C130" s="19" t="s">
        <v>199</v>
      </c>
      <c r="D130" s="19" t="s">
        <v>12</v>
      </c>
      <c r="E130" s="65" t="n">
        <v>1</v>
      </c>
      <c r="F130" s="27" t="s">
        <v>179</v>
      </c>
      <c r="G130" s="20" t="n">
        <v>3.7</v>
      </c>
      <c r="H130" s="20" t="n">
        <v>3.7</v>
      </c>
      <c r="I130" s="62" t="n">
        <f aca="false">IF(OR(E130="",G130=""),"",ROUND(E130*G130,2))</f>
        <v>3.7</v>
      </c>
      <c r="J130" s="25" t="str">
        <f aca="false">IF(OR(H130="",I130=""),"",IF(ABS(H130-I130)&lt;=0.02,"OK","≠"))</f>
        <v>OK</v>
      </c>
      <c r="K130" s="16"/>
      <c r="L130" s="1"/>
    </row>
    <row r="131" customFormat="false" ht="15" hidden="false" customHeight="false" outlineLevel="0" collapsed="false">
      <c r="A131" s="1"/>
      <c r="B131" s="30" t="s">
        <v>202</v>
      </c>
      <c r="C131" s="16" t="s">
        <v>203</v>
      </c>
      <c r="D131" s="16" t="s">
        <v>12</v>
      </c>
      <c r="E131" s="64" t="n">
        <v>1</v>
      </c>
      <c r="F131" s="25" t="s">
        <v>179</v>
      </c>
      <c r="G131" s="17" t="n">
        <v>1.8</v>
      </c>
      <c r="H131" s="17" t="n">
        <v>1.8</v>
      </c>
      <c r="I131" s="62" t="n">
        <f aca="false">IF(OR(E131="",G131=""),"",ROUND(E131*G131,2))</f>
        <v>1.8</v>
      </c>
      <c r="J131" s="25" t="str">
        <f aca="false">IF(OR(H131="",I131=""),"",IF(ABS(H131-I131)&lt;=0.02,"OK","≠"))</f>
        <v>OK</v>
      </c>
      <c r="K131" s="16"/>
      <c r="L131" s="1"/>
    </row>
    <row r="132" customFormat="false" ht="15" hidden="false" customHeight="false" outlineLevel="0" collapsed="false">
      <c r="A132" s="1"/>
      <c r="B132" s="32" t="s">
        <v>198</v>
      </c>
      <c r="C132" s="19" t="s">
        <v>199</v>
      </c>
      <c r="D132" s="19" t="s">
        <v>12</v>
      </c>
      <c r="E132" s="65" t="n">
        <v>1</v>
      </c>
      <c r="F132" s="27" t="s">
        <v>179</v>
      </c>
      <c r="G132" s="20" t="n">
        <v>3.7</v>
      </c>
      <c r="H132" s="20" t="n">
        <v>3.7</v>
      </c>
      <c r="I132" s="62" t="n">
        <f aca="false">IF(OR(E132="",G132=""),"",ROUND(E132*G132,2))</f>
        <v>3.7</v>
      </c>
      <c r="J132" s="25" t="str">
        <f aca="false">IF(OR(H132="",I132=""),"",IF(ABS(H132-I132)&lt;=0.02,"OK","≠"))</f>
        <v>OK</v>
      </c>
      <c r="K132" s="16"/>
      <c r="L132" s="1"/>
    </row>
    <row r="133" customFormat="false" ht="15" hidden="false" customHeight="false" outlineLevel="0" collapsed="false">
      <c r="A133" s="1"/>
      <c r="B133" s="30" t="s">
        <v>204</v>
      </c>
      <c r="C133" s="16" t="s">
        <v>205</v>
      </c>
      <c r="D133" s="16" t="s">
        <v>23</v>
      </c>
      <c r="E133" s="64" t="n">
        <v>1</v>
      </c>
      <c r="F133" s="25" t="s">
        <v>179</v>
      </c>
      <c r="G133" s="17" t="n">
        <v>7.6</v>
      </c>
      <c r="H133" s="17" t="n">
        <v>7.6</v>
      </c>
      <c r="I133" s="62" t="n">
        <f aca="false">IF(OR(E133="",G133=""),"",ROUND(E133*G133,2))</f>
        <v>7.6</v>
      </c>
      <c r="J133" s="25" t="str">
        <f aca="false">IF(OR(H133="",I133=""),"",IF(ABS(H133-I133)&lt;=0.02,"OK","≠"))</f>
        <v>OK</v>
      </c>
      <c r="K133" s="16"/>
      <c r="L133" s="1"/>
    </row>
    <row r="134" customFormat="false" ht="15" hidden="false" customHeight="false" outlineLevel="0" collapsed="false">
      <c r="A134" s="1"/>
      <c r="B134" s="32" t="s">
        <v>202</v>
      </c>
      <c r="C134" s="19" t="s">
        <v>203</v>
      </c>
      <c r="D134" s="19" t="s">
        <v>12</v>
      </c>
      <c r="E134" s="65" t="n">
        <v>1</v>
      </c>
      <c r="F134" s="27" t="s">
        <v>179</v>
      </c>
      <c r="G134" s="20" t="n">
        <v>1.8</v>
      </c>
      <c r="H134" s="20" t="n">
        <v>1.8</v>
      </c>
      <c r="I134" s="62" t="n">
        <f aca="false">IF(OR(E134="",G134=""),"",ROUND(E134*G134,2))</f>
        <v>1.8</v>
      </c>
      <c r="J134" s="25" t="str">
        <f aca="false">IF(OR(H134="",I134=""),"",IF(ABS(H134-I134)&lt;=0.02,"OK","≠"))</f>
        <v>OK</v>
      </c>
      <c r="K134" s="16"/>
      <c r="L134" s="1"/>
    </row>
    <row r="135" customFormat="false" ht="15" hidden="false" customHeight="false" outlineLevel="0" collapsed="false">
      <c r="A135" s="1"/>
      <c r="B135" s="30" t="s">
        <v>206</v>
      </c>
      <c r="C135" s="16" t="s">
        <v>207</v>
      </c>
      <c r="D135" s="16" t="s">
        <v>14</v>
      </c>
      <c r="E135" s="64" t="n">
        <v>1</v>
      </c>
      <c r="F135" s="25" t="s">
        <v>179</v>
      </c>
      <c r="G135" s="17" t="n">
        <v>5.59</v>
      </c>
      <c r="H135" s="17" t="n">
        <v>5.59</v>
      </c>
      <c r="I135" s="62" t="n">
        <f aca="false">IF(OR(E135="",G135=""),"",ROUND(E135*G135,2))</f>
        <v>5.59</v>
      </c>
      <c r="J135" s="25" t="str">
        <f aca="false">IF(OR(H135="",I135=""),"",IF(ABS(H135-I135)&lt;=0.02,"OK","≠"))</f>
        <v>OK</v>
      </c>
      <c r="K135" s="16"/>
      <c r="L135" s="1"/>
    </row>
    <row r="136" customFormat="false" ht="15" hidden="false" customHeight="false" outlineLevel="0" collapsed="false">
      <c r="A136" s="1"/>
      <c r="B136" s="32" t="s">
        <v>208</v>
      </c>
      <c r="C136" s="19" t="s">
        <v>209</v>
      </c>
      <c r="D136" s="19" t="s">
        <v>24</v>
      </c>
      <c r="E136" s="65" t="n">
        <v>0.494</v>
      </c>
      <c r="F136" s="27" t="s">
        <v>176</v>
      </c>
      <c r="G136" s="20" t="n">
        <v>34</v>
      </c>
      <c r="H136" s="20" t="n">
        <v>16.8</v>
      </c>
      <c r="I136" s="62" t="n">
        <f aca="false">IF(OR(E136="",G136=""),"",ROUND(E136*G136,2))</f>
        <v>16.8</v>
      </c>
      <c r="J136" s="25" t="str">
        <f aca="false">IF(OR(H136="",I136=""),"",IF(ABS(H136-I136)&lt;=0.02,"OK","≠"))</f>
        <v>OK</v>
      </c>
      <c r="K136" s="16"/>
      <c r="L136" s="1"/>
    </row>
    <row r="137" customFormat="false" ht="15" hidden="false" customHeight="false" outlineLevel="0" collapsed="false">
      <c r="A137" s="1"/>
      <c r="B137" s="30" t="s">
        <v>210</v>
      </c>
      <c r="C137" s="16" t="s">
        <v>211</v>
      </c>
      <c r="D137" s="16" t="s">
        <v>14</v>
      </c>
      <c r="E137" s="64" t="n">
        <v>0.402</v>
      </c>
      <c r="F137" s="25" t="s">
        <v>176</v>
      </c>
      <c r="G137" s="17" t="n">
        <v>35</v>
      </c>
      <c r="H137" s="17" t="n">
        <v>14.07</v>
      </c>
      <c r="I137" s="62" t="n">
        <f aca="false">IF(OR(E137="",G137=""),"",ROUND(E137*G137,2))</f>
        <v>14.07</v>
      </c>
      <c r="J137" s="25" t="str">
        <f aca="false">IF(OR(H137="",I137=""),"",IF(ABS(H137-I137)&lt;=0.02,"OK","≠"))</f>
        <v>OK</v>
      </c>
      <c r="K137" s="16"/>
      <c r="L137" s="1"/>
    </row>
    <row r="138" customFormat="false" ht="15" hidden="false" customHeight="false" outlineLevel="0" collapsed="false">
      <c r="A138" s="1"/>
      <c r="B138" s="32" t="s">
        <v>212</v>
      </c>
      <c r="C138" s="19" t="s">
        <v>213</v>
      </c>
      <c r="D138" s="19" t="s">
        <v>20</v>
      </c>
      <c r="E138" s="65" t="n">
        <v>2</v>
      </c>
      <c r="F138" s="27" t="s">
        <v>179</v>
      </c>
      <c r="G138" s="20" t="n">
        <v>5.09</v>
      </c>
      <c r="H138" s="20" t="n">
        <v>10.18</v>
      </c>
      <c r="I138" s="62" t="n">
        <f aca="false">IF(OR(E138="",G138=""),"",ROUND(E138*G138,2))</f>
        <v>10.18</v>
      </c>
      <c r="J138" s="25" t="str">
        <f aca="false">IF(OR(H138="",I138=""),"",IF(ABS(H138-I138)&lt;=0.02,"OK","≠"))</f>
        <v>OK</v>
      </c>
      <c r="K138" s="16"/>
      <c r="L138" s="1"/>
    </row>
    <row r="139" customFormat="false" ht="15" hidden="false" customHeight="false" outlineLevel="0" collapsed="false">
      <c r="A139" s="1"/>
      <c r="B139" s="30" t="s">
        <v>214</v>
      </c>
      <c r="C139" s="16" t="s">
        <v>215</v>
      </c>
      <c r="D139" s="16" t="s">
        <v>20</v>
      </c>
      <c r="E139" s="64" t="n">
        <v>1</v>
      </c>
      <c r="F139" s="25" t="s">
        <v>179</v>
      </c>
      <c r="G139" s="17" t="n">
        <v>18.2</v>
      </c>
      <c r="H139" s="17" t="n">
        <v>18.2</v>
      </c>
      <c r="I139" s="62" t="n">
        <f aca="false">IF(OR(E139="",G139=""),"",ROUND(E139*G139,2))</f>
        <v>18.2</v>
      </c>
      <c r="J139" s="25" t="str">
        <f aca="false">IF(OR(H139="",I139=""),"",IF(ABS(H139-I139)&lt;=0.02,"OK","≠"))</f>
        <v>OK</v>
      </c>
      <c r="K139" s="16"/>
      <c r="L139" s="1"/>
    </row>
    <row r="140" customFormat="false" ht="15" hidden="false" customHeight="false" outlineLevel="0" collapsed="false">
      <c r="A140" s="1"/>
      <c r="B140" s="32" t="s">
        <v>216</v>
      </c>
      <c r="C140" s="19" t="s">
        <v>217</v>
      </c>
      <c r="D140" s="19" t="s">
        <v>16</v>
      </c>
      <c r="E140" s="65" t="n">
        <v>1</v>
      </c>
      <c r="F140" s="27" t="s">
        <v>179</v>
      </c>
      <c r="G140" s="20" t="n">
        <v>18.9</v>
      </c>
      <c r="H140" s="20" t="n">
        <v>18.9</v>
      </c>
      <c r="I140" s="62" t="n">
        <f aca="false">IF(OR(E140="",G140=""),"",ROUND(E140*G140,2))</f>
        <v>18.9</v>
      </c>
      <c r="J140" s="25" t="str">
        <f aca="false">IF(OR(H140="",I140=""),"",IF(ABS(H140-I140)&lt;=0.02,"OK","≠"))</f>
        <v>OK</v>
      </c>
      <c r="K140" s="16"/>
      <c r="L140" s="1"/>
    </row>
    <row r="141" customFormat="false" ht="15" hidden="false" customHeight="false" outlineLevel="0" collapsed="false">
      <c r="A141" s="1"/>
      <c r="B141" s="30" t="s">
        <v>218</v>
      </c>
      <c r="C141" s="16" t="s">
        <v>219</v>
      </c>
      <c r="D141" s="16" t="s">
        <v>26</v>
      </c>
      <c r="E141" s="64" t="n">
        <v>0.384</v>
      </c>
      <c r="F141" s="25" t="s">
        <v>176</v>
      </c>
      <c r="G141" s="17" t="n">
        <v>28.9</v>
      </c>
      <c r="H141" s="17" t="n">
        <v>11.1</v>
      </c>
      <c r="I141" s="62" t="n">
        <f aca="false">IF(OR(E141="",G141=""),"",ROUND(E141*G141,2))</f>
        <v>11.1</v>
      </c>
      <c r="J141" s="25" t="str">
        <f aca="false">IF(OR(H141="",I141=""),"",IF(ABS(H141-I141)&lt;=0.02,"OK","≠"))</f>
        <v>OK</v>
      </c>
      <c r="K141" s="16"/>
      <c r="L141" s="1"/>
    </row>
    <row r="142" customFormat="false" ht="15" hidden="false" customHeight="false" outlineLevel="0" collapsed="false">
      <c r="A142" s="1"/>
      <c r="B142" s="1"/>
      <c r="C142" s="1"/>
      <c r="D142" s="1"/>
      <c r="E142" s="1"/>
      <c r="F142" s="1"/>
      <c r="G142" s="1"/>
      <c r="H142" s="1"/>
      <c r="I142" s="1"/>
      <c r="J142" s="1"/>
      <c r="K142" s="1"/>
      <c r="L142" s="1"/>
    </row>
    <row r="143" customFormat="false" ht="19.5" hidden="false" customHeight="true" outlineLevel="0" collapsed="false">
      <c r="A143" s="1"/>
      <c r="B143" s="63" t="s">
        <v>220</v>
      </c>
      <c r="C143" s="63"/>
      <c r="D143" s="63"/>
      <c r="E143" s="63"/>
      <c r="F143" s="63"/>
      <c r="G143" s="63"/>
      <c r="H143" s="63"/>
      <c r="I143" s="63"/>
      <c r="J143" s="63"/>
      <c r="K143" s="63"/>
      <c r="L143" s="1"/>
    </row>
    <row r="144" customFormat="false" ht="15" hidden="false" customHeight="false" outlineLevel="0" collapsed="false">
      <c r="A144" s="1"/>
      <c r="B144" s="50" t="s">
        <v>34</v>
      </c>
      <c r="C144" s="45" t="s">
        <v>36</v>
      </c>
      <c r="D144" s="45"/>
      <c r="E144" s="50" t="s">
        <v>157</v>
      </c>
      <c r="F144" s="50"/>
      <c r="G144" s="45" t="s">
        <v>221</v>
      </c>
      <c r="H144" s="45"/>
      <c r="I144" s="45"/>
      <c r="J144" s="45"/>
      <c r="K144" s="45"/>
      <c r="L144" s="1"/>
    </row>
    <row r="145" customFormat="false" ht="15" hidden="false" customHeight="false" outlineLevel="0" collapsed="false">
      <c r="A145" s="1"/>
      <c r="B145" s="50" t="s">
        <v>78</v>
      </c>
      <c r="C145" s="39" t="n">
        <v>46147</v>
      </c>
      <c r="D145" s="39"/>
      <c r="E145" s="50" t="s">
        <v>80</v>
      </c>
      <c r="F145" s="50"/>
      <c r="G145" s="45" t="s">
        <v>173</v>
      </c>
      <c r="H145" s="45"/>
      <c r="I145" s="45"/>
      <c r="J145" s="45"/>
      <c r="K145" s="45"/>
      <c r="L145" s="1"/>
    </row>
    <row r="146" customFormat="false" ht="15" hidden="false" customHeight="false" outlineLevel="0" collapsed="false">
      <c r="A146" s="1"/>
      <c r="B146" s="50" t="s">
        <v>158</v>
      </c>
      <c r="C146" s="55" t="n">
        <v>37</v>
      </c>
      <c r="D146" s="55"/>
      <c r="E146" s="50" t="s">
        <v>159</v>
      </c>
      <c r="F146" s="50"/>
      <c r="G146" s="56" t="n">
        <v>301.86</v>
      </c>
      <c r="H146" s="56"/>
      <c r="I146" s="56"/>
      <c r="J146" s="56"/>
      <c r="K146" s="56"/>
      <c r="L146" s="1"/>
    </row>
    <row r="147" customFormat="false" ht="15" hidden="false" customHeight="false" outlineLevel="0" collapsed="false">
      <c r="A147" s="1"/>
      <c r="B147" s="50" t="s">
        <v>160</v>
      </c>
      <c r="C147" s="55" t="n">
        <f aca="false">COUNT(H151:H183)</f>
        <v>33</v>
      </c>
      <c r="D147" s="55"/>
      <c r="E147" s="50" t="s">
        <v>161</v>
      </c>
      <c r="F147" s="50"/>
      <c r="G147" s="56" t="n">
        <f aca="false">ROUND(SUM(H151:H183),2)</f>
        <v>301.76</v>
      </c>
      <c r="H147" s="56"/>
      <c r="I147" s="56"/>
      <c r="J147" s="56"/>
      <c r="K147" s="56"/>
      <c r="L147" s="1"/>
    </row>
    <row r="148" customFormat="false" ht="15" hidden="false" customHeight="false" outlineLevel="0" collapsed="false">
      <c r="A148" s="1"/>
      <c r="B148" s="50" t="s">
        <v>162</v>
      </c>
      <c r="C148" s="55" t="n">
        <f aca="false">ROUND(SUMPRODUCT(((F151:F183="KG")+(F151:F183="G"))*1)+SUMPRODUCT((F151:F183&lt;&gt;"KG")*(F151:F183&lt;&gt;"G")*E151:E183),0)</f>
        <v>37</v>
      </c>
      <c r="D148" s="55"/>
      <c r="E148" s="50" t="s">
        <v>163</v>
      </c>
      <c r="F148" s="50"/>
      <c r="G148" s="56" t="n">
        <f aca="false">IF(G146="","",ROUND(G146-G147,2))</f>
        <v>0.1</v>
      </c>
      <c r="H148" s="56"/>
      <c r="I148" s="56"/>
      <c r="J148" s="56"/>
      <c r="K148" s="56"/>
      <c r="L148" s="1"/>
    </row>
    <row r="149" customFormat="false" ht="15" hidden="false" customHeight="false" outlineLevel="0" collapsed="false">
      <c r="A149" s="1"/>
      <c r="B149" s="50" t="s">
        <v>84</v>
      </c>
      <c r="C149" s="57" t="str">
        <f aca="false">IF(C147=0,"— aguardando lançamento",IF(G146="","SEM TOTAL OFICIAL — informe o total do cupom",IF(AND(OR(C146="",C146=C147,C146=C148),ABS(G148)&lt;=0.05),"FECHADO — itens e valor conferem",IF(ABS(G148)&lt;=0.05,"REVISAR — qtd. de itens não bate","REVISAR — diferença de R$ "&amp;ABS(G148)))))</f>
        <v>REVISAR — diferença de R$ 0.1</v>
      </c>
      <c r="D149" s="57"/>
      <c r="E149" s="57"/>
      <c r="F149" s="57"/>
      <c r="G149" s="50" t="s">
        <v>164</v>
      </c>
      <c r="H149" s="30"/>
      <c r="I149" s="30"/>
      <c r="J149" s="30"/>
      <c r="K149" s="30"/>
      <c r="L149" s="1"/>
    </row>
    <row r="150" customFormat="false" ht="15" hidden="false" customHeight="false" outlineLevel="0" collapsed="false">
      <c r="A150" s="1"/>
      <c r="B150" s="15" t="s">
        <v>165</v>
      </c>
      <c r="C150" s="15" t="s">
        <v>52</v>
      </c>
      <c r="D150" s="15" t="s">
        <v>9</v>
      </c>
      <c r="E150" s="15" t="s">
        <v>166</v>
      </c>
      <c r="F150" s="15" t="s">
        <v>167</v>
      </c>
      <c r="G150" s="15" t="s">
        <v>168</v>
      </c>
      <c r="H150" s="15" t="s">
        <v>10</v>
      </c>
      <c r="I150" s="15" t="s">
        <v>169</v>
      </c>
      <c r="J150" s="15" t="s">
        <v>170</v>
      </c>
      <c r="K150" s="15"/>
      <c r="L150" s="1"/>
    </row>
    <row r="151" customFormat="false" ht="15" hidden="false" customHeight="false" outlineLevel="0" collapsed="false">
      <c r="A151" s="1"/>
      <c r="B151" s="30" t="s">
        <v>222</v>
      </c>
      <c r="C151" s="16" t="s">
        <v>223</v>
      </c>
      <c r="D151" s="16" t="s">
        <v>13</v>
      </c>
      <c r="E151" s="64" t="n">
        <v>1</v>
      </c>
      <c r="F151" s="25" t="s">
        <v>179</v>
      </c>
      <c r="G151" s="17" t="n">
        <v>10.8</v>
      </c>
      <c r="H151" s="17" t="n">
        <v>10.8</v>
      </c>
      <c r="I151" s="62" t="n">
        <f aca="false">IF(OR(E151="",G151=""),"",ROUND(E151*G151,2))</f>
        <v>10.8</v>
      </c>
      <c r="J151" s="25" t="str">
        <f aca="false">IF(OR(H151="",I151=""),"",IF(ABS(H151-I151)&lt;=0.02,"OK","≠"))</f>
        <v>OK</v>
      </c>
      <c r="K151" s="16"/>
      <c r="L151" s="1"/>
    </row>
    <row r="152" customFormat="false" ht="15" hidden="false" customHeight="false" outlineLevel="0" collapsed="false">
      <c r="A152" s="1"/>
      <c r="B152" s="32" t="s">
        <v>224</v>
      </c>
      <c r="C152" s="19" t="s">
        <v>225</v>
      </c>
      <c r="D152" s="19" t="s">
        <v>13</v>
      </c>
      <c r="E152" s="65" t="n">
        <v>1</v>
      </c>
      <c r="F152" s="27" t="s">
        <v>179</v>
      </c>
      <c r="G152" s="20" t="n">
        <v>14.5</v>
      </c>
      <c r="H152" s="20" t="n">
        <v>14.5</v>
      </c>
      <c r="I152" s="62" t="n">
        <f aca="false">IF(OR(E152="",G152=""),"",ROUND(E152*G152,2))</f>
        <v>14.5</v>
      </c>
      <c r="J152" s="25" t="str">
        <f aca="false">IF(OR(H152="",I152=""),"",IF(ABS(H152-I152)&lt;=0.02,"OK","≠"))</f>
        <v>OK</v>
      </c>
      <c r="K152" s="16"/>
      <c r="L152" s="1"/>
    </row>
    <row r="153" customFormat="false" ht="15" hidden="false" customHeight="false" outlineLevel="0" collapsed="false">
      <c r="A153" s="1"/>
      <c r="B153" s="30" t="s">
        <v>226</v>
      </c>
      <c r="C153" s="16" t="s">
        <v>227</v>
      </c>
      <c r="D153" s="16" t="s">
        <v>13</v>
      </c>
      <c r="E153" s="64" t="n">
        <v>1</v>
      </c>
      <c r="F153" s="25" t="s">
        <v>179</v>
      </c>
      <c r="G153" s="17" t="n">
        <v>17.5</v>
      </c>
      <c r="H153" s="17" t="n">
        <v>17.5</v>
      </c>
      <c r="I153" s="62" t="n">
        <f aca="false">IF(OR(E153="",G153=""),"",ROUND(E153*G153,2))</f>
        <v>17.5</v>
      </c>
      <c r="J153" s="25" t="str">
        <f aca="false">IF(OR(H153="",I153=""),"",IF(ABS(H153-I153)&lt;=0.02,"OK","≠"))</f>
        <v>OK</v>
      </c>
      <c r="K153" s="16"/>
      <c r="L153" s="1"/>
    </row>
    <row r="154" customFormat="false" ht="15" hidden="false" customHeight="false" outlineLevel="0" collapsed="false">
      <c r="A154" s="1"/>
      <c r="B154" s="32" t="s">
        <v>228</v>
      </c>
      <c r="C154" s="19" t="s">
        <v>229</v>
      </c>
      <c r="D154" s="19" t="s">
        <v>13</v>
      </c>
      <c r="E154" s="65" t="n">
        <v>1</v>
      </c>
      <c r="F154" s="27" t="s">
        <v>179</v>
      </c>
      <c r="G154" s="20" t="n">
        <v>6.25</v>
      </c>
      <c r="H154" s="20" t="n">
        <v>6.25</v>
      </c>
      <c r="I154" s="62" t="n">
        <f aca="false">IF(OR(E154="",G154=""),"",ROUND(E154*G154,2))</f>
        <v>6.25</v>
      </c>
      <c r="J154" s="25" t="str">
        <f aca="false">IF(OR(H154="",I154=""),"",IF(ABS(H154-I154)&lt;=0.02,"OK","≠"))</f>
        <v>OK</v>
      </c>
      <c r="K154" s="16"/>
      <c r="L154" s="1"/>
    </row>
    <row r="155" customFormat="false" ht="15" hidden="false" customHeight="false" outlineLevel="0" collapsed="false">
      <c r="A155" s="1"/>
      <c r="B155" s="30" t="s">
        <v>230</v>
      </c>
      <c r="C155" s="16" t="s">
        <v>231</v>
      </c>
      <c r="D155" s="16" t="s">
        <v>13</v>
      </c>
      <c r="E155" s="64" t="n">
        <v>1</v>
      </c>
      <c r="F155" s="25" t="s">
        <v>179</v>
      </c>
      <c r="G155" s="17" t="n">
        <v>6.65</v>
      </c>
      <c r="H155" s="17" t="n">
        <v>6.65</v>
      </c>
      <c r="I155" s="62" t="n">
        <f aca="false">IF(OR(E155="",G155=""),"",ROUND(E155*G155,2))</f>
        <v>6.65</v>
      </c>
      <c r="J155" s="25" t="str">
        <f aca="false">IF(OR(H155="",I155=""),"",IF(ABS(H155-I155)&lt;=0.02,"OK","≠"))</f>
        <v>OK</v>
      </c>
      <c r="K155" s="16"/>
      <c r="L155" s="1"/>
    </row>
    <row r="156" customFormat="false" ht="15" hidden="false" customHeight="false" outlineLevel="0" collapsed="false">
      <c r="A156" s="1"/>
      <c r="B156" s="32" t="s">
        <v>232</v>
      </c>
      <c r="C156" s="19" t="s">
        <v>233</v>
      </c>
      <c r="D156" s="19" t="s">
        <v>12</v>
      </c>
      <c r="E156" s="65" t="n">
        <v>1</v>
      </c>
      <c r="F156" s="27" t="s">
        <v>179</v>
      </c>
      <c r="G156" s="20" t="n">
        <v>23</v>
      </c>
      <c r="H156" s="20" t="n">
        <v>23</v>
      </c>
      <c r="I156" s="62" t="n">
        <f aca="false">IF(OR(E156="",G156=""),"",ROUND(E156*G156,2))</f>
        <v>23</v>
      </c>
      <c r="J156" s="25" t="str">
        <f aca="false">IF(OR(H156="",I156=""),"",IF(ABS(H156-I156)&lt;=0.02,"OK","≠"))</f>
        <v>OK</v>
      </c>
      <c r="K156" s="16"/>
      <c r="L156" s="1"/>
    </row>
    <row r="157" customFormat="false" ht="15" hidden="false" customHeight="false" outlineLevel="0" collapsed="false">
      <c r="A157" s="1"/>
      <c r="B157" s="30" t="s">
        <v>234</v>
      </c>
      <c r="C157" s="16" t="s">
        <v>235</v>
      </c>
      <c r="D157" s="16" t="s">
        <v>12</v>
      </c>
      <c r="E157" s="64" t="n">
        <v>1</v>
      </c>
      <c r="F157" s="25" t="s">
        <v>179</v>
      </c>
      <c r="G157" s="17" t="n">
        <v>10.99</v>
      </c>
      <c r="H157" s="17" t="n">
        <v>10.99</v>
      </c>
      <c r="I157" s="62" t="n">
        <f aca="false">IF(OR(E157="",G157=""),"",ROUND(E157*G157,2))</f>
        <v>10.99</v>
      </c>
      <c r="J157" s="25" t="str">
        <f aca="false">IF(OR(H157="",I157=""),"",IF(ABS(H157-I157)&lt;=0.02,"OK","≠"))</f>
        <v>OK</v>
      </c>
      <c r="K157" s="16"/>
      <c r="L157" s="1"/>
    </row>
    <row r="158" customFormat="false" ht="15" hidden="false" customHeight="false" outlineLevel="0" collapsed="false">
      <c r="A158" s="1"/>
      <c r="B158" s="32" t="s">
        <v>236</v>
      </c>
      <c r="C158" s="19" t="s">
        <v>237</v>
      </c>
      <c r="D158" s="19" t="s">
        <v>12</v>
      </c>
      <c r="E158" s="65" t="n">
        <v>1</v>
      </c>
      <c r="F158" s="27" t="s">
        <v>179</v>
      </c>
      <c r="G158" s="20" t="n">
        <v>5.75</v>
      </c>
      <c r="H158" s="20" t="n">
        <v>5.75</v>
      </c>
      <c r="I158" s="62" t="n">
        <f aca="false">IF(OR(E158="",G158=""),"",ROUND(E158*G158,2))</f>
        <v>5.75</v>
      </c>
      <c r="J158" s="25" t="str">
        <f aca="false">IF(OR(H158="",I158=""),"",IF(ABS(H158-I158)&lt;=0.02,"OK","≠"))</f>
        <v>OK</v>
      </c>
      <c r="K158" s="16"/>
      <c r="L158" s="1"/>
    </row>
    <row r="159" customFormat="false" ht="15" hidden="false" customHeight="false" outlineLevel="0" collapsed="false">
      <c r="A159" s="1"/>
      <c r="B159" s="30" t="s">
        <v>238</v>
      </c>
      <c r="C159" s="16" t="s">
        <v>239</v>
      </c>
      <c r="D159" s="16" t="s">
        <v>12</v>
      </c>
      <c r="E159" s="64" t="n">
        <v>1</v>
      </c>
      <c r="F159" s="25" t="s">
        <v>179</v>
      </c>
      <c r="G159" s="17" t="n">
        <v>2.49</v>
      </c>
      <c r="H159" s="17" t="n">
        <v>2.49</v>
      </c>
      <c r="I159" s="62" t="n">
        <f aca="false">IF(OR(E159="",G159=""),"",ROUND(E159*G159,2))</f>
        <v>2.49</v>
      </c>
      <c r="J159" s="25" t="str">
        <f aca="false">IF(OR(H159="",I159=""),"",IF(ABS(H159-I159)&lt;=0.02,"OK","≠"))</f>
        <v>OK</v>
      </c>
      <c r="K159" s="16"/>
      <c r="L159" s="1"/>
    </row>
    <row r="160" customFormat="false" ht="15" hidden="false" customHeight="false" outlineLevel="0" collapsed="false">
      <c r="A160" s="1"/>
      <c r="B160" s="32" t="s">
        <v>240</v>
      </c>
      <c r="C160" s="19" t="s">
        <v>241</v>
      </c>
      <c r="D160" s="19" t="s">
        <v>12</v>
      </c>
      <c r="E160" s="65" t="n">
        <v>3</v>
      </c>
      <c r="F160" s="27" t="s">
        <v>179</v>
      </c>
      <c r="G160" s="20" t="n">
        <v>1.8</v>
      </c>
      <c r="H160" s="20" t="n">
        <v>5.4</v>
      </c>
      <c r="I160" s="62" t="n">
        <f aca="false">IF(OR(E160="",G160=""),"",ROUND(E160*G160,2))</f>
        <v>5.4</v>
      </c>
      <c r="J160" s="25" t="str">
        <f aca="false">IF(OR(H160="",I160=""),"",IF(ABS(H160-I160)&lt;=0.02,"OK","≠"))</f>
        <v>OK</v>
      </c>
      <c r="K160" s="16"/>
      <c r="L160" s="1"/>
    </row>
    <row r="161" customFormat="false" ht="15" hidden="false" customHeight="false" outlineLevel="0" collapsed="false">
      <c r="A161" s="1"/>
      <c r="B161" s="30" t="s">
        <v>198</v>
      </c>
      <c r="C161" s="16" t="s">
        <v>242</v>
      </c>
      <c r="D161" s="16" t="s">
        <v>12</v>
      </c>
      <c r="E161" s="64" t="n">
        <v>1</v>
      </c>
      <c r="F161" s="25" t="s">
        <v>179</v>
      </c>
      <c r="G161" s="17" t="n">
        <v>3.7</v>
      </c>
      <c r="H161" s="17" t="n">
        <v>3.7</v>
      </c>
      <c r="I161" s="62" t="n">
        <f aca="false">IF(OR(E161="",G161=""),"",ROUND(E161*G161,2))</f>
        <v>3.7</v>
      </c>
      <c r="J161" s="25" t="str">
        <f aca="false">IF(OR(H161="",I161=""),"",IF(ABS(H161-I161)&lt;=0.02,"OK","≠"))</f>
        <v>OK</v>
      </c>
      <c r="K161" s="16"/>
      <c r="L161" s="1"/>
    </row>
    <row r="162" customFormat="false" ht="15" hidden="false" customHeight="false" outlineLevel="0" collapsed="false">
      <c r="A162" s="1"/>
      <c r="B162" s="32" t="s">
        <v>198</v>
      </c>
      <c r="C162" s="19" t="s">
        <v>242</v>
      </c>
      <c r="D162" s="19" t="s">
        <v>12</v>
      </c>
      <c r="E162" s="65" t="n">
        <v>3</v>
      </c>
      <c r="F162" s="27" t="s">
        <v>179</v>
      </c>
      <c r="G162" s="20" t="n">
        <v>3.7</v>
      </c>
      <c r="H162" s="20" t="n">
        <v>11.1</v>
      </c>
      <c r="I162" s="62" t="n">
        <f aca="false">IF(OR(E162="",G162=""),"",ROUND(E162*G162,2))</f>
        <v>11.1</v>
      </c>
      <c r="J162" s="25" t="str">
        <f aca="false">IF(OR(H162="",I162=""),"",IF(ABS(H162-I162)&lt;=0.02,"OK","≠"))</f>
        <v>OK</v>
      </c>
      <c r="K162" s="16"/>
      <c r="L162" s="1"/>
    </row>
    <row r="163" customFormat="false" ht="15" hidden="false" customHeight="false" outlineLevel="0" collapsed="false">
      <c r="A163" s="1"/>
      <c r="B163" s="30" t="s">
        <v>243</v>
      </c>
      <c r="C163" s="16" t="s">
        <v>244</v>
      </c>
      <c r="D163" s="16" t="s">
        <v>13</v>
      </c>
      <c r="E163" s="64" t="n">
        <v>1</v>
      </c>
      <c r="F163" s="25" t="s">
        <v>179</v>
      </c>
      <c r="G163" s="17" t="n">
        <v>21.99</v>
      </c>
      <c r="H163" s="17" t="n">
        <v>21.99</v>
      </c>
      <c r="I163" s="62" t="n">
        <f aca="false">IF(OR(E163="",G163=""),"",ROUND(E163*G163,2))</f>
        <v>21.99</v>
      </c>
      <c r="J163" s="25" t="str">
        <f aca="false">IF(OR(H163="",I163=""),"",IF(ABS(H163-I163)&lt;=0.02,"OK","≠"))</f>
        <v>OK</v>
      </c>
      <c r="K163" s="16"/>
      <c r="L163" s="1"/>
    </row>
    <row r="164" customFormat="false" ht="15" hidden="false" customHeight="false" outlineLevel="0" collapsed="false">
      <c r="A164" s="1"/>
      <c r="B164" s="32" t="s">
        <v>245</v>
      </c>
      <c r="C164" s="19" t="s">
        <v>246</v>
      </c>
      <c r="D164" s="19" t="s">
        <v>12</v>
      </c>
      <c r="E164" s="65" t="n">
        <v>1</v>
      </c>
      <c r="F164" s="27" t="s">
        <v>179</v>
      </c>
      <c r="G164" s="20" t="n">
        <v>2.99</v>
      </c>
      <c r="H164" s="20" t="n">
        <v>2.99</v>
      </c>
      <c r="I164" s="62" t="n">
        <f aca="false">IF(OR(E164="",G164=""),"",ROUND(E164*G164,2))</f>
        <v>2.99</v>
      </c>
      <c r="J164" s="25" t="str">
        <f aca="false">IF(OR(H164="",I164=""),"",IF(ABS(H164-I164)&lt;=0.02,"OK","≠"))</f>
        <v>OK</v>
      </c>
      <c r="K164" s="16"/>
      <c r="L164" s="1"/>
    </row>
    <row r="165" customFormat="false" ht="15" hidden="false" customHeight="false" outlineLevel="0" collapsed="false">
      <c r="A165" s="1"/>
      <c r="B165" s="30" t="s">
        <v>245</v>
      </c>
      <c r="C165" s="16" t="s">
        <v>246</v>
      </c>
      <c r="D165" s="16" t="s">
        <v>12</v>
      </c>
      <c r="E165" s="64" t="n">
        <v>1</v>
      </c>
      <c r="F165" s="25" t="s">
        <v>179</v>
      </c>
      <c r="G165" s="17" t="n">
        <v>2.99</v>
      </c>
      <c r="H165" s="17" t="n">
        <v>2.99</v>
      </c>
      <c r="I165" s="62" t="n">
        <f aca="false">IF(OR(E165="",G165=""),"",ROUND(E165*G165,2))</f>
        <v>2.99</v>
      </c>
      <c r="J165" s="25" t="str">
        <f aca="false">IF(OR(H165="",I165=""),"",IF(ABS(H165-I165)&lt;=0.02,"OK","≠"))</f>
        <v>OK</v>
      </c>
      <c r="K165" s="16"/>
      <c r="L165" s="1"/>
    </row>
    <row r="166" customFormat="false" ht="15" hidden="false" customHeight="false" outlineLevel="0" collapsed="false">
      <c r="A166" s="1"/>
      <c r="B166" s="32" t="s">
        <v>247</v>
      </c>
      <c r="C166" s="19" t="s">
        <v>248</v>
      </c>
      <c r="D166" s="19" t="s">
        <v>12</v>
      </c>
      <c r="E166" s="65" t="n">
        <v>1</v>
      </c>
      <c r="F166" s="27" t="s">
        <v>179</v>
      </c>
      <c r="G166" s="20" t="n">
        <v>5.45</v>
      </c>
      <c r="H166" s="20" t="n">
        <v>5.45</v>
      </c>
      <c r="I166" s="62" t="n">
        <f aca="false">IF(OR(E166="",G166=""),"",ROUND(E166*G166,2))</f>
        <v>5.45</v>
      </c>
      <c r="J166" s="25" t="str">
        <f aca="false">IF(OR(H166="",I166=""),"",IF(ABS(H166-I166)&lt;=0.02,"OK","≠"))</f>
        <v>OK</v>
      </c>
      <c r="K166" s="16"/>
      <c r="L166" s="1"/>
    </row>
    <row r="167" customFormat="false" ht="15" hidden="false" customHeight="false" outlineLevel="0" collapsed="false">
      <c r="A167" s="1"/>
      <c r="B167" s="30" t="s">
        <v>249</v>
      </c>
      <c r="C167" s="16" t="s">
        <v>250</v>
      </c>
      <c r="D167" s="16" t="s">
        <v>13</v>
      </c>
      <c r="E167" s="64" t="n">
        <v>1</v>
      </c>
      <c r="F167" s="25" t="s">
        <v>179</v>
      </c>
      <c r="G167" s="17" t="n">
        <v>2.75</v>
      </c>
      <c r="H167" s="17" t="n">
        <v>2.75</v>
      </c>
      <c r="I167" s="62" t="n">
        <f aca="false">IF(OR(E167="",G167=""),"",ROUND(E167*G167,2))</f>
        <v>2.75</v>
      </c>
      <c r="J167" s="25" t="str">
        <f aca="false">IF(OR(H167="",I167=""),"",IF(ABS(H167-I167)&lt;=0.02,"OK","≠"))</f>
        <v>OK</v>
      </c>
      <c r="K167" s="16"/>
      <c r="L167" s="1"/>
    </row>
    <row r="168" customFormat="false" ht="15" hidden="false" customHeight="false" outlineLevel="0" collapsed="false">
      <c r="A168" s="1"/>
      <c r="B168" s="32" t="s">
        <v>249</v>
      </c>
      <c r="C168" s="19" t="s">
        <v>250</v>
      </c>
      <c r="D168" s="19" t="s">
        <v>13</v>
      </c>
      <c r="E168" s="65" t="n">
        <v>1</v>
      </c>
      <c r="F168" s="27" t="s">
        <v>179</v>
      </c>
      <c r="G168" s="20" t="n">
        <v>2.75</v>
      </c>
      <c r="H168" s="20" t="n">
        <v>2.75</v>
      </c>
      <c r="I168" s="62" t="n">
        <f aca="false">IF(OR(E168="",G168=""),"",ROUND(E168*G168,2))</f>
        <v>2.75</v>
      </c>
      <c r="J168" s="25" t="str">
        <f aca="false">IF(OR(H168="",I168=""),"",IF(ABS(H168-I168)&lt;=0.02,"OK","≠"))</f>
        <v>OK</v>
      </c>
      <c r="K168" s="16"/>
      <c r="L168" s="1"/>
    </row>
    <row r="169" customFormat="false" ht="15" hidden="false" customHeight="false" outlineLevel="0" collapsed="false">
      <c r="A169" s="1"/>
      <c r="B169" s="30" t="s">
        <v>251</v>
      </c>
      <c r="C169" s="16" t="s">
        <v>252</v>
      </c>
      <c r="D169" s="16" t="s">
        <v>14</v>
      </c>
      <c r="E169" s="64" t="n">
        <v>0.184</v>
      </c>
      <c r="F169" s="25" t="s">
        <v>176</v>
      </c>
      <c r="G169" s="17" t="n">
        <v>45</v>
      </c>
      <c r="H169" s="17" t="n">
        <v>8.28</v>
      </c>
      <c r="I169" s="62" t="n">
        <f aca="false">IF(OR(E169="",G169=""),"",ROUND(E169*G169,2))</f>
        <v>8.28</v>
      </c>
      <c r="J169" s="25" t="str">
        <f aca="false">IF(OR(H169="",I169=""),"",IF(ABS(H169-I169)&lt;=0.02,"OK","≠"))</f>
        <v>OK</v>
      </c>
      <c r="K169" s="16"/>
      <c r="L169" s="1"/>
    </row>
    <row r="170" customFormat="false" ht="15" hidden="false" customHeight="false" outlineLevel="0" collapsed="false">
      <c r="A170" s="1"/>
      <c r="B170" s="32" t="s">
        <v>253</v>
      </c>
      <c r="C170" s="19" t="s">
        <v>254</v>
      </c>
      <c r="D170" s="19" t="s">
        <v>12</v>
      </c>
      <c r="E170" s="65" t="n">
        <v>1</v>
      </c>
      <c r="F170" s="27" t="s">
        <v>179</v>
      </c>
      <c r="G170" s="20" t="n">
        <v>7.7</v>
      </c>
      <c r="H170" s="20" t="n">
        <v>7.7</v>
      </c>
      <c r="I170" s="62" t="n">
        <f aca="false">IF(OR(E170="",G170=""),"",ROUND(E170*G170,2))</f>
        <v>7.7</v>
      </c>
      <c r="J170" s="25" t="str">
        <f aca="false">IF(OR(H170="",I170=""),"",IF(ABS(H170-I170)&lt;=0.02,"OK","≠"))</f>
        <v>OK</v>
      </c>
      <c r="K170" s="16"/>
      <c r="L170" s="1"/>
    </row>
    <row r="171" customFormat="false" ht="15" hidden="false" customHeight="false" outlineLevel="0" collapsed="false">
      <c r="A171" s="1"/>
      <c r="B171" s="30" t="s">
        <v>255</v>
      </c>
      <c r="C171" s="16" t="s">
        <v>256</v>
      </c>
      <c r="D171" s="16" t="s">
        <v>12</v>
      </c>
      <c r="E171" s="64" t="n">
        <v>1</v>
      </c>
      <c r="F171" s="25" t="s">
        <v>179</v>
      </c>
      <c r="G171" s="17" t="n">
        <v>5.99</v>
      </c>
      <c r="H171" s="17" t="n">
        <v>5.99</v>
      </c>
      <c r="I171" s="62" t="n">
        <f aca="false">IF(OR(E171="",G171=""),"",ROUND(E171*G171,2))</f>
        <v>5.99</v>
      </c>
      <c r="J171" s="25" t="str">
        <f aca="false">IF(OR(H171="",I171=""),"",IF(ABS(H171-I171)&lt;=0.02,"OK","≠"))</f>
        <v>OK</v>
      </c>
      <c r="K171" s="16"/>
      <c r="L171" s="1"/>
    </row>
    <row r="172" customFormat="false" ht="15" hidden="false" customHeight="false" outlineLevel="0" collapsed="false">
      <c r="A172" s="1"/>
      <c r="B172" s="32" t="s">
        <v>186</v>
      </c>
      <c r="C172" s="19" t="s">
        <v>257</v>
      </c>
      <c r="D172" s="19" t="s">
        <v>12</v>
      </c>
      <c r="E172" s="65" t="n">
        <v>1</v>
      </c>
      <c r="F172" s="27" t="s">
        <v>179</v>
      </c>
      <c r="G172" s="20" t="n">
        <v>4.25</v>
      </c>
      <c r="H172" s="20" t="n">
        <v>4.25</v>
      </c>
      <c r="I172" s="62" t="n">
        <f aca="false">IF(OR(E172="",G172=""),"",ROUND(E172*G172,2))</f>
        <v>4.25</v>
      </c>
      <c r="J172" s="25" t="str">
        <f aca="false">IF(OR(H172="",I172=""),"",IF(ABS(H172-I172)&lt;=0.02,"OK","≠"))</f>
        <v>OK</v>
      </c>
      <c r="K172" s="16"/>
      <c r="L172" s="1"/>
    </row>
    <row r="173" customFormat="false" ht="15" hidden="false" customHeight="false" outlineLevel="0" collapsed="false">
      <c r="A173" s="1"/>
      <c r="B173" s="30" t="s">
        <v>258</v>
      </c>
      <c r="C173" s="16" t="s">
        <v>259</v>
      </c>
      <c r="D173" s="16" t="s">
        <v>22</v>
      </c>
      <c r="E173" s="64" t="n">
        <v>1</v>
      </c>
      <c r="F173" s="25" t="s">
        <v>179</v>
      </c>
      <c r="G173" s="17" t="n">
        <v>2.99</v>
      </c>
      <c r="H173" s="17" t="n">
        <v>2.99</v>
      </c>
      <c r="I173" s="62" t="n">
        <f aca="false">IF(OR(E173="",G173=""),"",ROUND(E173*G173,2))</f>
        <v>2.99</v>
      </c>
      <c r="J173" s="25" t="str">
        <f aca="false">IF(OR(H173="",I173=""),"",IF(ABS(H173-I173)&lt;=0.02,"OK","≠"))</f>
        <v>OK</v>
      </c>
      <c r="K173" s="16"/>
      <c r="L173" s="1"/>
    </row>
    <row r="174" customFormat="false" ht="15" hidden="false" customHeight="false" outlineLevel="0" collapsed="false">
      <c r="A174" s="1"/>
      <c r="B174" s="32" t="s">
        <v>260</v>
      </c>
      <c r="C174" s="19" t="s">
        <v>261</v>
      </c>
      <c r="D174" s="19" t="s">
        <v>12</v>
      </c>
      <c r="E174" s="65" t="n">
        <v>1</v>
      </c>
      <c r="F174" s="27" t="s">
        <v>179</v>
      </c>
      <c r="G174" s="20" t="n">
        <v>10.2</v>
      </c>
      <c r="H174" s="20" t="n">
        <v>10.2</v>
      </c>
      <c r="I174" s="62" t="n">
        <f aca="false">IF(OR(E174="",G174=""),"",ROUND(E174*G174,2))</f>
        <v>10.2</v>
      </c>
      <c r="J174" s="25" t="str">
        <f aca="false">IF(OR(H174="",I174=""),"",IF(ABS(H174-I174)&lt;=0.02,"OK","≠"))</f>
        <v>OK</v>
      </c>
      <c r="K174" s="16"/>
      <c r="L174" s="1"/>
    </row>
    <row r="175" customFormat="false" ht="15" hidden="false" customHeight="false" outlineLevel="0" collapsed="false">
      <c r="A175" s="1"/>
      <c r="B175" s="30" t="s">
        <v>262</v>
      </c>
      <c r="C175" s="16" t="s">
        <v>263</v>
      </c>
      <c r="D175" s="16" t="s">
        <v>14</v>
      </c>
      <c r="E175" s="64" t="n">
        <v>1</v>
      </c>
      <c r="F175" s="25" t="s">
        <v>179</v>
      </c>
      <c r="G175" s="17" t="n">
        <v>6.55</v>
      </c>
      <c r="H175" s="17" t="n">
        <v>6.55</v>
      </c>
      <c r="I175" s="62" t="n">
        <f aca="false">IF(OR(E175="",G175=""),"",ROUND(E175*G175,2))</f>
        <v>6.55</v>
      </c>
      <c r="J175" s="25" t="str">
        <f aca="false">IF(OR(H175="",I175=""),"",IF(ABS(H175-I175)&lt;=0.02,"OK","≠"))</f>
        <v>OK</v>
      </c>
      <c r="K175" s="16"/>
      <c r="L175" s="1"/>
    </row>
    <row r="176" customFormat="false" ht="15" hidden="false" customHeight="false" outlineLevel="0" collapsed="false">
      <c r="A176" s="1"/>
      <c r="B176" s="32" t="s">
        <v>196</v>
      </c>
      <c r="C176" s="19" t="s">
        <v>264</v>
      </c>
      <c r="D176" s="19" t="s">
        <v>14</v>
      </c>
      <c r="E176" s="65" t="n">
        <v>0.544</v>
      </c>
      <c r="F176" s="27" t="s">
        <v>176</v>
      </c>
      <c r="G176" s="20" t="n">
        <v>14.9</v>
      </c>
      <c r="H176" s="20" t="n">
        <v>8.11</v>
      </c>
      <c r="I176" s="62" t="n">
        <f aca="false">IF(OR(E176="",G176=""),"",ROUND(E176*G176,2))</f>
        <v>8.11</v>
      </c>
      <c r="J176" s="25" t="str">
        <f aca="false">IF(OR(H176="",I176=""),"",IF(ABS(H176-I176)&lt;=0.02,"OK","≠"))</f>
        <v>OK</v>
      </c>
      <c r="K176" s="16"/>
      <c r="L176" s="1"/>
    </row>
    <row r="177" customFormat="false" ht="15" hidden="false" customHeight="false" outlineLevel="0" collapsed="false">
      <c r="A177" s="1"/>
      <c r="B177" s="30" t="s">
        <v>265</v>
      </c>
      <c r="C177" s="16" t="s">
        <v>266</v>
      </c>
      <c r="D177" s="16" t="s">
        <v>12</v>
      </c>
      <c r="E177" s="64" t="n">
        <v>1</v>
      </c>
      <c r="F177" s="25" t="s">
        <v>179</v>
      </c>
      <c r="G177" s="17" t="n">
        <v>23.99</v>
      </c>
      <c r="H177" s="17" t="n">
        <v>23.99</v>
      </c>
      <c r="I177" s="62" t="n">
        <f aca="false">IF(OR(E177="",G177=""),"",ROUND(E177*G177,2))</f>
        <v>23.99</v>
      </c>
      <c r="J177" s="25" t="str">
        <f aca="false">IF(OR(H177="",I177=""),"",IF(ABS(H177-I177)&lt;=0.02,"OK","≠"))</f>
        <v>OK</v>
      </c>
      <c r="K177" s="16"/>
      <c r="L177" s="1"/>
    </row>
    <row r="178" customFormat="false" ht="15" hidden="false" customHeight="false" outlineLevel="0" collapsed="false">
      <c r="A178" s="1"/>
      <c r="B178" s="32" t="s">
        <v>267</v>
      </c>
      <c r="C178" s="19" t="s">
        <v>268</v>
      </c>
      <c r="D178" s="19" t="s">
        <v>12</v>
      </c>
      <c r="E178" s="65" t="n">
        <v>1</v>
      </c>
      <c r="F178" s="27" t="s">
        <v>179</v>
      </c>
      <c r="G178" s="20" t="n">
        <v>16.5</v>
      </c>
      <c r="H178" s="20" t="n">
        <v>16.5</v>
      </c>
      <c r="I178" s="62" t="n">
        <f aca="false">IF(OR(E178="",G178=""),"",ROUND(E178*G178,2))</f>
        <v>16.5</v>
      </c>
      <c r="J178" s="25" t="str">
        <f aca="false">IF(OR(H178="",I178=""),"",IF(ABS(H178-I178)&lt;=0.02,"OK","≠"))</f>
        <v>OK</v>
      </c>
      <c r="K178" s="16"/>
      <c r="L178" s="1"/>
    </row>
    <row r="179" customFormat="false" ht="15" hidden="false" customHeight="false" outlineLevel="0" collapsed="false">
      <c r="A179" s="1"/>
      <c r="B179" s="30" t="s">
        <v>269</v>
      </c>
      <c r="C179" s="16" t="s">
        <v>270</v>
      </c>
      <c r="D179" s="16" t="s">
        <v>12</v>
      </c>
      <c r="E179" s="64" t="n">
        <v>1</v>
      </c>
      <c r="F179" s="25" t="s">
        <v>179</v>
      </c>
      <c r="G179" s="17" t="n">
        <v>7.7</v>
      </c>
      <c r="H179" s="17" t="n">
        <v>7.7</v>
      </c>
      <c r="I179" s="62" t="n">
        <f aca="false">IF(OR(E179="",G179=""),"",ROUND(E179*G179,2))</f>
        <v>7.7</v>
      </c>
      <c r="J179" s="25" t="str">
        <f aca="false">IF(OR(H179="",I179=""),"",IF(ABS(H179-I179)&lt;=0.02,"OK","≠"))</f>
        <v>OK</v>
      </c>
      <c r="K179" s="16"/>
      <c r="L179" s="1"/>
    </row>
    <row r="180" customFormat="false" ht="15" hidden="false" customHeight="false" outlineLevel="0" collapsed="false">
      <c r="A180" s="1"/>
      <c r="B180" s="32" t="s">
        <v>271</v>
      </c>
      <c r="C180" s="19" t="s">
        <v>272</v>
      </c>
      <c r="D180" s="19" t="s">
        <v>12</v>
      </c>
      <c r="E180" s="65" t="n">
        <v>1</v>
      </c>
      <c r="F180" s="27" t="s">
        <v>179</v>
      </c>
      <c r="G180" s="20" t="n">
        <v>14.9</v>
      </c>
      <c r="H180" s="20" t="n">
        <v>14.9</v>
      </c>
      <c r="I180" s="62" t="n">
        <f aca="false">IF(OR(E180="",G180=""),"",ROUND(E180*G180,2))</f>
        <v>14.9</v>
      </c>
      <c r="J180" s="25" t="str">
        <f aca="false">IF(OR(H180="",I180=""),"",IF(ABS(H180-I180)&lt;=0.02,"OK","≠"))</f>
        <v>OK</v>
      </c>
      <c r="K180" s="16"/>
      <c r="L180" s="1"/>
    </row>
    <row r="181" customFormat="false" ht="15" hidden="false" customHeight="false" outlineLevel="0" collapsed="false">
      <c r="A181" s="1"/>
      <c r="B181" s="30" t="s">
        <v>273</v>
      </c>
      <c r="C181" s="16" t="s">
        <v>274</v>
      </c>
      <c r="D181" s="16" t="s">
        <v>19</v>
      </c>
      <c r="E181" s="64" t="n">
        <v>1</v>
      </c>
      <c r="F181" s="25" t="s">
        <v>179</v>
      </c>
      <c r="G181" s="17" t="n">
        <v>3.5</v>
      </c>
      <c r="H181" s="17" t="n">
        <v>3.5</v>
      </c>
      <c r="I181" s="62" t="n">
        <f aca="false">IF(OR(E181="",G181=""),"",ROUND(E181*G181,2))</f>
        <v>3.5</v>
      </c>
      <c r="J181" s="25" t="str">
        <f aca="false">IF(OR(H181="",I181=""),"",IF(ABS(H181-I181)&lt;=0.02,"OK","≠"))</f>
        <v>OK</v>
      </c>
      <c r="K181" s="16"/>
      <c r="L181" s="1"/>
    </row>
    <row r="182" customFormat="false" ht="15" hidden="false" customHeight="false" outlineLevel="0" collapsed="false">
      <c r="A182" s="1"/>
      <c r="B182" s="32" t="s">
        <v>275</v>
      </c>
      <c r="C182" s="19" t="s">
        <v>276</v>
      </c>
      <c r="D182" s="19" t="s">
        <v>19</v>
      </c>
      <c r="E182" s="65" t="n">
        <v>1</v>
      </c>
      <c r="F182" s="27" t="s">
        <v>179</v>
      </c>
      <c r="G182" s="20" t="n">
        <v>7.45</v>
      </c>
      <c r="H182" s="20" t="n">
        <v>7.45</v>
      </c>
      <c r="I182" s="62" t="n">
        <f aca="false">IF(OR(E182="",G182=""),"",ROUND(E182*G182,2))</f>
        <v>7.45</v>
      </c>
      <c r="J182" s="25" t="str">
        <f aca="false">IF(OR(H182="",I182=""),"",IF(ABS(H182-I182)&lt;=0.02,"OK","≠"))</f>
        <v>OK</v>
      </c>
      <c r="K182" s="16"/>
      <c r="L182" s="1"/>
    </row>
    <row r="183" customFormat="false" ht="15" hidden="false" customHeight="false" outlineLevel="0" collapsed="false">
      <c r="A183" s="1"/>
      <c r="B183" s="30" t="s">
        <v>277</v>
      </c>
      <c r="C183" s="16" t="s">
        <v>278</v>
      </c>
      <c r="D183" s="16" t="s">
        <v>19</v>
      </c>
      <c r="E183" s="64" t="n">
        <v>1</v>
      </c>
      <c r="F183" s="25" t="s">
        <v>179</v>
      </c>
      <c r="G183" s="17" t="n">
        <v>16.6</v>
      </c>
      <c r="H183" s="17" t="n">
        <v>16.6</v>
      </c>
      <c r="I183" s="62" t="n">
        <f aca="false">IF(OR(E183="",G183=""),"",ROUND(E183*G183,2))</f>
        <v>16.6</v>
      </c>
      <c r="J183" s="25" t="str">
        <f aca="false">IF(OR(H183="",I183=""),"",IF(ABS(H183-I183)&lt;=0.02,"OK","≠"))</f>
        <v>OK</v>
      </c>
      <c r="K183" s="16"/>
      <c r="L183" s="1"/>
    </row>
    <row r="184" customFormat="false" ht="15" hidden="false" customHeight="false" outlineLevel="0" collapsed="false">
      <c r="A184" s="1"/>
      <c r="B184" s="1"/>
      <c r="C184" s="1"/>
      <c r="D184" s="1"/>
      <c r="E184" s="1"/>
      <c r="F184" s="1"/>
      <c r="G184" s="1"/>
      <c r="H184" s="1"/>
      <c r="I184" s="1"/>
      <c r="J184" s="1"/>
      <c r="K184" s="1"/>
      <c r="L184" s="1"/>
    </row>
    <row r="185" customFormat="false" ht="19.5" hidden="false" customHeight="true" outlineLevel="0" collapsed="false">
      <c r="A185" s="1"/>
      <c r="B185" s="63" t="s">
        <v>279</v>
      </c>
      <c r="C185" s="63"/>
      <c r="D185" s="63"/>
      <c r="E185" s="63"/>
      <c r="F185" s="63"/>
      <c r="G185" s="63"/>
      <c r="H185" s="63"/>
      <c r="I185" s="63"/>
      <c r="J185" s="63"/>
      <c r="K185" s="63"/>
      <c r="L185" s="1"/>
    </row>
    <row r="186" customFormat="false" ht="15" hidden="false" customHeight="false" outlineLevel="0" collapsed="false">
      <c r="A186" s="1"/>
      <c r="B186" s="50" t="s">
        <v>34</v>
      </c>
      <c r="C186" s="45" t="s">
        <v>38</v>
      </c>
      <c r="D186" s="45"/>
      <c r="E186" s="50" t="s">
        <v>157</v>
      </c>
      <c r="F186" s="50"/>
      <c r="G186" s="45" t="s">
        <v>280</v>
      </c>
      <c r="H186" s="45"/>
      <c r="I186" s="45"/>
      <c r="J186" s="45"/>
      <c r="K186" s="45"/>
      <c r="L186" s="1"/>
    </row>
    <row r="187" customFormat="false" ht="15" hidden="false" customHeight="false" outlineLevel="0" collapsed="false">
      <c r="A187" s="1"/>
      <c r="B187" s="50" t="s">
        <v>78</v>
      </c>
      <c r="C187" s="39" t="n">
        <v>46148</v>
      </c>
      <c r="D187" s="39"/>
      <c r="E187" s="50" t="s">
        <v>80</v>
      </c>
      <c r="F187" s="50"/>
      <c r="G187" s="45" t="s">
        <v>173</v>
      </c>
      <c r="H187" s="45"/>
      <c r="I187" s="45"/>
      <c r="J187" s="45"/>
      <c r="K187" s="45"/>
      <c r="L187" s="1"/>
    </row>
    <row r="188" customFormat="false" ht="15" hidden="false" customHeight="false" outlineLevel="0" collapsed="false">
      <c r="A188" s="1"/>
      <c r="B188" s="50" t="s">
        <v>158</v>
      </c>
      <c r="C188" s="55" t="n">
        <v>3</v>
      </c>
      <c r="D188" s="55"/>
      <c r="E188" s="50" t="s">
        <v>159</v>
      </c>
      <c r="F188" s="50"/>
      <c r="G188" s="56" t="n">
        <v>17.69</v>
      </c>
      <c r="H188" s="56"/>
      <c r="I188" s="56"/>
      <c r="J188" s="56"/>
      <c r="K188" s="56"/>
      <c r="L188" s="1"/>
    </row>
    <row r="189" customFormat="false" ht="15" hidden="false" customHeight="false" outlineLevel="0" collapsed="false">
      <c r="A189" s="1"/>
      <c r="B189" s="50" t="s">
        <v>160</v>
      </c>
      <c r="C189" s="55" t="n">
        <f aca="false">COUNT(H193:H195)</f>
        <v>3</v>
      </c>
      <c r="D189" s="55"/>
      <c r="E189" s="50" t="s">
        <v>161</v>
      </c>
      <c r="F189" s="50"/>
      <c r="G189" s="56" t="n">
        <f aca="false">ROUND(SUM(H193:H195),2)</f>
        <v>17.69</v>
      </c>
      <c r="H189" s="56"/>
      <c r="I189" s="56"/>
      <c r="J189" s="56"/>
      <c r="K189" s="56"/>
      <c r="L189" s="1"/>
    </row>
    <row r="190" customFormat="false" ht="15" hidden="false" customHeight="false" outlineLevel="0" collapsed="false">
      <c r="A190" s="1"/>
      <c r="B190" s="50" t="s">
        <v>162</v>
      </c>
      <c r="C190" s="55" t="n">
        <f aca="false">ROUND(SUMPRODUCT(((F193:F195="KG")+(F193:F195="G"))*1)+SUMPRODUCT((F193:F195&lt;&gt;"KG")*(F193:F195&lt;&gt;"G")*E193:E195),0)</f>
        <v>3</v>
      </c>
      <c r="D190" s="55"/>
      <c r="E190" s="50" t="s">
        <v>163</v>
      </c>
      <c r="F190" s="50"/>
      <c r="G190" s="56" t="n">
        <f aca="false">IF(G188="","",ROUND(G188-G189,2))</f>
        <v>0</v>
      </c>
      <c r="H190" s="56"/>
      <c r="I190" s="56"/>
      <c r="J190" s="56"/>
      <c r="K190" s="56"/>
      <c r="L190" s="1"/>
    </row>
    <row r="191" customFormat="false" ht="15" hidden="false" customHeight="false" outlineLevel="0" collapsed="false">
      <c r="A191" s="1"/>
      <c r="B191" s="50" t="s">
        <v>84</v>
      </c>
      <c r="C191" s="57" t="str">
        <f aca="false">IF(C189=0,"— aguardando lançamento",IF(G188="","SEM TOTAL OFICIAL — informe o total do cupom",IF(AND(OR(C188="",C188=C189,C188=C190),ABS(G190)&lt;=0.05),"FECHADO — itens e valor conferem",IF(ABS(G190)&lt;=0.05,"REVISAR — qtd. de itens não bate","REVISAR — diferença de R$ "&amp;ABS(G190)))))</f>
        <v>FECHADO — itens e valor conferem</v>
      </c>
      <c r="D191" s="57"/>
      <c r="E191" s="57"/>
      <c r="F191" s="57"/>
      <c r="G191" s="50" t="s">
        <v>164</v>
      </c>
      <c r="H191" s="30"/>
      <c r="I191" s="30"/>
      <c r="J191" s="30"/>
      <c r="K191" s="30"/>
      <c r="L191" s="1"/>
    </row>
    <row r="192" customFormat="false" ht="15" hidden="false" customHeight="false" outlineLevel="0" collapsed="false">
      <c r="A192" s="1"/>
      <c r="B192" s="15" t="s">
        <v>165</v>
      </c>
      <c r="C192" s="15" t="s">
        <v>52</v>
      </c>
      <c r="D192" s="15" t="s">
        <v>9</v>
      </c>
      <c r="E192" s="15" t="s">
        <v>166</v>
      </c>
      <c r="F192" s="15" t="s">
        <v>167</v>
      </c>
      <c r="G192" s="15" t="s">
        <v>168</v>
      </c>
      <c r="H192" s="15" t="s">
        <v>10</v>
      </c>
      <c r="I192" s="15" t="s">
        <v>169</v>
      </c>
      <c r="J192" s="15" t="s">
        <v>170</v>
      </c>
      <c r="K192" s="15"/>
      <c r="L192" s="1"/>
    </row>
    <row r="193" customFormat="false" ht="15" hidden="false" customHeight="false" outlineLevel="0" collapsed="false">
      <c r="A193" s="1"/>
      <c r="B193" s="30" t="s">
        <v>281</v>
      </c>
      <c r="C193" s="16" t="s">
        <v>282</v>
      </c>
      <c r="D193" s="16" t="s">
        <v>15</v>
      </c>
      <c r="E193" s="64" t="n">
        <v>0.574</v>
      </c>
      <c r="F193" s="25" t="s">
        <v>176</v>
      </c>
      <c r="G193" s="17" t="n">
        <v>3.48</v>
      </c>
      <c r="H193" s="17" t="n">
        <v>2</v>
      </c>
      <c r="I193" s="62" t="n">
        <f aca="false">IF(OR(E193="",G193=""),"",ROUND(E193*G193,2))</f>
        <v>2</v>
      </c>
      <c r="J193" s="25" t="str">
        <f aca="false">IF(OR(H193="",I193=""),"",IF(ABS(H193-I193)&lt;=0.02,"OK","≠"))</f>
        <v>OK</v>
      </c>
      <c r="K193" s="16"/>
      <c r="L193" s="1"/>
    </row>
    <row r="194" customFormat="false" ht="15" hidden="false" customHeight="false" outlineLevel="0" collapsed="false">
      <c r="A194" s="1"/>
      <c r="B194" s="32" t="s">
        <v>283</v>
      </c>
      <c r="C194" s="19" t="s">
        <v>284</v>
      </c>
      <c r="D194" s="19" t="s">
        <v>15</v>
      </c>
      <c r="E194" s="65" t="n">
        <v>1.504</v>
      </c>
      <c r="F194" s="27" t="s">
        <v>176</v>
      </c>
      <c r="G194" s="20" t="n">
        <v>4.98</v>
      </c>
      <c r="H194" s="20" t="n">
        <v>7.49</v>
      </c>
      <c r="I194" s="62" t="n">
        <f aca="false">IF(OR(E194="",G194=""),"",ROUND(E194*G194,2))</f>
        <v>7.49</v>
      </c>
      <c r="J194" s="25" t="str">
        <f aca="false">IF(OR(H194="",I194=""),"",IF(ABS(H194-I194)&lt;=0.02,"OK","≠"))</f>
        <v>OK</v>
      </c>
      <c r="K194" s="16"/>
      <c r="L194" s="1"/>
    </row>
    <row r="195" customFormat="false" ht="15" hidden="false" customHeight="false" outlineLevel="0" collapsed="false">
      <c r="A195" s="1"/>
      <c r="B195" s="30" t="s">
        <v>285</v>
      </c>
      <c r="C195" s="16" t="s">
        <v>286</v>
      </c>
      <c r="D195" s="16" t="s">
        <v>15</v>
      </c>
      <c r="E195" s="64" t="n">
        <v>0.702</v>
      </c>
      <c r="F195" s="25" t="s">
        <v>176</v>
      </c>
      <c r="G195" s="17" t="n">
        <v>11.68</v>
      </c>
      <c r="H195" s="17" t="n">
        <v>8.2</v>
      </c>
      <c r="I195" s="62" t="n">
        <f aca="false">IF(OR(E195="",G195=""),"",ROUND(E195*G195,2))</f>
        <v>8.2</v>
      </c>
      <c r="J195" s="25" t="str">
        <f aca="false">IF(OR(H195="",I195=""),"",IF(ABS(H195-I195)&lt;=0.02,"OK","≠"))</f>
        <v>OK</v>
      </c>
      <c r="K195" s="16"/>
      <c r="L195" s="1"/>
    </row>
    <row r="196" customFormat="false" ht="15" hidden="false" customHeight="false" outlineLevel="0" collapsed="false">
      <c r="A196" s="1"/>
      <c r="B196" s="1"/>
      <c r="C196" s="1"/>
      <c r="D196" s="1"/>
      <c r="E196" s="1"/>
      <c r="F196" s="1"/>
      <c r="G196" s="1"/>
      <c r="H196" s="1"/>
      <c r="I196" s="1"/>
      <c r="J196" s="1"/>
      <c r="K196" s="1"/>
      <c r="L196" s="1"/>
    </row>
    <row r="197" customFormat="false" ht="19.5" hidden="false" customHeight="true" outlineLevel="0" collapsed="false">
      <c r="A197" s="1"/>
      <c r="B197" s="63" t="s">
        <v>287</v>
      </c>
      <c r="C197" s="63"/>
      <c r="D197" s="63"/>
      <c r="E197" s="63"/>
      <c r="F197" s="63"/>
      <c r="G197" s="63"/>
      <c r="H197" s="63"/>
      <c r="I197" s="63"/>
      <c r="J197" s="63"/>
      <c r="K197" s="63"/>
      <c r="L197" s="1"/>
    </row>
    <row r="198" customFormat="false" ht="15" hidden="false" customHeight="false" outlineLevel="0" collapsed="false">
      <c r="A198" s="1"/>
      <c r="B198" s="50" t="s">
        <v>34</v>
      </c>
      <c r="C198" s="45" t="s">
        <v>37</v>
      </c>
      <c r="D198" s="45"/>
      <c r="E198" s="50" t="s">
        <v>157</v>
      </c>
      <c r="F198" s="50"/>
      <c r="G198" s="45" t="s">
        <v>288</v>
      </c>
      <c r="H198" s="45"/>
      <c r="I198" s="45"/>
      <c r="J198" s="45"/>
      <c r="K198" s="45"/>
      <c r="L198" s="1"/>
    </row>
    <row r="199" customFormat="false" ht="15" hidden="false" customHeight="false" outlineLevel="0" collapsed="false">
      <c r="A199" s="1"/>
      <c r="B199" s="50" t="s">
        <v>78</v>
      </c>
      <c r="C199" s="39" t="n">
        <v>46151</v>
      </c>
      <c r="D199" s="39"/>
      <c r="E199" s="50" t="s">
        <v>80</v>
      </c>
      <c r="F199" s="50"/>
      <c r="G199" s="45" t="s">
        <v>173</v>
      </c>
      <c r="H199" s="45"/>
      <c r="I199" s="45"/>
      <c r="J199" s="45"/>
      <c r="K199" s="45"/>
      <c r="L199" s="1"/>
    </row>
    <row r="200" customFormat="false" ht="15" hidden="false" customHeight="false" outlineLevel="0" collapsed="false">
      <c r="A200" s="1"/>
      <c r="B200" s="50" t="s">
        <v>158</v>
      </c>
      <c r="C200" s="55" t="n">
        <v>2</v>
      </c>
      <c r="D200" s="55"/>
      <c r="E200" s="50" t="s">
        <v>159</v>
      </c>
      <c r="F200" s="50"/>
      <c r="G200" s="56" t="n">
        <v>16.18</v>
      </c>
      <c r="H200" s="56"/>
      <c r="I200" s="56"/>
      <c r="J200" s="56"/>
      <c r="K200" s="56"/>
      <c r="L200" s="1"/>
    </row>
    <row r="201" customFormat="false" ht="15" hidden="false" customHeight="false" outlineLevel="0" collapsed="false">
      <c r="A201" s="1"/>
      <c r="B201" s="50" t="s">
        <v>160</v>
      </c>
      <c r="C201" s="55" t="n">
        <f aca="false">COUNT(H205:H206)</f>
        <v>2</v>
      </c>
      <c r="D201" s="55"/>
      <c r="E201" s="50" t="s">
        <v>161</v>
      </c>
      <c r="F201" s="50"/>
      <c r="G201" s="56" t="n">
        <f aca="false">ROUND(SUM(H205:H206),2)</f>
        <v>16.18</v>
      </c>
      <c r="H201" s="56"/>
      <c r="I201" s="56"/>
      <c r="J201" s="56"/>
      <c r="K201" s="56"/>
      <c r="L201" s="1"/>
    </row>
    <row r="202" customFormat="false" ht="15" hidden="false" customHeight="false" outlineLevel="0" collapsed="false">
      <c r="A202" s="1"/>
      <c r="B202" s="50" t="s">
        <v>162</v>
      </c>
      <c r="C202" s="55" t="n">
        <f aca="false">ROUND(SUMPRODUCT(((F205:F206="KG")+(F205:F206="G"))*1)+SUMPRODUCT((F205:F206&lt;&gt;"KG")*(F205:F206&lt;&gt;"G")*E205:E206),0)</f>
        <v>2</v>
      </c>
      <c r="D202" s="55"/>
      <c r="E202" s="50" t="s">
        <v>163</v>
      </c>
      <c r="F202" s="50"/>
      <c r="G202" s="56" t="n">
        <f aca="false">IF(G200="","",ROUND(G200-G201,2))</f>
        <v>0</v>
      </c>
      <c r="H202" s="56"/>
      <c r="I202" s="56"/>
      <c r="J202" s="56"/>
      <c r="K202" s="56"/>
      <c r="L202" s="1"/>
    </row>
    <row r="203" customFormat="false" ht="15" hidden="false" customHeight="false" outlineLevel="0" collapsed="false">
      <c r="A203" s="1"/>
      <c r="B203" s="50" t="s">
        <v>84</v>
      </c>
      <c r="C203" s="57" t="str">
        <f aca="false">IF(C201=0,"— aguardando lançamento",IF(G200="","SEM TOTAL OFICIAL — informe o total do cupom",IF(AND(OR(C200="",C200=C201,C200=C202),ABS(G202)&lt;=0.05),"FECHADO — itens e valor conferem",IF(ABS(G202)&lt;=0.05,"REVISAR — qtd. de itens não bate","REVISAR — diferença de R$ "&amp;ABS(G202)))))</f>
        <v>FECHADO — itens e valor conferem</v>
      </c>
      <c r="D203" s="57"/>
      <c r="E203" s="57"/>
      <c r="F203" s="57"/>
      <c r="G203" s="50" t="s">
        <v>164</v>
      </c>
      <c r="H203" s="30"/>
      <c r="I203" s="30"/>
      <c r="J203" s="30"/>
      <c r="K203" s="30"/>
      <c r="L203" s="1"/>
    </row>
    <row r="204" customFormat="false" ht="15" hidden="false" customHeight="false" outlineLevel="0" collapsed="false">
      <c r="A204" s="1"/>
      <c r="B204" s="15" t="s">
        <v>165</v>
      </c>
      <c r="C204" s="15" t="s">
        <v>52</v>
      </c>
      <c r="D204" s="15" t="s">
        <v>9</v>
      </c>
      <c r="E204" s="15" t="s">
        <v>166</v>
      </c>
      <c r="F204" s="15" t="s">
        <v>167</v>
      </c>
      <c r="G204" s="15" t="s">
        <v>168</v>
      </c>
      <c r="H204" s="15" t="s">
        <v>10</v>
      </c>
      <c r="I204" s="15" t="s">
        <v>169</v>
      </c>
      <c r="J204" s="15" t="s">
        <v>170</v>
      </c>
      <c r="K204" s="15"/>
      <c r="L204" s="1"/>
    </row>
    <row r="205" customFormat="false" ht="15" hidden="false" customHeight="false" outlineLevel="0" collapsed="false">
      <c r="A205" s="1"/>
      <c r="B205" s="30" t="s">
        <v>289</v>
      </c>
      <c r="C205" s="16" t="s">
        <v>290</v>
      </c>
      <c r="D205" s="16" t="s">
        <v>15</v>
      </c>
      <c r="E205" s="64" t="n">
        <v>0.645</v>
      </c>
      <c r="F205" s="25" t="s">
        <v>176</v>
      </c>
      <c r="G205" s="17" t="n">
        <v>1.98</v>
      </c>
      <c r="H205" s="17" t="n">
        <v>1.28</v>
      </c>
      <c r="I205" s="62" t="n">
        <f aca="false">IF(OR(E205="",G205=""),"",ROUND(E205*G205,2))</f>
        <v>1.28</v>
      </c>
      <c r="J205" s="25" t="str">
        <f aca="false">IF(OR(H205="",I205=""),"",IF(ABS(H205-I205)&lt;=0.02,"OK","≠"))</f>
        <v>OK</v>
      </c>
      <c r="K205" s="16"/>
      <c r="L205" s="1"/>
    </row>
    <row r="206" customFormat="false" ht="15" hidden="false" customHeight="false" outlineLevel="0" collapsed="false">
      <c r="A206" s="1"/>
      <c r="B206" s="32" t="s">
        <v>291</v>
      </c>
      <c r="C206" s="19" t="s">
        <v>292</v>
      </c>
      <c r="D206" s="19" t="s">
        <v>12</v>
      </c>
      <c r="E206" s="65" t="n">
        <v>1</v>
      </c>
      <c r="F206" s="27" t="s">
        <v>179</v>
      </c>
      <c r="G206" s="20" t="n">
        <v>14.9</v>
      </c>
      <c r="H206" s="20" t="n">
        <v>14.9</v>
      </c>
      <c r="I206" s="62" t="n">
        <f aca="false">IF(OR(E206="",G206=""),"",ROUND(E206*G206,2))</f>
        <v>14.9</v>
      </c>
      <c r="J206" s="25" t="str">
        <f aca="false">IF(OR(H206="",I206=""),"",IF(ABS(H206-I206)&lt;=0.02,"OK","≠"))</f>
        <v>OK</v>
      </c>
      <c r="K206" s="16"/>
      <c r="L206" s="1"/>
    </row>
    <row r="207" customFormat="false" ht="15" hidden="false" customHeight="false" outlineLevel="0" collapsed="false">
      <c r="A207" s="1"/>
      <c r="B207" s="1"/>
      <c r="C207" s="1"/>
      <c r="D207" s="1"/>
      <c r="E207" s="1"/>
      <c r="F207" s="1"/>
      <c r="G207" s="1"/>
      <c r="H207" s="1"/>
      <c r="I207" s="1"/>
      <c r="J207" s="1"/>
      <c r="K207" s="1"/>
      <c r="L207" s="1"/>
    </row>
    <row r="208" customFormat="false" ht="19.5" hidden="false" customHeight="true" outlineLevel="0" collapsed="false">
      <c r="A208" s="1"/>
      <c r="B208" s="63" t="s">
        <v>293</v>
      </c>
      <c r="C208" s="63"/>
      <c r="D208" s="63"/>
      <c r="E208" s="63"/>
      <c r="F208" s="63"/>
      <c r="G208" s="63"/>
      <c r="H208" s="63"/>
      <c r="I208" s="63"/>
      <c r="J208" s="63"/>
      <c r="K208" s="63"/>
      <c r="L208" s="1"/>
    </row>
    <row r="209" customFormat="false" ht="15" hidden="false" customHeight="false" outlineLevel="0" collapsed="false">
      <c r="A209" s="1"/>
      <c r="B209" s="50" t="s">
        <v>34</v>
      </c>
      <c r="C209" s="45" t="s">
        <v>41</v>
      </c>
      <c r="D209" s="45"/>
      <c r="E209" s="50" t="s">
        <v>157</v>
      </c>
      <c r="F209" s="50"/>
      <c r="G209" s="45" t="s">
        <v>294</v>
      </c>
      <c r="H209" s="45"/>
      <c r="I209" s="45"/>
      <c r="J209" s="45"/>
      <c r="K209" s="45"/>
      <c r="L209" s="1"/>
    </row>
    <row r="210" customFormat="false" ht="15" hidden="false" customHeight="false" outlineLevel="0" collapsed="false">
      <c r="A210" s="1"/>
      <c r="B210" s="50" t="s">
        <v>78</v>
      </c>
      <c r="C210" s="39" t="n">
        <v>46152</v>
      </c>
      <c r="D210" s="39"/>
      <c r="E210" s="50" t="s">
        <v>80</v>
      </c>
      <c r="F210" s="50"/>
      <c r="G210" s="45" t="s">
        <v>173</v>
      </c>
      <c r="H210" s="45"/>
      <c r="I210" s="45"/>
      <c r="J210" s="45"/>
      <c r="K210" s="45"/>
      <c r="L210" s="1"/>
    </row>
    <row r="211" customFormat="false" ht="15" hidden="false" customHeight="false" outlineLevel="0" collapsed="false">
      <c r="A211" s="1"/>
      <c r="B211" s="50" t="s">
        <v>158</v>
      </c>
      <c r="C211" s="55" t="n">
        <v>2</v>
      </c>
      <c r="D211" s="55"/>
      <c r="E211" s="50" t="s">
        <v>159</v>
      </c>
      <c r="F211" s="50"/>
      <c r="G211" s="56" t="n">
        <v>78.48</v>
      </c>
      <c r="H211" s="56"/>
      <c r="I211" s="56"/>
      <c r="J211" s="56"/>
      <c r="K211" s="56"/>
      <c r="L211" s="1"/>
    </row>
    <row r="212" customFormat="false" ht="15" hidden="false" customHeight="false" outlineLevel="0" collapsed="false">
      <c r="A212" s="1"/>
      <c r="B212" s="50" t="s">
        <v>160</v>
      </c>
      <c r="C212" s="55" t="n">
        <f aca="false">COUNT(H216:H217)</f>
        <v>2</v>
      </c>
      <c r="D212" s="55"/>
      <c r="E212" s="50" t="s">
        <v>161</v>
      </c>
      <c r="F212" s="50"/>
      <c r="G212" s="56" t="n">
        <f aca="false">ROUND(SUM(H216:H217),2)</f>
        <v>78.48</v>
      </c>
      <c r="H212" s="56"/>
      <c r="I212" s="56"/>
      <c r="J212" s="56"/>
      <c r="K212" s="56"/>
      <c r="L212" s="1"/>
    </row>
    <row r="213" customFormat="false" ht="15" hidden="false" customHeight="false" outlineLevel="0" collapsed="false">
      <c r="A213" s="1"/>
      <c r="B213" s="50" t="s">
        <v>162</v>
      </c>
      <c r="C213" s="55" t="n">
        <f aca="false">ROUND(SUMPRODUCT(((F216:F217="KG")+(F216:F217="G"))*1)+SUMPRODUCT((F216:F217&lt;&gt;"KG")*(F216:F217&lt;&gt;"G")*E216:E217),0)</f>
        <v>2</v>
      </c>
      <c r="D213" s="55"/>
      <c r="E213" s="50" t="s">
        <v>163</v>
      </c>
      <c r="F213" s="50"/>
      <c r="G213" s="56" t="n">
        <f aca="false">IF(G211="","",ROUND(G211-G212,2))</f>
        <v>0</v>
      </c>
      <c r="H213" s="56"/>
      <c r="I213" s="56"/>
      <c r="J213" s="56"/>
      <c r="K213" s="56"/>
      <c r="L213" s="1"/>
    </row>
    <row r="214" customFormat="false" ht="15" hidden="false" customHeight="false" outlineLevel="0" collapsed="false">
      <c r="A214" s="1"/>
      <c r="B214" s="50" t="s">
        <v>84</v>
      </c>
      <c r="C214" s="57" t="str">
        <f aca="false">IF(C212=0,"— aguardando lançamento",IF(G211="","SEM TOTAL OFICIAL — informe o total do cupom",IF(AND(OR(C211="",C211=C212,C211=C213),ABS(G213)&lt;=0.05),"FECHADO — itens e valor conferem",IF(ABS(G213)&lt;=0.05,"REVISAR — qtd. de itens não bate","REVISAR — diferença de R$ "&amp;ABS(G213)))))</f>
        <v>FECHADO — itens e valor conferem</v>
      </c>
      <c r="D214" s="57"/>
      <c r="E214" s="57"/>
      <c r="F214" s="57"/>
      <c r="G214" s="50" t="s">
        <v>164</v>
      </c>
      <c r="H214" s="30"/>
      <c r="I214" s="30"/>
      <c r="J214" s="30"/>
      <c r="K214" s="30"/>
      <c r="L214" s="1"/>
    </row>
    <row r="215" customFormat="false" ht="15" hidden="false" customHeight="false" outlineLevel="0" collapsed="false">
      <c r="A215" s="1"/>
      <c r="B215" s="15" t="s">
        <v>165</v>
      </c>
      <c r="C215" s="15" t="s">
        <v>52</v>
      </c>
      <c r="D215" s="15" t="s">
        <v>9</v>
      </c>
      <c r="E215" s="15" t="s">
        <v>166</v>
      </c>
      <c r="F215" s="15" t="s">
        <v>167</v>
      </c>
      <c r="G215" s="15" t="s">
        <v>168</v>
      </c>
      <c r="H215" s="15" t="s">
        <v>10</v>
      </c>
      <c r="I215" s="15" t="s">
        <v>169</v>
      </c>
      <c r="J215" s="15" t="s">
        <v>170</v>
      </c>
      <c r="K215" s="15"/>
      <c r="L215" s="1"/>
    </row>
    <row r="216" customFormat="false" ht="15" hidden="false" customHeight="false" outlineLevel="0" collapsed="false">
      <c r="A216" s="1"/>
      <c r="B216" s="30" t="s">
        <v>295</v>
      </c>
      <c r="C216" s="16" t="s">
        <v>296</v>
      </c>
      <c r="D216" s="16" t="s">
        <v>17</v>
      </c>
      <c r="E216" s="64" t="n">
        <v>1.04</v>
      </c>
      <c r="F216" s="25" t="s">
        <v>176</v>
      </c>
      <c r="G216" s="17" t="n">
        <v>32.9</v>
      </c>
      <c r="H216" s="17" t="n">
        <v>34.22</v>
      </c>
      <c r="I216" s="62" t="n">
        <f aca="false">IF(OR(E216="",G216=""),"",ROUND(E216*G216,2))</f>
        <v>34.22</v>
      </c>
      <c r="J216" s="25" t="str">
        <f aca="false">IF(OR(H216="",I216=""),"",IF(ABS(H216-I216)&lt;=0.02,"OK","≠"))</f>
        <v>OK</v>
      </c>
      <c r="K216" s="16"/>
      <c r="L216" s="1"/>
    </row>
    <row r="217" customFormat="false" ht="15" hidden="false" customHeight="false" outlineLevel="0" collapsed="false">
      <c r="A217" s="1"/>
      <c r="B217" s="32" t="s">
        <v>297</v>
      </c>
      <c r="C217" s="19" t="s">
        <v>298</v>
      </c>
      <c r="D217" s="19" t="s">
        <v>17</v>
      </c>
      <c r="E217" s="65" t="n">
        <v>0.554</v>
      </c>
      <c r="F217" s="27" t="s">
        <v>176</v>
      </c>
      <c r="G217" s="20" t="n">
        <v>79.9</v>
      </c>
      <c r="H217" s="20" t="n">
        <v>44.26</v>
      </c>
      <c r="I217" s="62" t="n">
        <f aca="false">IF(OR(E217="",G217=""),"",ROUND(E217*G217,2))</f>
        <v>44.26</v>
      </c>
      <c r="J217" s="25" t="str">
        <f aca="false">IF(OR(H217="",I217=""),"",IF(ABS(H217-I217)&lt;=0.02,"OK","≠"))</f>
        <v>OK</v>
      </c>
      <c r="K217" s="16"/>
      <c r="L217" s="1"/>
    </row>
    <row r="218" customFormat="false" ht="15" hidden="false" customHeight="false" outlineLevel="0" collapsed="false">
      <c r="A218" s="1"/>
      <c r="B218" s="1"/>
      <c r="C218" s="1"/>
      <c r="D218" s="1"/>
      <c r="E218" s="1"/>
      <c r="F218" s="1"/>
      <c r="G218" s="1"/>
      <c r="H218" s="1"/>
      <c r="I218" s="1"/>
      <c r="J218" s="1"/>
      <c r="K218" s="1"/>
      <c r="L218" s="1"/>
    </row>
    <row r="219" customFormat="false" ht="19.5" hidden="false" customHeight="true" outlineLevel="0" collapsed="false">
      <c r="A219" s="1"/>
      <c r="B219" s="63" t="s">
        <v>299</v>
      </c>
      <c r="C219" s="63"/>
      <c r="D219" s="63"/>
      <c r="E219" s="63"/>
      <c r="F219" s="63"/>
      <c r="G219" s="63"/>
      <c r="H219" s="63"/>
      <c r="I219" s="63"/>
      <c r="J219" s="63"/>
      <c r="K219" s="63"/>
      <c r="L219" s="1"/>
    </row>
    <row r="220" customFormat="false" ht="15" hidden="false" customHeight="false" outlineLevel="0" collapsed="false">
      <c r="A220" s="1"/>
      <c r="B220" s="50" t="s">
        <v>34</v>
      </c>
      <c r="C220" s="45" t="s">
        <v>38</v>
      </c>
      <c r="D220" s="45"/>
      <c r="E220" s="50" t="s">
        <v>157</v>
      </c>
      <c r="F220" s="50"/>
      <c r="G220" s="45" t="s">
        <v>300</v>
      </c>
      <c r="H220" s="45"/>
      <c r="I220" s="45"/>
      <c r="J220" s="45"/>
      <c r="K220" s="45"/>
      <c r="L220" s="1"/>
    </row>
    <row r="221" customFormat="false" ht="15" hidden="false" customHeight="false" outlineLevel="0" collapsed="false">
      <c r="A221" s="1"/>
      <c r="B221" s="50" t="s">
        <v>78</v>
      </c>
      <c r="C221" s="39" t="n">
        <v>46152</v>
      </c>
      <c r="D221" s="39"/>
      <c r="E221" s="50" t="s">
        <v>80</v>
      </c>
      <c r="F221" s="50"/>
      <c r="G221" s="45" t="s">
        <v>173</v>
      </c>
      <c r="H221" s="45"/>
      <c r="I221" s="45"/>
      <c r="J221" s="45"/>
      <c r="K221" s="45"/>
      <c r="L221" s="1"/>
    </row>
    <row r="222" customFormat="false" ht="15" hidden="false" customHeight="false" outlineLevel="0" collapsed="false">
      <c r="A222" s="1"/>
      <c r="B222" s="50" t="s">
        <v>158</v>
      </c>
      <c r="C222" s="55" t="n">
        <v>2</v>
      </c>
      <c r="D222" s="55"/>
      <c r="E222" s="50" t="s">
        <v>159</v>
      </c>
      <c r="F222" s="50"/>
      <c r="G222" s="56" t="n">
        <v>13.73</v>
      </c>
      <c r="H222" s="56"/>
      <c r="I222" s="56"/>
      <c r="J222" s="56"/>
      <c r="K222" s="56"/>
      <c r="L222" s="1"/>
    </row>
    <row r="223" customFormat="false" ht="15" hidden="false" customHeight="false" outlineLevel="0" collapsed="false">
      <c r="A223" s="1"/>
      <c r="B223" s="50" t="s">
        <v>160</v>
      </c>
      <c r="C223" s="55" t="n">
        <f aca="false">COUNT(H227:H228)</f>
        <v>2</v>
      </c>
      <c r="D223" s="55"/>
      <c r="E223" s="50" t="s">
        <v>161</v>
      </c>
      <c r="F223" s="50"/>
      <c r="G223" s="56" t="n">
        <f aca="false">ROUND(SUM(H227:H228),2)</f>
        <v>13.73</v>
      </c>
      <c r="H223" s="56"/>
      <c r="I223" s="56"/>
      <c r="J223" s="56"/>
      <c r="K223" s="56"/>
      <c r="L223" s="1"/>
    </row>
    <row r="224" customFormat="false" ht="15" hidden="false" customHeight="false" outlineLevel="0" collapsed="false">
      <c r="A224" s="1"/>
      <c r="B224" s="50" t="s">
        <v>162</v>
      </c>
      <c r="C224" s="55" t="n">
        <f aca="false">ROUND(SUMPRODUCT(((F227:F228="KG")+(F227:F228="G"))*1)+SUMPRODUCT((F227:F228&lt;&gt;"KG")*(F227:F228&lt;&gt;"G")*E227:E228),0)</f>
        <v>7</v>
      </c>
      <c r="D224" s="55"/>
      <c r="E224" s="50" t="s">
        <v>163</v>
      </c>
      <c r="F224" s="50"/>
      <c r="G224" s="56" t="n">
        <f aca="false">IF(G222="","",ROUND(G222-G223,2))</f>
        <v>0</v>
      </c>
      <c r="H224" s="56"/>
      <c r="I224" s="56"/>
      <c r="J224" s="56"/>
      <c r="K224" s="56"/>
      <c r="L224" s="1"/>
    </row>
    <row r="225" customFormat="false" ht="15" hidden="false" customHeight="false" outlineLevel="0" collapsed="false">
      <c r="A225" s="1"/>
      <c r="B225" s="50" t="s">
        <v>84</v>
      </c>
      <c r="C225" s="57" t="str">
        <f aca="false">IF(C223=0,"— aguardando lançamento",IF(G222="","SEM TOTAL OFICIAL — informe o total do cupom",IF(AND(OR(C222="",C222=C223,C222=C224),ABS(G224)&lt;=0.05),"FECHADO — itens e valor conferem",IF(ABS(G224)&lt;=0.05,"REVISAR — qtd. de itens não bate","REVISAR — diferença de R$ "&amp;ABS(G224)))))</f>
        <v>FECHADO — itens e valor conferem</v>
      </c>
      <c r="D225" s="57"/>
      <c r="E225" s="57"/>
      <c r="F225" s="57"/>
      <c r="G225" s="50" t="s">
        <v>164</v>
      </c>
      <c r="H225" s="30"/>
      <c r="I225" s="30"/>
      <c r="J225" s="30"/>
      <c r="K225" s="30"/>
      <c r="L225" s="1"/>
    </row>
    <row r="226" customFormat="false" ht="15" hidden="false" customHeight="false" outlineLevel="0" collapsed="false">
      <c r="A226" s="1"/>
      <c r="B226" s="15" t="s">
        <v>165</v>
      </c>
      <c r="C226" s="15" t="s">
        <v>52</v>
      </c>
      <c r="D226" s="15" t="s">
        <v>9</v>
      </c>
      <c r="E226" s="15" t="s">
        <v>166</v>
      </c>
      <c r="F226" s="15" t="s">
        <v>167</v>
      </c>
      <c r="G226" s="15" t="s">
        <v>168</v>
      </c>
      <c r="H226" s="15" t="s">
        <v>10</v>
      </c>
      <c r="I226" s="15" t="s">
        <v>169</v>
      </c>
      <c r="J226" s="15" t="s">
        <v>170</v>
      </c>
      <c r="K226" s="15"/>
      <c r="L226" s="1"/>
    </row>
    <row r="227" customFormat="false" ht="15" hidden="false" customHeight="false" outlineLevel="0" collapsed="false">
      <c r="A227" s="1"/>
      <c r="B227" s="30" t="s">
        <v>283</v>
      </c>
      <c r="C227" s="16" t="s">
        <v>284</v>
      </c>
      <c r="D227" s="16" t="s">
        <v>15</v>
      </c>
      <c r="E227" s="64" t="n">
        <v>1.312</v>
      </c>
      <c r="F227" s="25" t="s">
        <v>176</v>
      </c>
      <c r="G227" s="17" t="n">
        <v>4.98</v>
      </c>
      <c r="H227" s="17" t="n">
        <v>6.53</v>
      </c>
      <c r="I227" s="62" t="n">
        <f aca="false">IF(OR(E227="",G227=""),"",ROUND(E227*G227,2))</f>
        <v>6.53</v>
      </c>
      <c r="J227" s="25" t="str">
        <f aca="false">IF(OR(H227="",I227=""),"",IF(ABS(H227-I227)&lt;=0.02,"OK","≠"))</f>
        <v>OK</v>
      </c>
      <c r="K227" s="16"/>
      <c r="L227" s="1"/>
    </row>
    <row r="228" customFormat="false" ht="15" hidden="false" customHeight="false" outlineLevel="0" collapsed="false">
      <c r="A228" s="1"/>
      <c r="B228" s="32" t="s">
        <v>210</v>
      </c>
      <c r="C228" s="19" t="s">
        <v>301</v>
      </c>
      <c r="D228" s="19" t="s">
        <v>12</v>
      </c>
      <c r="E228" s="65" t="n">
        <v>6</v>
      </c>
      <c r="F228" s="27" t="s">
        <v>179</v>
      </c>
      <c r="G228" s="20" t="n">
        <v>1.2</v>
      </c>
      <c r="H228" s="20" t="n">
        <v>7.2</v>
      </c>
      <c r="I228" s="62" t="n">
        <f aca="false">IF(OR(E228="",G228=""),"",ROUND(E228*G228,2))</f>
        <v>7.2</v>
      </c>
      <c r="J228" s="25" t="str">
        <f aca="false">IF(OR(H228="",I228=""),"",IF(ABS(H228-I228)&lt;=0.02,"OK","≠"))</f>
        <v>OK</v>
      </c>
      <c r="K228" s="16"/>
      <c r="L228" s="1"/>
    </row>
    <row r="229" customFormat="false" ht="15" hidden="false" customHeight="false" outlineLevel="0" collapsed="false">
      <c r="A229" s="1"/>
      <c r="B229" s="1"/>
      <c r="C229" s="1"/>
      <c r="D229" s="1"/>
      <c r="E229" s="1"/>
      <c r="F229" s="1"/>
      <c r="G229" s="1"/>
      <c r="H229" s="1"/>
      <c r="I229" s="1"/>
      <c r="J229" s="1"/>
      <c r="K229" s="1"/>
      <c r="L229" s="1"/>
    </row>
    <row r="230" customFormat="false" ht="19.5" hidden="false" customHeight="true" outlineLevel="0" collapsed="false">
      <c r="A230" s="1"/>
      <c r="B230" s="63" t="s">
        <v>302</v>
      </c>
      <c r="C230" s="63"/>
      <c r="D230" s="63"/>
      <c r="E230" s="63"/>
      <c r="F230" s="63"/>
      <c r="G230" s="63"/>
      <c r="H230" s="63"/>
      <c r="I230" s="63"/>
      <c r="J230" s="63"/>
      <c r="K230" s="63"/>
      <c r="L230" s="1"/>
    </row>
    <row r="231" customFormat="false" ht="15" hidden="false" customHeight="false" outlineLevel="0" collapsed="false">
      <c r="A231" s="1"/>
      <c r="B231" s="50" t="s">
        <v>34</v>
      </c>
      <c r="C231" s="45" t="s">
        <v>44</v>
      </c>
      <c r="D231" s="45"/>
      <c r="E231" s="50" t="s">
        <v>157</v>
      </c>
      <c r="F231" s="50"/>
      <c r="G231" s="45" t="s">
        <v>303</v>
      </c>
      <c r="H231" s="45"/>
      <c r="I231" s="45"/>
      <c r="J231" s="45"/>
      <c r="K231" s="45"/>
      <c r="L231" s="1"/>
    </row>
    <row r="232" customFormat="false" ht="15" hidden="false" customHeight="false" outlineLevel="0" collapsed="false">
      <c r="A232" s="1"/>
      <c r="B232" s="50" t="s">
        <v>78</v>
      </c>
      <c r="C232" s="39" t="n">
        <v>46152</v>
      </c>
      <c r="D232" s="39"/>
      <c r="E232" s="50" t="s">
        <v>80</v>
      </c>
      <c r="F232" s="50"/>
      <c r="G232" s="45" t="s">
        <v>173</v>
      </c>
      <c r="H232" s="45"/>
      <c r="I232" s="45"/>
      <c r="J232" s="45"/>
      <c r="K232" s="45"/>
      <c r="L232" s="1"/>
    </row>
    <row r="233" customFormat="false" ht="15" hidden="false" customHeight="false" outlineLevel="0" collapsed="false">
      <c r="A233" s="1"/>
      <c r="B233" s="50" t="s">
        <v>158</v>
      </c>
      <c r="C233" s="55" t="n">
        <v>3</v>
      </c>
      <c r="D233" s="55"/>
      <c r="E233" s="50" t="s">
        <v>159</v>
      </c>
      <c r="F233" s="50"/>
      <c r="G233" s="56" t="n">
        <v>39.96</v>
      </c>
      <c r="H233" s="56"/>
      <c r="I233" s="56"/>
      <c r="J233" s="56"/>
      <c r="K233" s="56"/>
      <c r="L233" s="1"/>
    </row>
    <row r="234" customFormat="false" ht="15" hidden="false" customHeight="false" outlineLevel="0" collapsed="false">
      <c r="A234" s="1"/>
      <c r="B234" s="50" t="s">
        <v>160</v>
      </c>
      <c r="C234" s="55" t="n">
        <f aca="false">COUNT(H238:H240)</f>
        <v>3</v>
      </c>
      <c r="D234" s="55"/>
      <c r="E234" s="50" t="s">
        <v>161</v>
      </c>
      <c r="F234" s="50"/>
      <c r="G234" s="56" t="n">
        <f aca="false">ROUND(SUM(H238:H240),2)</f>
        <v>39.96</v>
      </c>
      <c r="H234" s="56"/>
      <c r="I234" s="56"/>
      <c r="J234" s="56"/>
      <c r="K234" s="56"/>
      <c r="L234" s="1"/>
    </row>
    <row r="235" customFormat="false" ht="15" hidden="false" customHeight="false" outlineLevel="0" collapsed="false">
      <c r="A235" s="1"/>
      <c r="B235" s="50" t="s">
        <v>162</v>
      </c>
      <c r="C235" s="55" t="n">
        <f aca="false">ROUND(SUMPRODUCT(((F238:F240="KG")+(F238:F240="G"))*1)+SUMPRODUCT((F238:F240&lt;&gt;"KG")*(F238:F240&lt;&gt;"G")*E238:E240),0)</f>
        <v>18</v>
      </c>
      <c r="D235" s="55"/>
      <c r="E235" s="50" t="s">
        <v>163</v>
      </c>
      <c r="F235" s="50"/>
      <c r="G235" s="56" t="n">
        <f aca="false">IF(G233="","",ROUND(G233-G234,2))</f>
        <v>0</v>
      </c>
      <c r="H235" s="56"/>
      <c r="I235" s="56"/>
      <c r="J235" s="56"/>
      <c r="K235" s="56"/>
      <c r="L235" s="1"/>
    </row>
    <row r="236" customFormat="false" ht="15" hidden="false" customHeight="false" outlineLevel="0" collapsed="false">
      <c r="A236" s="1"/>
      <c r="B236" s="50" t="s">
        <v>84</v>
      </c>
      <c r="C236" s="57" t="str">
        <f aca="false">IF(C234=0,"— aguardando lançamento",IF(G233="","SEM TOTAL OFICIAL — informe o total do cupom",IF(AND(OR(C233="",C233=C234,C233=C235),ABS(G235)&lt;=0.05),"FECHADO — itens e valor conferem",IF(ABS(G235)&lt;=0.05,"REVISAR — qtd. de itens não bate","REVISAR — diferença de R$ "&amp;ABS(G235)))))</f>
        <v>FECHADO — itens e valor conferem</v>
      </c>
      <c r="D236" s="57"/>
      <c r="E236" s="57"/>
      <c r="F236" s="57"/>
      <c r="G236" s="50" t="s">
        <v>164</v>
      </c>
      <c r="H236" s="30"/>
      <c r="I236" s="30"/>
      <c r="J236" s="30"/>
      <c r="K236" s="30"/>
      <c r="L236" s="1"/>
    </row>
    <row r="237" customFormat="false" ht="15" hidden="false" customHeight="false" outlineLevel="0" collapsed="false">
      <c r="A237" s="1"/>
      <c r="B237" s="15" t="s">
        <v>165</v>
      </c>
      <c r="C237" s="15" t="s">
        <v>52</v>
      </c>
      <c r="D237" s="15" t="s">
        <v>9</v>
      </c>
      <c r="E237" s="15" t="s">
        <v>166</v>
      </c>
      <c r="F237" s="15" t="s">
        <v>167</v>
      </c>
      <c r="G237" s="15" t="s">
        <v>168</v>
      </c>
      <c r="H237" s="15" t="s">
        <v>10</v>
      </c>
      <c r="I237" s="15" t="s">
        <v>169</v>
      </c>
      <c r="J237" s="15" t="s">
        <v>170</v>
      </c>
      <c r="K237" s="15"/>
      <c r="L237" s="1"/>
    </row>
    <row r="238" customFormat="false" ht="15" hidden="false" customHeight="false" outlineLevel="0" collapsed="false">
      <c r="A238" s="1"/>
      <c r="B238" s="30" t="s">
        <v>304</v>
      </c>
      <c r="C238" s="16" t="s">
        <v>305</v>
      </c>
      <c r="D238" s="16" t="s">
        <v>12</v>
      </c>
      <c r="E238" s="64" t="n">
        <v>4</v>
      </c>
      <c r="F238" s="25" t="s">
        <v>306</v>
      </c>
      <c r="G238" s="17" t="n">
        <v>4.99</v>
      </c>
      <c r="H238" s="17" t="n">
        <v>19.96</v>
      </c>
      <c r="I238" s="62" t="n">
        <f aca="false">IF(OR(E238="",G238=""),"",ROUND(E238*G238,2))</f>
        <v>19.96</v>
      </c>
      <c r="J238" s="25" t="str">
        <f aca="false">IF(OR(H238="",I238=""),"",IF(ABS(H238-I238)&lt;=0.02,"OK","≠"))</f>
        <v>OK</v>
      </c>
      <c r="K238" s="16"/>
      <c r="L238" s="1"/>
    </row>
    <row r="239" customFormat="false" ht="15" hidden="false" customHeight="false" outlineLevel="0" collapsed="false">
      <c r="A239" s="1"/>
      <c r="B239" s="32" t="s">
        <v>307</v>
      </c>
      <c r="C239" s="19" t="s">
        <v>308</v>
      </c>
      <c r="D239" s="19" t="s">
        <v>12</v>
      </c>
      <c r="E239" s="65" t="n">
        <v>10</v>
      </c>
      <c r="F239" s="27" t="s">
        <v>179</v>
      </c>
      <c r="G239" s="20" t="n">
        <v>1</v>
      </c>
      <c r="H239" s="20" t="n">
        <v>10</v>
      </c>
      <c r="I239" s="62" t="n">
        <f aca="false">IF(OR(E239="",G239=""),"",ROUND(E239*G239,2))</f>
        <v>10</v>
      </c>
      <c r="J239" s="25" t="str">
        <f aca="false">IF(OR(H239="",I239=""),"",IF(ABS(H239-I239)&lt;=0.02,"OK","≠"))</f>
        <v>OK</v>
      </c>
      <c r="K239" s="16"/>
      <c r="L239" s="1"/>
    </row>
    <row r="240" customFormat="false" ht="15" hidden="false" customHeight="false" outlineLevel="0" collapsed="false">
      <c r="A240" s="1"/>
      <c r="B240" s="30" t="s">
        <v>309</v>
      </c>
      <c r="C240" s="16" t="s">
        <v>310</v>
      </c>
      <c r="D240" s="16" t="s">
        <v>16</v>
      </c>
      <c r="E240" s="64" t="n">
        <v>4</v>
      </c>
      <c r="F240" s="25" t="s">
        <v>311</v>
      </c>
      <c r="G240" s="17" t="n">
        <v>2.5</v>
      </c>
      <c r="H240" s="17" t="n">
        <v>10</v>
      </c>
      <c r="I240" s="62" t="n">
        <f aca="false">IF(OR(E240="",G240=""),"",ROUND(E240*G240,2))</f>
        <v>10</v>
      </c>
      <c r="J240" s="25" t="str">
        <f aca="false">IF(OR(H240="",I240=""),"",IF(ABS(H240-I240)&lt;=0.02,"OK","≠"))</f>
        <v>OK</v>
      </c>
      <c r="K240" s="16"/>
      <c r="L240" s="1"/>
    </row>
    <row r="241" customFormat="false" ht="15" hidden="false" customHeight="false" outlineLevel="0" collapsed="false">
      <c r="A241" s="1"/>
      <c r="B241" s="1"/>
      <c r="C241" s="1"/>
      <c r="D241" s="1"/>
      <c r="E241" s="1"/>
      <c r="F241" s="1"/>
      <c r="G241" s="1"/>
      <c r="H241" s="1"/>
      <c r="I241" s="1"/>
      <c r="J241" s="1"/>
      <c r="K241" s="1"/>
      <c r="L241" s="1"/>
    </row>
    <row r="242" customFormat="false" ht="19.5" hidden="false" customHeight="true" outlineLevel="0" collapsed="false">
      <c r="A242" s="1"/>
      <c r="B242" s="63" t="s">
        <v>312</v>
      </c>
      <c r="C242" s="63"/>
      <c r="D242" s="63"/>
      <c r="E242" s="63"/>
      <c r="F242" s="63"/>
      <c r="G242" s="63"/>
      <c r="H242" s="63"/>
      <c r="I242" s="63"/>
      <c r="J242" s="63"/>
      <c r="K242" s="63"/>
      <c r="L242" s="1"/>
    </row>
    <row r="243" customFormat="false" ht="15" hidden="false" customHeight="false" outlineLevel="0" collapsed="false">
      <c r="A243" s="1"/>
      <c r="B243" s="50" t="s">
        <v>34</v>
      </c>
      <c r="C243" s="45" t="s">
        <v>47</v>
      </c>
      <c r="D243" s="45"/>
      <c r="E243" s="50" t="s">
        <v>157</v>
      </c>
      <c r="F243" s="50"/>
      <c r="G243" s="45" t="s">
        <v>313</v>
      </c>
      <c r="H243" s="45"/>
      <c r="I243" s="45"/>
      <c r="J243" s="45"/>
      <c r="K243" s="45"/>
      <c r="L243" s="1"/>
    </row>
    <row r="244" customFormat="false" ht="15" hidden="false" customHeight="false" outlineLevel="0" collapsed="false">
      <c r="A244" s="1"/>
      <c r="B244" s="50" t="s">
        <v>78</v>
      </c>
      <c r="C244" s="39" t="n">
        <v>46152</v>
      </c>
      <c r="D244" s="39"/>
      <c r="E244" s="50" t="s">
        <v>80</v>
      </c>
      <c r="F244" s="50"/>
      <c r="G244" s="45" t="s">
        <v>173</v>
      </c>
      <c r="H244" s="45"/>
      <c r="I244" s="45"/>
      <c r="J244" s="45"/>
      <c r="K244" s="45"/>
      <c r="L244" s="1"/>
    </row>
    <row r="245" customFormat="false" ht="15" hidden="false" customHeight="false" outlineLevel="0" collapsed="false">
      <c r="A245" s="1"/>
      <c r="B245" s="50" t="s">
        <v>158</v>
      </c>
      <c r="C245" s="55" t="n">
        <v>3</v>
      </c>
      <c r="D245" s="55"/>
      <c r="E245" s="50" t="s">
        <v>159</v>
      </c>
      <c r="F245" s="50"/>
      <c r="G245" s="56" t="n">
        <v>18.18</v>
      </c>
      <c r="H245" s="56"/>
      <c r="I245" s="56"/>
      <c r="J245" s="56"/>
      <c r="K245" s="56"/>
      <c r="L245" s="1"/>
    </row>
    <row r="246" customFormat="false" ht="15" hidden="false" customHeight="false" outlineLevel="0" collapsed="false">
      <c r="A246" s="1"/>
      <c r="B246" s="50" t="s">
        <v>160</v>
      </c>
      <c r="C246" s="55" t="n">
        <f aca="false">COUNT(H250:H252)</f>
        <v>3</v>
      </c>
      <c r="D246" s="55"/>
      <c r="E246" s="50" t="s">
        <v>161</v>
      </c>
      <c r="F246" s="50"/>
      <c r="G246" s="56" t="n">
        <f aca="false">ROUND(SUM(H250:H252),2)</f>
        <v>18.18</v>
      </c>
      <c r="H246" s="56"/>
      <c r="I246" s="56"/>
      <c r="J246" s="56"/>
      <c r="K246" s="56"/>
      <c r="L246" s="1"/>
    </row>
    <row r="247" customFormat="false" ht="15" hidden="false" customHeight="false" outlineLevel="0" collapsed="false">
      <c r="A247" s="1"/>
      <c r="B247" s="50" t="s">
        <v>162</v>
      </c>
      <c r="C247" s="55" t="n">
        <f aca="false">ROUND(SUMPRODUCT(((F250:F252="KG")+(F250:F252="G"))*1)+SUMPRODUCT((F250:F252&lt;&gt;"KG")*(F250:F252&lt;&gt;"G")*E250:E252),0)</f>
        <v>3</v>
      </c>
      <c r="D247" s="55"/>
      <c r="E247" s="50" t="s">
        <v>163</v>
      </c>
      <c r="F247" s="50"/>
      <c r="G247" s="56" t="n">
        <f aca="false">IF(G245="","",ROUND(G245-G246,2))</f>
        <v>0</v>
      </c>
      <c r="H247" s="56"/>
      <c r="I247" s="56"/>
      <c r="J247" s="56"/>
      <c r="K247" s="56"/>
      <c r="L247" s="1"/>
    </row>
    <row r="248" customFormat="false" ht="15" hidden="false" customHeight="false" outlineLevel="0" collapsed="false">
      <c r="A248" s="1"/>
      <c r="B248" s="50" t="s">
        <v>84</v>
      </c>
      <c r="C248" s="57" t="str">
        <f aca="false">IF(C246=0,"— aguardando lançamento",IF(G245="","SEM TOTAL OFICIAL — informe o total do cupom",IF(AND(OR(C245="",C245=C246,C245=C247),ABS(G247)&lt;=0.05),"FECHADO — itens e valor conferem",IF(ABS(G247)&lt;=0.05,"REVISAR — qtd. de itens não bate","REVISAR — diferença de R$ "&amp;ABS(G247)))))</f>
        <v>FECHADO — itens e valor conferem</v>
      </c>
      <c r="D248" s="57"/>
      <c r="E248" s="57"/>
      <c r="F248" s="57"/>
      <c r="G248" s="50" t="s">
        <v>164</v>
      </c>
      <c r="H248" s="30"/>
      <c r="I248" s="30"/>
      <c r="J248" s="30"/>
      <c r="K248" s="30"/>
      <c r="L248" s="1"/>
    </row>
    <row r="249" customFormat="false" ht="15" hidden="false" customHeight="false" outlineLevel="0" collapsed="false">
      <c r="A249" s="1"/>
      <c r="B249" s="15" t="s">
        <v>165</v>
      </c>
      <c r="C249" s="15" t="s">
        <v>52</v>
      </c>
      <c r="D249" s="15" t="s">
        <v>9</v>
      </c>
      <c r="E249" s="15" t="s">
        <v>166</v>
      </c>
      <c r="F249" s="15" t="s">
        <v>167</v>
      </c>
      <c r="G249" s="15" t="s">
        <v>168</v>
      </c>
      <c r="H249" s="15" t="s">
        <v>10</v>
      </c>
      <c r="I249" s="15" t="s">
        <v>169</v>
      </c>
      <c r="J249" s="15" t="s">
        <v>170</v>
      </c>
      <c r="K249" s="15"/>
      <c r="L249" s="1"/>
    </row>
    <row r="250" customFormat="false" ht="15" hidden="false" customHeight="false" outlineLevel="0" collapsed="false">
      <c r="A250" s="1"/>
      <c r="B250" s="30" t="s">
        <v>314</v>
      </c>
      <c r="C250" s="16" t="s">
        <v>315</v>
      </c>
      <c r="D250" s="16" t="s">
        <v>16</v>
      </c>
      <c r="E250" s="64" t="n">
        <v>1</v>
      </c>
      <c r="F250" s="25" t="s">
        <v>179</v>
      </c>
      <c r="G250" s="17" t="n">
        <v>10.2</v>
      </c>
      <c r="H250" s="17" t="n">
        <v>10.2</v>
      </c>
      <c r="I250" s="62" t="n">
        <f aca="false">IF(OR(E250="",G250=""),"",ROUND(E250*G250,2))</f>
        <v>10.2</v>
      </c>
      <c r="J250" s="25" t="str">
        <f aca="false">IF(OR(H250="",I250=""),"",IF(ABS(H250-I250)&lt;=0.02,"OK","≠"))</f>
        <v>OK</v>
      </c>
      <c r="K250" s="16"/>
      <c r="L250" s="1"/>
    </row>
    <row r="251" customFormat="false" ht="15" hidden="false" customHeight="false" outlineLevel="0" collapsed="false">
      <c r="A251" s="1"/>
      <c r="B251" s="32" t="s">
        <v>316</v>
      </c>
      <c r="C251" s="19" t="s">
        <v>317</v>
      </c>
      <c r="D251" s="19" t="s">
        <v>14</v>
      </c>
      <c r="E251" s="65" t="n">
        <v>1</v>
      </c>
      <c r="F251" s="27" t="s">
        <v>179</v>
      </c>
      <c r="G251" s="20" t="n">
        <v>3.99</v>
      </c>
      <c r="H251" s="20" t="n">
        <v>3.99</v>
      </c>
      <c r="I251" s="62" t="n">
        <f aca="false">IF(OR(E251="",G251=""),"",ROUND(E251*G251,2))</f>
        <v>3.99</v>
      </c>
      <c r="J251" s="25" t="str">
        <f aca="false">IF(OR(H251="",I251=""),"",IF(ABS(H251-I251)&lt;=0.02,"OK","≠"))</f>
        <v>OK</v>
      </c>
      <c r="K251" s="16"/>
      <c r="L251" s="1"/>
    </row>
    <row r="252" customFormat="false" ht="15" hidden="false" customHeight="false" outlineLevel="0" collapsed="false">
      <c r="A252" s="1"/>
      <c r="B252" s="30" t="s">
        <v>316</v>
      </c>
      <c r="C252" s="16" t="s">
        <v>317</v>
      </c>
      <c r="D252" s="16" t="s">
        <v>14</v>
      </c>
      <c r="E252" s="64" t="n">
        <v>1</v>
      </c>
      <c r="F252" s="25" t="s">
        <v>179</v>
      </c>
      <c r="G252" s="17" t="n">
        <v>3.99</v>
      </c>
      <c r="H252" s="17" t="n">
        <v>3.99</v>
      </c>
      <c r="I252" s="62" t="n">
        <f aca="false">IF(OR(E252="",G252=""),"",ROUND(E252*G252,2))</f>
        <v>3.99</v>
      </c>
      <c r="J252" s="25" t="str">
        <f aca="false">IF(OR(H252="",I252=""),"",IF(ABS(H252-I252)&lt;=0.02,"OK","≠"))</f>
        <v>OK</v>
      </c>
      <c r="K252" s="16"/>
      <c r="L252" s="1"/>
    </row>
    <row r="253" customFormat="false" ht="15" hidden="false" customHeight="false" outlineLevel="0" collapsed="false">
      <c r="A253" s="1"/>
      <c r="B253" s="1"/>
      <c r="C253" s="1"/>
      <c r="D253" s="1"/>
      <c r="E253" s="1"/>
      <c r="F253" s="1"/>
      <c r="G253" s="1"/>
      <c r="H253" s="1"/>
      <c r="I253" s="1"/>
      <c r="J253" s="1"/>
      <c r="K253" s="1"/>
      <c r="L253" s="1"/>
    </row>
    <row r="254" customFormat="false" ht="19.5" hidden="false" customHeight="true" outlineLevel="0" collapsed="false">
      <c r="A254" s="1"/>
      <c r="B254" s="63" t="s">
        <v>318</v>
      </c>
      <c r="C254" s="63"/>
      <c r="D254" s="63"/>
      <c r="E254" s="63"/>
      <c r="F254" s="63"/>
      <c r="G254" s="63"/>
      <c r="H254" s="63"/>
      <c r="I254" s="63"/>
      <c r="J254" s="63"/>
      <c r="K254" s="63"/>
      <c r="L254" s="1"/>
    </row>
    <row r="255" customFormat="false" ht="15" hidden="false" customHeight="false" outlineLevel="0" collapsed="false">
      <c r="A255" s="1"/>
      <c r="B255" s="50" t="s">
        <v>34</v>
      </c>
      <c r="C255" s="45" t="s">
        <v>36</v>
      </c>
      <c r="D255" s="45"/>
      <c r="E255" s="50" t="s">
        <v>157</v>
      </c>
      <c r="F255" s="50"/>
      <c r="G255" s="45" t="s">
        <v>319</v>
      </c>
      <c r="H255" s="45"/>
      <c r="I255" s="45"/>
      <c r="J255" s="45"/>
      <c r="K255" s="45"/>
      <c r="L255" s="1"/>
    </row>
    <row r="256" customFormat="false" ht="15" hidden="false" customHeight="false" outlineLevel="0" collapsed="false">
      <c r="A256" s="1"/>
      <c r="B256" s="50" t="s">
        <v>78</v>
      </c>
      <c r="C256" s="39" t="n">
        <v>46152</v>
      </c>
      <c r="D256" s="39"/>
      <c r="E256" s="50" t="s">
        <v>80</v>
      </c>
      <c r="F256" s="50"/>
      <c r="G256" s="45" t="s">
        <v>320</v>
      </c>
      <c r="H256" s="45"/>
      <c r="I256" s="45"/>
      <c r="J256" s="45"/>
      <c r="K256" s="45"/>
      <c r="L256" s="1"/>
    </row>
    <row r="257" customFormat="false" ht="15" hidden="false" customHeight="false" outlineLevel="0" collapsed="false">
      <c r="A257" s="1"/>
      <c r="B257" s="50" t="s">
        <v>158</v>
      </c>
      <c r="C257" s="55" t="n">
        <v>3</v>
      </c>
      <c r="D257" s="55"/>
      <c r="E257" s="50" t="s">
        <v>159</v>
      </c>
      <c r="F257" s="50"/>
      <c r="G257" s="56" t="n">
        <v>93.46</v>
      </c>
      <c r="H257" s="56"/>
      <c r="I257" s="56"/>
      <c r="J257" s="56"/>
      <c r="K257" s="56"/>
      <c r="L257" s="1"/>
    </row>
    <row r="258" customFormat="false" ht="15" hidden="false" customHeight="false" outlineLevel="0" collapsed="false">
      <c r="A258" s="1"/>
      <c r="B258" s="50" t="s">
        <v>160</v>
      </c>
      <c r="C258" s="55" t="n">
        <f aca="false">COUNT(H262:H264)</f>
        <v>3</v>
      </c>
      <c r="D258" s="55"/>
      <c r="E258" s="50" t="s">
        <v>161</v>
      </c>
      <c r="F258" s="50"/>
      <c r="G258" s="56" t="n">
        <f aca="false">ROUND(SUM(H262:H264),2)</f>
        <v>93.46</v>
      </c>
      <c r="H258" s="56"/>
      <c r="I258" s="56"/>
      <c r="J258" s="56"/>
      <c r="K258" s="56"/>
      <c r="L258" s="1"/>
    </row>
    <row r="259" customFormat="false" ht="15" hidden="false" customHeight="false" outlineLevel="0" collapsed="false">
      <c r="A259" s="1"/>
      <c r="B259" s="50" t="s">
        <v>162</v>
      </c>
      <c r="C259" s="55" t="n">
        <f aca="false">ROUND(SUMPRODUCT(((F262:F264="KG")+(F262:F264="G"))*1)+SUMPRODUCT((F262:F264&lt;&gt;"KG")*(F262:F264&lt;&gt;"G")*E262:E264),0)</f>
        <v>3</v>
      </c>
      <c r="D259" s="55"/>
      <c r="E259" s="50" t="s">
        <v>163</v>
      </c>
      <c r="F259" s="50"/>
      <c r="G259" s="56" t="n">
        <f aca="false">IF(G257="","",ROUND(G257-G258,2))</f>
        <v>0</v>
      </c>
      <c r="H259" s="56"/>
      <c r="I259" s="56"/>
      <c r="J259" s="56"/>
      <c r="K259" s="56"/>
      <c r="L259" s="1"/>
    </row>
    <row r="260" customFormat="false" ht="15" hidden="false" customHeight="false" outlineLevel="0" collapsed="false">
      <c r="A260" s="1"/>
      <c r="B260" s="50" t="s">
        <v>84</v>
      </c>
      <c r="C260" s="57" t="str">
        <f aca="false">IF(C258=0,"— aguardando lançamento",IF(G257="","SEM TOTAL OFICIAL — informe o total do cupom",IF(AND(OR(C257="",C257=C258,C257=C259),ABS(G259)&lt;=0.05),"FECHADO — itens e valor conferem",IF(ABS(G259)&lt;=0.05,"REVISAR — qtd. de itens não bate","REVISAR — diferença de R$ "&amp;ABS(G259)))))</f>
        <v>FECHADO — itens e valor conferem</v>
      </c>
      <c r="D260" s="57"/>
      <c r="E260" s="57"/>
      <c r="F260" s="57"/>
      <c r="G260" s="50" t="s">
        <v>164</v>
      </c>
      <c r="H260" s="30"/>
      <c r="I260" s="30"/>
      <c r="J260" s="30"/>
      <c r="K260" s="30"/>
      <c r="L260" s="1"/>
    </row>
    <row r="261" customFormat="false" ht="15" hidden="false" customHeight="false" outlineLevel="0" collapsed="false">
      <c r="A261" s="1"/>
      <c r="B261" s="15" t="s">
        <v>165</v>
      </c>
      <c r="C261" s="15" t="s">
        <v>52</v>
      </c>
      <c r="D261" s="15" t="s">
        <v>9</v>
      </c>
      <c r="E261" s="15" t="s">
        <v>166</v>
      </c>
      <c r="F261" s="15" t="s">
        <v>167</v>
      </c>
      <c r="G261" s="15" t="s">
        <v>168</v>
      </c>
      <c r="H261" s="15" t="s">
        <v>10</v>
      </c>
      <c r="I261" s="15" t="s">
        <v>169</v>
      </c>
      <c r="J261" s="15" t="s">
        <v>170</v>
      </c>
      <c r="K261" s="15"/>
      <c r="L261" s="1"/>
    </row>
    <row r="262" customFormat="false" ht="15" hidden="false" customHeight="false" outlineLevel="0" collapsed="false">
      <c r="A262" s="1"/>
      <c r="B262" s="30" t="s">
        <v>321</v>
      </c>
      <c r="C262" s="16" t="s">
        <v>322</v>
      </c>
      <c r="D262" s="16" t="s">
        <v>14</v>
      </c>
      <c r="E262" s="64" t="n">
        <v>0.706</v>
      </c>
      <c r="F262" s="25" t="s">
        <v>176</v>
      </c>
      <c r="G262" s="17" t="n">
        <v>79</v>
      </c>
      <c r="H262" s="17" t="n">
        <v>55.77</v>
      </c>
      <c r="I262" s="62" t="n">
        <f aca="false">IF(OR(E262="",G262=""),"",ROUND(E262*G262,2))</f>
        <v>55.77</v>
      </c>
      <c r="J262" s="25" t="str">
        <f aca="false">IF(OR(H262="",I262=""),"",IF(ABS(H262-I262)&lt;=0.02,"OK","≠"))</f>
        <v>OK</v>
      </c>
      <c r="K262" s="16"/>
      <c r="L262" s="1"/>
    </row>
    <row r="263" customFormat="false" ht="15" hidden="false" customHeight="false" outlineLevel="0" collapsed="false">
      <c r="A263" s="1"/>
      <c r="B263" s="32" t="s">
        <v>208</v>
      </c>
      <c r="C263" s="19" t="s">
        <v>323</v>
      </c>
      <c r="D263" s="19" t="s">
        <v>12</v>
      </c>
      <c r="E263" s="65" t="n">
        <v>0.866</v>
      </c>
      <c r="F263" s="27" t="s">
        <v>179</v>
      </c>
      <c r="G263" s="20" t="n">
        <v>34</v>
      </c>
      <c r="H263" s="20" t="n">
        <v>29.44</v>
      </c>
      <c r="I263" s="62" t="n">
        <f aca="false">IF(OR(E263="",G263=""),"",ROUND(E263*G263,2))</f>
        <v>29.44</v>
      </c>
      <c r="J263" s="25" t="str">
        <f aca="false">IF(OR(H263="",I263=""),"",IF(ABS(H263-I263)&lt;=0.02,"OK","≠"))</f>
        <v>OK</v>
      </c>
      <c r="K263" s="16"/>
      <c r="L263" s="1"/>
    </row>
    <row r="264" customFormat="false" ht="15" hidden="false" customHeight="false" outlineLevel="0" collapsed="false">
      <c r="A264" s="1"/>
      <c r="B264" s="30" t="s">
        <v>324</v>
      </c>
      <c r="C264" s="16" t="s">
        <v>325</v>
      </c>
      <c r="D264" s="16" t="s">
        <v>13</v>
      </c>
      <c r="E264" s="64" t="n">
        <v>1</v>
      </c>
      <c r="F264" s="25" t="s">
        <v>179</v>
      </c>
      <c r="G264" s="17" t="n">
        <v>8.25</v>
      </c>
      <c r="H264" s="17" t="n">
        <v>8.25</v>
      </c>
      <c r="I264" s="62" t="n">
        <f aca="false">IF(OR(E264="",G264=""),"",ROUND(E264*G264,2))</f>
        <v>8.25</v>
      </c>
      <c r="J264" s="25" t="str">
        <f aca="false">IF(OR(H264="",I264=""),"",IF(ABS(H264-I264)&lt;=0.02,"OK","≠"))</f>
        <v>OK</v>
      </c>
      <c r="K264" s="16"/>
      <c r="L264" s="1"/>
    </row>
    <row r="265" customFormat="false" ht="15" hidden="false" customHeight="false" outlineLevel="0" collapsed="false">
      <c r="A265" s="1"/>
      <c r="B265" s="1"/>
      <c r="C265" s="1"/>
      <c r="D265" s="1"/>
      <c r="E265" s="1"/>
      <c r="F265" s="1"/>
      <c r="G265" s="1"/>
      <c r="H265" s="1"/>
      <c r="I265" s="1"/>
      <c r="J265" s="1"/>
      <c r="K265" s="1"/>
      <c r="L265" s="1"/>
    </row>
    <row r="266" customFormat="false" ht="19.5" hidden="false" customHeight="true" outlineLevel="0" collapsed="false">
      <c r="A266" s="1"/>
      <c r="B266" s="63" t="s">
        <v>326</v>
      </c>
      <c r="C266" s="63"/>
      <c r="D266" s="63"/>
      <c r="E266" s="63"/>
      <c r="F266" s="63"/>
      <c r="G266" s="63"/>
      <c r="H266" s="63"/>
      <c r="I266" s="63"/>
      <c r="J266" s="63"/>
      <c r="K266" s="63"/>
      <c r="L266" s="1"/>
    </row>
    <row r="267" customFormat="false" ht="15" hidden="false" customHeight="false" outlineLevel="0" collapsed="false">
      <c r="A267" s="1"/>
      <c r="B267" s="50" t="s">
        <v>34</v>
      </c>
      <c r="C267" s="45" t="s">
        <v>43</v>
      </c>
      <c r="D267" s="45"/>
      <c r="E267" s="50" t="s">
        <v>157</v>
      </c>
      <c r="F267" s="50"/>
      <c r="G267" s="45" t="s">
        <v>327</v>
      </c>
      <c r="H267" s="45"/>
      <c r="I267" s="45"/>
      <c r="J267" s="45"/>
      <c r="K267" s="45"/>
      <c r="L267" s="1"/>
    </row>
    <row r="268" customFormat="false" ht="15" hidden="false" customHeight="false" outlineLevel="0" collapsed="false">
      <c r="A268" s="1"/>
      <c r="B268" s="50" t="s">
        <v>78</v>
      </c>
      <c r="C268" s="39" t="n">
        <v>46156</v>
      </c>
      <c r="D268" s="39"/>
      <c r="E268" s="50" t="s">
        <v>80</v>
      </c>
      <c r="F268" s="50"/>
      <c r="G268" s="45" t="s">
        <v>173</v>
      </c>
      <c r="H268" s="45"/>
      <c r="I268" s="45"/>
      <c r="J268" s="45"/>
      <c r="K268" s="45"/>
      <c r="L268" s="1"/>
    </row>
    <row r="269" customFormat="false" ht="15" hidden="false" customHeight="false" outlineLevel="0" collapsed="false">
      <c r="A269" s="1"/>
      <c r="B269" s="50" t="s">
        <v>158</v>
      </c>
      <c r="C269" s="55" t="n">
        <v>2</v>
      </c>
      <c r="D269" s="55"/>
      <c r="E269" s="50" t="s">
        <v>159</v>
      </c>
      <c r="F269" s="50"/>
      <c r="G269" s="56" t="n">
        <v>39.98</v>
      </c>
      <c r="H269" s="56"/>
      <c r="I269" s="56"/>
      <c r="J269" s="56"/>
      <c r="K269" s="56"/>
      <c r="L269" s="1"/>
    </row>
    <row r="270" customFormat="false" ht="15" hidden="false" customHeight="false" outlineLevel="0" collapsed="false">
      <c r="A270" s="1"/>
      <c r="B270" s="50" t="s">
        <v>160</v>
      </c>
      <c r="C270" s="55" t="n">
        <f aca="false">COUNT(H274:H275)</f>
        <v>2</v>
      </c>
      <c r="D270" s="55"/>
      <c r="E270" s="50" t="s">
        <v>161</v>
      </c>
      <c r="F270" s="50"/>
      <c r="G270" s="56" t="n">
        <f aca="false">ROUND(SUM(H274:H275),2)</f>
        <v>39.98</v>
      </c>
      <c r="H270" s="56"/>
      <c r="I270" s="56"/>
      <c r="J270" s="56"/>
      <c r="K270" s="56"/>
      <c r="L270" s="1"/>
    </row>
    <row r="271" customFormat="false" ht="15" hidden="false" customHeight="false" outlineLevel="0" collapsed="false">
      <c r="A271" s="1"/>
      <c r="B271" s="50" t="s">
        <v>162</v>
      </c>
      <c r="C271" s="55" t="n">
        <f aca="false">ROUND(SUMPRODUCT(((F274:F275="KG")+(F274:F275="G"))*1)+SUMPRODUCT((F274:F275&lt;&gt;"KG")*(F274:F275&lt;&gt;"G")*E274:E275),0)</f>
        <v>2</v>
      </c>
      <c r="D271" s="55"/>
      <c r="E271" s="50" t="s">
        <v>163</v>
      </c>
      <c r="F271" s="50"/>
      <c r="G271" s="56" t="n">
        <f aca="false">IF(G269="","",ROUND(G269-G270,2))</f>
        <v>0</v>
      </c>
      <c r="H271" s="56"/>
      <c r="I271" s="56"/>
      <c r="J271" s="56"/>
      <c r="K271" s="56"/>
      <c r="L271" s="1"/>
    </row>
    <row r="272" customFormat="false" ht="15" hidden="false" customHeight="false" outlineLevel="0" collapsed="false">
      <c r="A272" s="1"/>
      <c r="B272" s="50" t="s">
        <v>84</v>
      </c>
      <c r="C272" s="57" t="str">
        <f aca="false">IF(C270=0,"— aguardando lançamento",IF(G269="","SEM TOTAL OFICIAL — informe o total do cupom",IF(AND(OR(C269="",C269=C270,C269=C271),ABS(G271)&lt;=0.05),"FECHADO — itens e valor conferem",IF(ABS(G271)&lt;=0.05,"REVISAR — qtd. de itens não bate","REVISAR — diferença de R$ "&amp;ABS(G271)))))</f>
        <v>FECHADO — itens e valor conferem</v>
      </c>
      <c r="D272" s="57"/>
      <c r="E272" s="57"/>
      <c r="F272" s="57"/>
      <c r="G272" s="50" t="s">
        <v>164</v>
      </c>
      <c r="H272" s="30"/>
      <c r="I272" s="30"/>
      <c r="J272" s="30"/>
      <c r="K272" s="30"/>
      <c r="L272" s="1"/>
    </row>
    <row r="273" customFormat="false" ht="15" hidden="false" customHeight="false" outlineLevel="0" collapsed="false">
      <c r="A273" s="1"/>
      <c r="B273" s="15" t="s">
        <v>165</v>
      </c>
      <c r="C273" s="15" t="s">
        <v>52</v>
      </c>
      <c r="D273" s="15" t="s">
        <v>9</v>
      </c>
      <c r="E273" s="15" t="s">
        <v>166</v>
      </c>
      <c r="F273" s="15" t="s">
        <v>167</v>
      </c>
      <c r="G273" s="15" t="s">
        <v>168</v>
      </c>
      <c r="H273" s="15" t="s">
        <v>10</v>
      </c>
      <c r="I273" s="15" t="s">
        <v>169</v>
      </c>
      <c r="J273" s="15" t="s">
        <v>170</v>
      </c>
      <c r="K273" s="15"/>
      <c r="L273" s="1"/>
    </row>
    <row r="274" customFormat="false" ht="15" hidden="false" customHeight="false" outlineLevel="0" collapsed="false">
      <c r="A274" s="1"/>
      <c r="B274" s="30" t="s">
        <v>328</v>
      </c>
      <c r="C274" s="16" t="s">
        <v>329</v>
      </c>
      <c r="D274" s="16" t="s">
        <v>14</v>
      </c>
      <c r="E274" s="64" t="n">
        <v>1</v>
      </c>
      <c r="F274" s="25" t="s">
        <v>179</v>
      </c>
      <c r="G274" s="17" t="n">
        <v>9.99</v>
      </c>
      <c r="H274" s="17" t="n">
        <v>9.99</v>
      </c>
      <c r="I274" s="62" t="n">
        <f aca="false">IF(OR(E274="",G274=""),"",ROUND(E274*G274,2))</f>
        <v>9.99</v>
      </c>
      <c r="J274" s="25" t="str">
        <f aca="false">IF(OR(H274="",I274=""),"",IF(ABS(H274-I274)&lt;=0.02,"OK","≠"))</f>
        <v>OK</v>
      </c>
      <c r="K274" s="16"/>
      <c r="L274" s="1"/>
    </row>
    <row r="275" customFormat="false" ht="15" hidden="false" customHeight="false" outlineLevel="0" collapsed="false">
      <c r="A275" s="1"/>
      <c r="B275" s="32" t="s">
        <v>330</v>
      </c>
      <c r="C275" s="19" t="s">
        <v>331</v>
      </c>
      <c r="D275" s="19" t="s">
        <v>12</v>
      </c>
      <c r="E275" s="65" t="n">
        <v>1</v>
      </c>
      <c r="F275" s="27" t="s">
        <v>179</v>
      </c>
      <c r="G275" s="20" t="n">
        <v>29.99</v>
      </c>
      <c r="H275" s="20" t="n">
        <v>29.99</v>
      </c>
      <c r="I275" s="62" t="n">
        <f aca="false">IF(OR(E275="",G275=""),"",ROUND(E275*G275,2))</f>
        <v>29.99</v>
      </c>
      <c r="J275" s="25" t="str">
        <f aca="false">IF(OR(H275="",I275=""),"",IF(ABS(H275-I275)&lt;=0.02,"OK","≠"))</f>
        <v>OK</v>
      </c>
      <c r="K275" s="16"/>
      <c r="L275" s="1"/>
    </row>
    <row r="276" customFormat="false" ht="15" hidden="false" customHeight="false" outlineLevel="0" collapsed="false">
      <c r="A276" s="1"/>
      <c r="B276" s="1"/>
      <c r="C276" s="1"/>
      <c r="D276" s="1"/>
      <c r="E276" s="1"/>
      <c r="F276" s="1"/>
      <c r="G276" s="1"/>
      <c r="H276" s="1"/>
      <c r="I276" s="1"/>
      <c r="J276" s="1"/>
      <c r="K276" s="1"/>
      <c r="L276" s="1"/>
    </row>
    <row r="277" customFormat="false" ht="19.5" hidden="false" customHeight="true" outlineLevel="0" collapsed="false">
      <c r="A277" s="1"/>
      <c r="B277" s="63" t="s">
        <v>332</v>
      </c>
      <c r="C277" s="63"/>
      <c r="D277" s="63"/>
      <c r="E277" s="63"/>
      <c r="F277" s="63"/>
      <c r="G277" s="63"/>
      <c r="H277" s="63"/>
      <c r="I277" s="63"/>
      <c r="J277" s="63"/>
      <c r="K277" s="63"/>
      <c r="L277" s="1"/>
    </row>
    <row r="278" customFormat="false" ht="15" hidden="false" customHeight="false" outlineLevel="0" collapsed="false">
      <c r="A278" s="1"/>
      <c r="B278" s="50" t="s">
        <v>34</v>
      </c>
      <c r="C278" s="45" t="s">
        <v>38</v>
      </c>
      <c r="D278" s="45"/>
      <c r="E278" s="50" t="s">
        <v>157</v>
      </c>
      <c r="F278" s="50"/>
      <c r="G278" s="45" t="s">
        <v>333</v>
      </c>
      <c r="H278" s="45"/>
      <c r="I278" s="45"/>
      <c r="J278" s="45"/>
      <c r="K278" s="45"/>
      <c r="L278" s="1"/>
    </row>
    <row r="279" customFormat="false" ht="15" hidden="false" customHeight="false" outlineLevel="0" collapsed="false">
      <c r="A279" s="1"/>
      <c r="B279" s="50" t="s">
        <v>78</v>
      </c>
      <c r="C279" s="39" t="n">
        <v>46156</v>
      </c>
      <c r="D279" s="39"/>
      <c r="E279" s="50" t="s">
        <v>80</v>
      </c>
      <c r="F279" s="50"/>
      <c r="G279" s="45" t="s">
        <v>173</v>
      </c>
      <c r="H279" s="45"/>
      <c r="I279" s="45"/>
      <c r="J279" s="45"/>
      <c r="K279" s="45"/>
      <c r="L279" s="1"/>
    </row>
    <row r="280" customFormat="false" ht="15" hidden="false" customHeight="false" outlineLevel="0" collapsed="false">
      <c r="A280" s="1"/>
      <c r="B280" s="50" t="s">
        <v>158</v>
      </c>
      <c r="C280" s="55" t="n">
        <v>4</v>
      </c>
      <c r="D280" s="55"/>
      <c r="E280" s="50" t="s">
        <v>159</v>
      </c>
      <c r="F280" s="50"/>
      <c r="G280" s="56" t="n">
        <v>30.83</v>
      </c>
      <c r="H280" s="56"/>
      <c r="I280" s="56"/>
      <c r="J280" s="56"/>
      <c r="K280" s="56"/>
      <c r="L280" s="1"/>
    </row>
    <row r="281" customFormat="false" ht="15" hidden="false" customHeight="false" outlineLevel="0" collapsed="false">
      <c r="A281" s="1"/>
      <c r="B281" s="50" t="s">
        <v>160</v>
      </c>
      <c r="C281" s="55" t="n">
        <f aca="false">COUNT(H285:H288)</f>
        <v>4</v>
      </c>
      <c r="D281" s="55"/>
      <c r="E281" s="50" t="s">
        <v>161</v>
      </c>
      <c r="F281" s="50"/>
      <c r="G281" s="56" t="n">
        <f aca="false">ROUND(SUM(H285:H288),2)</f>
        <v>30.83</v>
      </c>
      <c r="H281" s="56"/>
      <c r="I281" s="56"/>
      <c r="J281" s="56"/>
      <c r="K281" s="56"/>
      <c r="L281" s="1"/>
    </row>
    <row r="282" customFormat="false" ht="15" hidden="false" customHeight="false" outlineLevel="0" collapsed="false">
      <c r="A282" s="1"/>
      <c r="B282" s="50" t="s">
        <v>162</v>
      </c>
      <c r="C282" s="55" t="n">
        <f aca="false">ROUND(SUMPRODUCT(((F285:F288="KG")+(F285:F288="G"))*1)+SUMPRODUCT((F285:F288&lt;&gt;"KG")*(F285:F288&lt;&gt;"G")*E285:E288),0)</f>
        <v>15</v>
      </c>
      <c r="D282" s="55"/>
      <c r="E282" s="50" t="s">
        <v>163</v>
      </c>
      <c r="F282" s="50"/>
      <c r="G282" s="56" t="n">
        <f aca="false">IF(G280="","",ROUND(G280-G281,2))</f>
        <v>0</v>
      </c>
      <c r="H282" s="56"/>
      <c r="I282" s="56"/>
      <c r="J282" s="56"/>
      <c r="K282" s="56"/>
      <c r="L282" s="1"/>
    </row>
    <row r="283" customFormat="false" ht="15" hidden="false" customHeight="false" outlineLevel="0" collapsed="false">
      <c r="A283" s="1"/>
      <c r="B283" s="50" t="s">
        <v>84</v>
      </c>
      <c r="C283" s="57" t="str">
        <f aca="false">IF(C281=0,"— aguardando lançamento",IF(G280="","SEM TOTAL OFICIAL — informe o total do cupom",IF(AND(OR(C280="",C280=C281,C280=C282),ABS(G282)&lt;=0.05),"FECHADO — itens e valor conferem",IF(ABS(G282)&lt;=0.05,"REVISAR — qtd. de itens não bate","REVISAR — diferença de R$ "&amp;ABS(G282)))))</f>
        <v>FECHADO — itens e valor conferem</v>
      </c>
      <c r="D283" s="57"/>
      <c r="E283" s="57"/>
      <c r="F283" s="57"/>
      <c r="G283" s="50" t="s">
        <v>164</v>
      </c>
      <c r="H283" s="30"/>
      <c r="I283" s="30"/>
      <c r="J283" s="30"/>
      <c r="K283" s="30"/>
      <c r="L283" s="1"/>
    </row>
    <row r="284" customFormat="false" ht="15" hidden="false" customHeight="false" outlineLevel="0" collapsed="false">
      <c r="A284" s="1"/>
      <c r="B284" s="15" t="s">
        <v>165</v>
      </c>
      <c r="C284" s="15" t="s">
        <v>52</v>
      </c>
      <c r="D284" s="15" t="s">
        <v>9</v>
      </c>
      <c r="E284" s="15" t="s">
        <v>166</v>
      </c>
      <c r="F284" s="15" t="s">
        <v>167</v>
      </c>
      <c r="G284" s="15" t="s">
        <v>168</v>
      </c>
      <c r="H284" s="15" t="s">
        <v>10</v>
      </c>
      <c r="I284" s="15" t="s">
        <v>169</v>
      </c>
      <c r="J284" s="15" t="s">
        <v>170</v>
      </c>
      <c r="K284" s="15"/>
      <c r="L284" s="1"/>
    </row>
    <row r="285" customFormat="false" ht="15" hidden="false" customHeight="false" outlineLevel="0" collapsed="false">
      <c r="A285" s="1"/>
      <c r="B285" s="30" t="s">
        <v>334</v>
      </c>
      <c r="C285" s="16" t="s">
        <v>335</v>
      </c>
      <c r="D285" s="16" t="s">
        <v>15</v>
      </c>
      <c r="E285" s="64" t="n">
        <v>1</v>
      </c>
      <c r="F285" s="25" t="s">
        <v>179</v>
      </c>
      <c r="G285" s="17" t="n">
        <v>9.9</v>
      </c>
      <c r="H285" s="17" t="n">
        <v>9.9</v>
      </c>
      <c r="I285" s="62" t="n">
        <f aca="false">IF(OR(E285="",G285=""),"",ROUND(E285*G285,2))</f>
        <v>9.9</v>
      </c>
      <c r="J285" s="25" t="str">
        <f aca="false">IF(OR(H285="",I285=""),"",IF(ABS(H285-I285)&lt;=0.02,"OK","≠"))</f>
        <v>OK</v>
      </c>
      <c r="K285" s="16"/>
      <c r="L285" s="1"/>
    </row>
    <row r="286" customFormat="false" ht="15" hidden="false" customHeight="false" outlineLevel="0" collapsed="false">
      <c r="A286" s="1"/>
      <c r="B286" s="32" t="s">
        <v>336</v>
      </c>
      <c r="C286" s="19" t="s">
        <v>337</v>
      </c>
      <c r="D286" s="19" t="s">
        <v>15</v>
      </c>
      <c r="E286" s="65" t="n">
        <v>0.136</v>
      </c>
      <c r="F286" s="27" t="s">
        <v>176</v>
      </c>
      <c r="G286" s="20" t="n">
        <v>25.98</v>
      </c>
      <c r="H286" s="20" t="n">
        <v>3.53</v>
      </c>
      <c r="I286" s="62" t="n">
        <f aca="false">IF(OR(E286="",G286=""),"",ROUND(E286*G286,2))</f>
        <v>3.53</v>
      </c>
      <c r="J286" s="25" t="str">
        <f aca="false">IF(OR(H286="",I286=""),"",IF(ABS(H286-I286)&lt;=0.02,"OK","≠"))</f>
        <v>OK</v>
      </c>
      <c r="K286" s="16"/>
      <c r="L286" s="1"/>
    </row>
    <row r="287" customFormat="false" ht="15" hidden="false" customHeight="false" outlineLevel="0" collapsed="false">
      <c r="A287" s="1"/>
      <c r="B287" s="30" t="s">
        <v>338</v>
      </c>
      <c r="C287" s="16" t="s">
        <v>339</v>
      </c>
      <c r="D287" s="16" t="s">
        <v>15</v>
      </c>
      <c r="E287" s="64" t="n">
        <v>0.362</v>
      </c>
      <c r="F287" s="25" t="s">
        <v>176</v>
      </c>
      <c r="G287" s="17" t="n">
        <v>8.28</v>
      </c>
      <c r="H287" s="17" t="n">
        <v>3</v>
      </c>
      <c r="I287" s="62" t="n">
        <f aca="false">IF(OR(E287="",G287=""),"",ROUND(E287*G287,2))</f>
        <v>3</v>
      </c>
      <c r="J287" s="25" t="str">
        <f aca="false">IF(OR(H287="",I287=""),"",IF(ABS(H287-I287)&lt;=0.02,"OK","≠"))</f>
        <v>OK</v>
      </c>
      <c r="K287" s="16"/>
      <c r="L287" s="1"/>
    </row>
    <row r="288" customFormat="false" ht="15" hidden="false" customHeight="false" outlineLevel="0" collapsed="false">
      <c r="A288" s="1"/>
      <c r="B288" s="32" t="s">
        <v>210</v>
      </c>
      <c r="C288" s="19" t="s">
        <v>301</v>
      </c>
      <c r="D288" s="19" t="s">
        <v>12</v>
      </c>
      <c r="E288" s="65" t="n">
        <v>12</v>
      </c>
      <c r="F288" s="27" t="s">
        <v>179</v>
      </c>
      <c r="G288" s="20" t="n">
        <v>1.2</v>
      </c>
      <c r="H288" s="20" t="n">
        <v>14.4</v>
      </c>
      <c r="I288" s="62" t="n">
        <f aca="false">IF(OR(E288="",G288=""),"",ROUND(E288*G288,2))</f>
        <v>14.4</v>
      </c>
      <c r="J288" s="25" t="str">
        <f aca="false">IF(OR(H288="",I288=""),"",IF(ABS(H288-I288)&lt;=0.02,"OK","≠"))</f>
        <v>OK</v>
      </c>
      <c r="K288" s="16"/>
      <c r="L288" s="1"/>
    </row>
    <row r="289" customFormat="false" ht="15" hidden="false" customHeight="false" outlineLevel="0" collapsed="false">
      <c r="A289" s="1"/>
      <c r="B289" s="1"/>
      <c r="C289" s="1"/>
      <c r="D289" s="1"/>
      <c r="E289" s="1"/>
      <c r="F289" s="1"/>
      <c r="G289" s="1"/>
      <c r="H289" s="1"/>
      <c r="I289" s="1"/>
      <c r="J289" s="1"/>
      <c r="K289" s="1"/>
      <c r="L289" s="1"/>
    </row>
    <row r="290" customFormat="false" ht="19.5" hidden="false" customHeight="true" outlineLevel="0" collapsed="false">
      <c r="A290" s="1"/>
      <c r="B290" s="63" t="s">
        <v>340</v>
      </c>
      <c r="C290" s="63"/>
      <c r="D290" s="63"/>
      <c r="E290" s="63"/>
      <c r="F290" s="63"/>
      <c r="G290" s="63"/>
      <c r="H290" s="63"/>
      <c r="I290" s="63"/>
      <c r="J290" s="63"/>
      <c r="K290" s="63"/>
      <c r="L290" s="1"/>
    </row>
    <row r="291" customFormat="false" ht="15" hidden="false" customHeight="false" outlineLevel="0" collapsed="false">
      <c r="A291" s="1"/>
      <c r="B291" s="50" t="s">
        <v>34</v>
      </c>
      <c r="C291" s="45" t="s">
        <v>36</v>
      </c>
      <c r="D291" s="45"/>
      <c r="E291" s="50" t="s">
        <v>157</v>
      </c>
      <c r="F291" s="50"/>
      <c r="G291" s="45" t="s">
        <v>341</v>
      </c>
      <c r="H291" s="45"/>
      <c r="I291" s="45"/>
      <c r="J291" s="45"/>
      <c r="K291" s="45"/>
      <c r="L291" s="1"/>
    </row>
    <row r="292" customFormat="false" ht="15" hidden="false" customHeight="false" outlineLevel="0" collapsed="false">
      <c r="A292" s="1"/>
      <c r="B292" s="50" t="s">
        <v>78</v>
      </c>
      <c r="C292" s="39" t="n">
        <v>46157</v>
      </c>
      <c r="D292" s="39"/>
      <c r="E292" s="50" t="s">
        <v>80</v>
      </c>
      <c r="F292" s="50"/>
      <c r="G292" s="45" t="s">
        <v>173</v>
      </c>
      <c r="H292" s="45"/>
      <c r="I292" s="45"/>
      <c r="J292" s="45"/>
      <c r="K292" s="45"/>
      <c r="L292" s="1"/>
    </row>
    <row r="293" customFormat="false" ht="15" hidden="false" customHeight="false" outlineLevel="0" collapsed="false">
      <c r="A293" s="1"/>
      <c r="B293" s="50" t="s">
        <v>158</v>
      </c>
      <c r="C293" s="55" t="n">
        <v>57</v>
      </c>
      <c r="D293" s="55"/>
      <c r="E293" s="50" t="s">
        <v>159</v>
      </c>
      <c r="F293" s="50"/>
      <c r="G293" s="56" t="n">
        <v>370.63</v>
      </c>
      <c r="H293" s="56"/>
      <c r="I293" s="56"/>
      <c r="J293" s="56"/>
      <c r="K293" s="56"/>
      <c r="L293" s="1"/>
    </row>
    <row r="294" customFormat="false" ht="15" hidden="false" customHeight="false" outlineLevel="0" collapsed="false">
      <c r="A294" s="1"/>
      <c r="B294" s="50" t="s">
        <v>160</v>
      </c>
      <c r="C294" s="55" t="n">
        <f aca="false">COUNT(H298:H347)</f>
        <v>50</v>
      </c>
      <c r="D294" s="55"/>
      <c r="E294" s="50" t="s">
        <v>161</v>
      </c>
      <c r="F294" s="50"/>
      <c r="G294" s="56" t="n">
        <f aca="false">ROUND(SUM(H298:H347),2)</f>
        <v>370.63</v>
      </c>
      <c r="H294" s="56"/>
      <c r="I294" s="56"/>
      <c r="J294" s="56"/>
      <c r="K294" s="56"/>
      <c r="L294" s="1"/>
    </row>
    <row r="295" customFormat="false" ht="15" hidden="false" customHeight="false" outlineLevel="0" collapsed="false">
      <c r="A295" s="1"/>
      <c r="B295" s="50" t="s">
        <v>162</v>
      </c>
      <c r="C295" s="55" t="n">
        <f aca="false">ROUND(SUMPRODUCT(((F298:F347="KG")+(F298:F347="G"))*1)+SUMPRODUCT((F298:F347&lt;&gt;"KG")*(F298:F347&lt;&gt;"G")*E298:E347),0)</f>
        <v>57</v>
      </c>
      <c r="D295" s="55"/>
      <c r="E295" s="50" t="s">
        <v>163</v>
      </c>
      <c r="F295" s="50"/>
      <c r="G295" s="56" t="n">
        <f aca="false">IF(G293="","",ROUND(G293-G294,2))</f>
        <v>0</v>
      </c>
      <c r="H295" s="56"/>
      <c r="I295" s="56"/>
      <c r="J295" s="56"/>
      <c r="K295" s="56"/>
      <c r="L295" s="1"/>
    </row>
    <row r="296" customFormat="false" ht="15" hidden="false" customHeight="false" outlineLevel="0" collapsed="false">
      <c r="A296" s="1"/>
      <c r="B296" s="50" t="s">
        <v>84</v>
      </c>
      <c r="C296" s="57" t="str">
        <f aca="false">IF(C294=0,"— aguardando lançamento",IF(G293="","SEM TOTAL OFICIAL — informe o total do cupom",IF(AND(OR(C293="",C293=C294,C293=C295),ABS(G295)&lt;=0.05),"FECHADO — itens e valor conferem",IF(ABS(G295)&lt;=0.05,"REVISAR — qtd. de itens não bate","REVISAR — diferença de R$ "&amp;ABS(G295)))))</f>
        <v>FECHADO — itens e valor conferem</v>
      </c>
      <c r="D296" s="57"/>
      <c r="E296" s="57"/>
      <c r="F296" s="57"/>
      <c r="G296" s="50" t="s">
        <v>164</v>
      </c>
      <c r="H296" s="30"/>
      <c r="I296" s="30"/>
      <c r="J296" s="30"/>
      <c r="K296" s="30"/>
      <c r="L296" s="1"/>
    </row>
    <row r="297" customFormat="false" ht="15" hidden="false" customHeight="false" outlineLevel="0" collapsed="false">
      <c r="A297" s="1"/>
      <c r="B297" s="15" t="s">
        <v>165</v>
      </c>
      <c r="C297" s="15" t="s">
        <v>52</v>
      </c>
      <c r="D297" s="15" t="s">
        <v>9</v>
      </c>
      <c r="E297" s="15" t="s">
        <v>166</v>
      </c>
      <c r="F297" s="15" t="s">
        <v>167</v>
      </c>
      <c r="G297" s="15" t="s">
        <v>168</v>
      </c>
      <c r="H297" s="15" t="s">
        <v>10</v>
      </c>
      <c r="I297" s="15" t="s">
        <v>169</v>
      </c>
      <c r="J297" s="15" t="s">
        <v>170</v>
      </c>
      <c r="K297" s="15"/>
      <c r="L297" s="1"/>
    </row>
    <row r="298" customFormat="false" ht="15" hidden="false" customHeight="false" outlineLevel="0" collapsed="false">
      <c r="A298" s="1"/>
      <c r="B298" s="30" t="s">
        <v>342</v>
      </c>
      <c r="C298" s="16" t="s">
        <v>343</v>
      </c>
      <c r="D298" s="16" t="s">
        <v>12</v>
      </c>
      <c r="E298" s="64" t="n">
        <v>1</v>
      </c>
      <c r="F298" s="25" t="s">
        <v>179</v>
      </c>
      <c r="G298" s="17" t="n">
        <v>3.6</v>
      </c>
      <c r="H298" s="17" t="n">
        <v>3.6</v>
      </c>
      <c r="I298" s="62" t="n">
        <f aca="false">IF(OR(E298="",G298=""),"",ROUND(E298*G298,2))</f>
        <v>3.6</v>
      </c>
      <c r="J298" s="25" t="str">
        <f aca="false">IF(OR(H298="",I298=""),"",IF(ABS(H298-I298)&lt;=0.02,"OK","≠"))</f>
        <v>OK</v>
      </c>
      <c r="K298" s="16"/>
      <c r="L298" s="1"/>
    </row>
    <row r="299" customFormat="false" ht="15" hidden="false" customHeight="false" outlineLevel="0" collapsed="false">
      <c r="A299" s="1"/>
      <c r="B299" s="32" t="s">
        <v>344</v>
      </c>
      <c r="C299" s="19" t="s">
        <v>345</v>
      </c>
      <c r="D299" s="19" t="s">
        <v>12</v>
      </c>
      <c r="E299" s="65" t="n">
        <v>1</v>
      </c>
      <c r="F299" s="27" t="s">
        <v>179</v>
      </c>
      <c r="G299" s="20" t="n">
        <v>7.99</v>
      </c>
      <c r="H299" s="20" t="n">
        <v>7.99</v>
      </c>
      <c r="I299" s="62" t="n">
        <f aca="false">IF(OR(E299="",G299=""),"",ROUND(E299*G299,2))</f>
        <v>7.99</v>
      </c>
      <c r="J299" s="25" t="str">
        <f aca="false">IF(OR(H299="",I299=""),"",IF(ABS(H299-I299)&lt;=0.02,"OK","≠"))</f>
        <v>OK</v>
      </c>
      <c r="K299" s="16"/>
      <c r="L299" s="1"/>
    </row>
    <row r="300" customFormat="false" ht="15" hidden="false" customHeight="false" outlineLevel="0" collapsed="false">
      <c r="A300" s="1"/>
      <c r="B300" s="30" t="s">
        <v>346</v>
      </c>
      <c r="C300" s="16" t="s">
        <v>347</v>
      </c>
      <c r="D300" s="16" t="s">
        <v>12</v>
      </c>
      <c r="E300" s="64" t="n">
        <v>1</v>
      </c>
      <c r="F300" s="25" t="s">
        <v>179</v>
      </c>
      <c r="G300" s="17" t="n">
        <v>21</v>
      </c>
      <c r="H300" s="17" t="n">
        <v>21</v>
      </c>
      <c r="I300" s="62" t="n">
        <f aca="false">IF(OR(E300="",G300=""),"",ROUND(E300*G300,2))</f>
        <v>21</v>
      </c>
      <c r="J300" s="25" t="str">
        <f aca="false">IF(OR(H300="",I300=""),"",IF(ABS(H300-I300)&lt;=0.02,"OK","≠"))</f>
        <v>OK</v>
      </c>
      <c r="K300" s="16"/>
      <c r="L300" s="1"/>
    </row>
    <row r="301" customFormat="false" ht="15" hidden="false" customHeight="false" outlineLevel="0" collapsed="false">
      <c r="A301" s="1"/>
      <c r="B301" s="32" t="s">
        <v>348</v>
      </c>
      <c r="C301" s="19" t="s">
        <v>349</v>
      </c>
      <c r="D301" s="19" t="s">
        <v>12</v>
      </c>
      <c r="E301" s="65" t="n">
        <v>1</v>
      </c>
      <c r="F301" s="27" t="s">
        <v>179</v>
      </c>
      <c r="G301" s="20" t="n">
        <v>10.7</v>
      </c>
      <c r="H301" s="20" t="n">
        <v>10.7</v>
      </c>
      <c r="I301" s="62" t="n">
        <f aca="false">IF(OR(E301="",G301=""),"",ROUND(E301*G301,2))</f>
        <v>10.7</v>
      </c>
      <c r="J301" s="25" t="str">
        <f aca="false">IF(OR(H301="",I301=""),"",IF(ABS(H301-I301)&lt;=0.02,"OK","≠"))</f>
        <v>OK</v>
      </c>
      <c r="K301" s="16"/>
      <c r="L301" s="1"/>
    </row>
    <row r="302" customFormat="false" ht="15" hidden="false" customHeight="false" outlineLevel="0" collapsed="false">
      <c r="A302" s="1"/>
      <c r="B302" s="30" t="s">
        <v>350</v>
      </c>
      <c r="C302" s="16" t="s">
        <v>351</v>
      </c>
      <c r="D302" s="16" t="s">
        <v>12</v>
      </c>
      <c r="E302" s="64" t="n">
        <v>1</v>
      </c>
      <c r="F302" s="25" t="s">
        <v>179</v>
      </c>
      <c r="G302" s="17" t="n">
        <v>3.89</v>
      </c>
      <c r="H302" s="17" t="n">
        <v>3.89</v>
      </c>
      <c r="I302" s="62" t="n">
        <f aca="false">IF(OR(E302="",G302=""),"",ROUND(E302*G302,2))</f>
        <v>3.89</v>
      </c>
      <c r="J302" s="25" t="str">
        <f aca="false">IF(OR(H302="",I302=""),"",IF(ABS(H302-I302)&lt;=0.02,"OK","≠"))</f>
        <v>OK</v>
      </c>
      <c r="K302" s="16"/>
      <c r="L302" s="1"/>
    </row>
    <row r="303" customFormat="false" ht="15" hidden="false" customHeight="false" outlineLevel="0" collapsed="false">
      <c r="A303" s="1"/>
      <c r="B303" s="32" t="s">
        <v>352</v>
      </c>
      <c r="C303" s="19" t="s">
        <v>353</v>
      </c>
      <c r="D303" s="19" t="s">
        <v>12</v>
      </c>
      <c r="E303" s="65" t="n">
        <v>1</v>
      </c>
      <c r="F303" s="27" t="s">
        <v>179</v>
      </c>
      <c r="G303" s="20" t="n">
        <v>9.2</v>
      </c>
      <c r="H303" s="20" t="n">
        <v>9.2</v>
      </c>
      <c r="I303" s="62" t="n">
        <f aca="false">IF(OR(E303="",G303=""),"",ROUND(E303*G303,2))</f>
        <v>9.2</v>
      </c>
      <c r="J303" s="25" t="str">
        <f aca="false">IF(OR(H303="",I303=""),"",IF(ABS(H303-I303)&lt;=0.02,"OK","≠"))</f>
        <v>OK</v>
      </c>
      <c r="K303" s="16"/>
      <c r="L303" s="1"/>
    </row>
    <row r="304" customFormat="false" ht="15" hidden="false" customHeight="false" outlineLevel="0" collapsed="false">
      <c r="A304" s="1"/>
      <c r="B304" s="30" t="s">
        <v>194</v>
      </c>
      <c r="C304" s="16" t="s">
        <v>354</v>
      </c>
      <c r="D304" s="16" t="s">
        <v>12</v>
      </c>
      <c r="E304" s="64" t="n">
        <v>1</v>
      </c>
      <c r="F304" s="25" t="s">
        <v>179</v>
      </c>
      <c r="G304" s="17" t="n">
        <v>11.99</v>
      </c>
      <c r="H304" s="17" t="n">
        <v>11.99</v>
      </c>
      <c r="I304" s="62" t="n">
        <f aca="false">IF(OR(E304="",G304=""),"",ROUND(E304*G304,2))</f>
        <v>11.99</v>
      </c>
      <c r="J304" s="25" t="str">
        <f aca="false">IF(OR(H304="",I304=""),"",IF(ABS(H304-I304)&lt;=0.02,"OK","≠"))</f>
        <v>OK</v>
      </c>
      <c r="K304" s="16"/>
      <c r="L304" s="1"/>
    </row>
    <row r="305" customFormat="false" ht="15" hidden="false" customHeight="false" outlineLevel="0" collapsed="false">
      <c r="A305" s="1"/>
      <c r="B305" s="32" t="s">
        <v>355</v>
      </c>
      <c r="C305" s="19" t="s">
        <v>356</v>
      </c>
      <c r="D305" s="19" t="s">
        <v>12</v>
      </c>
      <c r="E305" s="65" t="n">
        <v>1</v>
      </c>
      <c r="F305" s="27" t="s">
        <v>179</v>
      </c>
      <c r="G305" s="20" t="n">
        <v>2.95</v>
      </c>
      <c r="H305" s="20" t="n">
        <v>2.95</v>
      </c>
      <c r="I305" s="62" t="n">
        <f aca="false">IF(OR(E305="",G305=""),"",ROUND(E305*G305,2))</f>
        <v>2.95</v>
      </c>
      <c r="J305" s="25" t="str">
        <f aca="false">IF(OR(H305="",I305=""),"",IF(ABS(H305-I305)&lt;=0.02,"OK","≠"))</f>
        <v>OK</v>
      </c>
      <c r="K305" s="16"/>
      <c r="L305" s="1"/>
    </row>
    <row r="306" customFormat="false" ht="15" hidden="false" customHeight="false" outlineLevel="0" collapsed="false">
      <c r="A306" s="1"/>
      <c r="B306" s="30" t="s">
        <v>357</v>
      </c>
      <c r="C306" s="16" t="s">
        <v>358</v>
      </c>
      <c r="D306" s="16" t="s">
        <v>12</v>
      </c>
      <c r="E306" s="64" t="n">
        <v>1</v>
      </c>
      <c r="F306" s="25" t="s">
        <v>179</v>
      </c>
      <c r="G306" s="17" t="n">
        <v>2.75</v>
      </c>
      <c r="H306" s="17" t="n">
        <v>2.75</v>
      </c>
      <c r="I306" s="62" t="n">
        <f aca="false">IF(OR(E306="",G306=""),"",ROUND(E306*G306,2))</f>
        <v>2.75</v>
      </c>
      <c r="J306" s="25" t="str">
        <f aca="false">IF(OR(H306="",I306=""),"",IF(ABS(H306-I306)&lt;=0.02,"OK","≠"))</f>
        <v>OK</v>
      </c>
      <c r="K306" s="16"/>
      <c r="L306" s="1"/>
    </row>
    <row r="307" customFormat="false" ht="15" hidden="false" customHeight="false" outlineLevel="0" collapsed="false">
      <c r="A307" s="1"/>
      <c r="B307" s="32" t="s">
        <v>359</v>
      </c>
      <c r="C307" s="19" t="s">
        <v>360</v>
      </c>
      <c r="D307" s="19" t="s">
        <v>12</v>
      </c>
      <c r="E307" s="65" t="n">
        <v>1</v>
      </c>
      <c r="F307" s="27" t="s">
        <v>179</v>
      </c>
      <c r="G307" s="20" t="n">
        <v>3.85</v>
      </c>
      <c r="H307" s="20" t="n">
        <v>3.85</v>
      </c>
      <c r="I307" s="62" t="n">
        <f aca="false">IF(OR(E307="",G307=""),"",ROUND(E307*G307,2))</f>
        <v>3.85</v>
      </c>
      <c r="J307" s="25" t="str">
        <f aca="false">IF(OR(H307="",I307=""),"",IF(ABS(H307-I307)&lt;=0.02,"OK","≠"))</f>
        <v>OK</v>
      </c>
      <c r="K307" s="16"/>
      <c r="L307" s="1"/>
    </row>
    <row r="308" customFormat="false" ht="15" hidden="false" customHeight="false" outlineLevel="0" collapsed="false">
      <c r="A308" s="1"/>
      <c r="B308" s="30" t="s">
        <v>361</v>
      </c>
      <c r="C308" s="16" t="s">
        <v>362</v>
      </c>
      <c r="D308" s="16" t="s">
        <v>12</v>
      </c>
      <c r="E308" s="64" t="n">
        <v>1</v>
      </c>
      <c r="F308" s="25" t="s">
        <v>179</v>
      </c>
      <c r="G308" s="17" t="n">
        <v>3.85</v>
      </c>
      <c r="H308" s="17" t="n">
        <v>3.85</v>
      </c>
      <c r="I308" s="62" t="n">
        <f aca="false">IF(OR(E308="",G308=""),"",ROUND(E308*G308,2))</f>
        <v>3.85</v>
      </c>
      <c r="J308" s="25" t="str">
        <f aca="false">IF(OR(H308="",I308=""),"",IF(ABS(H308-I308)&lt;=0.02,"OK","≠"))</f>
        <v>OK</v>
      </c>
      <c r="K308" s="16"/>
      <c r="L308" s="1"/>
    </row>
    <row r="309" customFormat="false" ht="15" hidden="false" customHeight="false" outlineLevel="0" collapsed="false">
      <c r="A309" s="1"/>
      <c r="B309" s="32" t="s">
        <v>363</v>
      </c>
      <c r="C309" s="19" t="s">
        <v>364</v>
      </c>
      <c r="D309" s="19" t="s">
        <v>12</v>
      </c>
      <c r="E309" s="65" t="n">
        <v>1</v>
      </c>
      <c r="F309" s="27" t="s">
        <v>179</v>
      </c>
      <c r="G309" s="20" t="n">
        <v>3.5</v>
      </c>
      <c r="H309" s="20" t="n">
        <v>3.5</v>
      </c>
      <c r="I309" s="62" t="n">
        <f aca="false">IF(OR(E309="",G309=""),"",ROUND(E309*G309,2))</f>
        <v>3.5</v>
      </c>
      <c r="J309" s="25" t="str">
        <f aca="false">IF(OR(H309="",I309=""),"",IF(ABS(H309-I309)&lt;=0.02,"OK","≠"))</f>
        <v>OK</v>
      </c>
      <c r="K309" s="16"/>
      <c r="L309" s="1"/>
    </row>
    <row r="310" customFormat="false" ht="15" hidden="false" customHeight="false" outlineLevel="0" collapsed="false">
      <c r="A310" s="1"/>
      <c r="B310" s="30" t="s">
        <v>365</v>
      </c>
      <c r="C310" s="16" t="s">
        <v>366</v>
      </c>
      <c r="D310" s="16" t="s">
        <v>12</v>
      </c>
      <c r="E310" s="64" t="n">
        <v>1</v>
      </c>
      <c r="F310" s="25" t="s">
        <v>179</v>
      </c>
      <c r="G310" s="17" t="n">
        <v>2.85</v>
      </c>
      <c r="H310" s="17" t="n">
        <v>2.85</v>
      </c>
      <c r="I310" s="62" t="n">
        <f aca="false">IF(OR(E310="",G310=""),"",ROUND(E310*G310,2))</f>
        <v>2.85</v>
      </c>
      <c r="J310" s="25" t="str">
        <f aca="false">IF(OR(H310="",I310=""),"",IF(ABS(H310-I310)&lt;=0.02,"OK","≠"))</f>
        <v>OK</v>
      </c>
      <c r="K310" s="16"/>
      <c r="L310" s="1"/>
    </row>
    <row r="311" customFormat="false" ht="15" hidden="false" customHeight="false" outlineLevel="0" collapsed="false">
      <c r="A311" s="1"/>
      <c r="B311" s="32" t="s">
        <v>367</v>
      </c>
      <c r="C311" s="19" t="s">
        <v>368</v>
      </c>
      <c r="D311" s="19" t="s">
        <v>18</v>
      </c>
      <c r="E311" s="65" t="n">
        <v>1</v>
      </c>
      <c r="F311" s="27" t="s">
        <v>179</v>
      </c>
      <c r="G311" s="20" t="n">
        <v>2.35</v>
      </c>
      <c r="H311" s="20" t="n">
        <v>2.35</v>
      </c>
      <c r="I311" s="62" t="n">
        <f aca="false">IF(OR(E311="",G311=""),"",ROUND(E311*G311,2))</f>
        <v>2.35</v>
      </c>
      <c r="J311" s="25" t="str">
        <f aca="false">IF(OR(H311="",I311=""),"",IF(ABS(H311-I311)&lt;=0.02,"OK","≠"))</f>
        <v>OK</v>
      </c>
      <c r="K311" s="16"/>
      <c r="L311" s="1"/>
    </row>
    <row r="312" customFormat="false" ht="15" hidden="false" customHeight="false" outlineLevel="0" collapsed="false">
      <c r="A312" s="1"/>
      <c r="B312" s="30" t="s">
        <v>369</v>
      </c>
      <c r="C312" s="16" t="s">
        <v>370</v>
      </c>
      <c r="D312" s="16" t="s">
        <v>13</v>
      </c>
      <c r="E312" s="64" t="n">
        <v>0.112</v>
      </c>
      <c r="F312" s="25" t="s">
        <v>176</v>
      </c>
      <c r="G312" s="17" t="n">
        <v>110</v>
      </c>
      <c r="H312" s="17" t="n">
        <v>12.32</v>
      </c>
      <c r="I312" s="62" t="n">
        <f aca="false">IF(OR(E312="",G312=""),"",ROUND(E312*G312,2))</f>
        <v>12.32</v>
      </c>
      <c r="J312" s="25" t="str">
        <f aca="false">IF(OR(H312="",I312=""),"",IF(ABS(H312-I312)&lt;=0.02,"OK","≠"))</f>
        <v>OK</v>
      </c>
      <c r="K312" s="16"/>
      <c r="L312" s="1"/>
    </row>
    <row r="313" customFormat="false" ht="15" hidden="false" customHeight="false" outlineLevel="0" collapsed="false">
      <c r="A313" s="1"/>
      <c r="B313" s="32" t="s">
        <v>371</v>
      </c>
      <c r="C313" s="19" t="s">
        <v>372</v>
      </c>
      <c r="D313" s="19" t="s">
        <v>12</v>
      </c>
      <c r="E313" s="65" t="n">
        <v>1</v>
      </c>
      <c r="F313" s="27" t="s">
        <v>179</v>
      </c>
      <c r="G313" s="20" t="n">
        <v>6.35</v>
      </c>
      <c r="H313" s="20" t="n">
        <v>6.35</v>
      </c>
      <c r="I313" s="62" t="n">
        <f aca="false">IF(OR(E313="",G313=""),"",ROUND(E313*G313,2))</f>
        <v>6.35</v>
      </c>
      <c r="J313" s="25" t="str">
        <f aca="false">IF(OR(H313="",I313=""),"",IF(ABS(H313-I313)&lt;=0.02,"OK","≠"))</f>
        <v>OK</v>
      </c>
      <c r="K313" s="16"/>
      <c r="L313" s="1"/>
    </row>
    <row r="314" customFormat="false" ht="15" hidden="false" customHeight="false" outlineLevel="0" collapsed="false">
      <c r="A314" s="1"/>
      <c r="B314" s="30" t="s">
        <v>240</v>
      </c>
      <c r="C314" s="16" t="s">
        <v>241</v>
      </c>
      <c r="D314" s="16" t="s">
        <v>12</v>
      </c>
      <c r="E314" s="64" t="n">
        <v>2</v>
      </c>
      <c r="F314" s="25" t="s">
        <v>179</v>
      </c>
      <c r="G314" s="17" t="n">
        <v>1.8</v>
      </c>
      <c r="H314" s="17" t="n">
        <v>3.6</v>
      </c>
      <c r="I314" s="62" t="n">
        <f aca="false">IF(OR(E314="",G314=""),"",ROUND(E314*G314,2))</f>
        <v>3.6</v>
      </c>
      <c r="J314" s="25" t="str">
        <f aca="false">IF(OR(H314="",I314=""),"",IF(ABS(H314-I314)&lt;=0.02,"OK","≠"))</f>
        <v>OK</v>
      </c>
      <c r="K314" s="16"/>
      <c r="L314" s="1"/>
    </row>
    <row r="315" customFormat="false" ht="15" hidden="false" customHeight="false" outlineLevel="0" collapsed="false">
      <c r="A315" s="1"/>
      <c r="B315" s="32" t="s">
        <v>373</v>
      </c>
      <c r="C315" s="19" t="s">
        <v>241</v>
      </c>
      <c r="D315" s="19" t="s">
        <v>12</v>
      </c>
      <c r="E315" s="65" t="n">
        <v>2</v>
      </c>
      <c r="F315" s="27" t="s">
        <v>179</v>
      </c>
      <c r="G315" s="20" t="n">
        <v>1.8</v>
      </c>
      <c r="H315" s="20" t="n">
        <v>3.6</v>
      </c>
      <c r="I315" s="62" t="n">
        <f aca="false">IF(OR(E315="",G315=""),"",ROUND(E315*G315,2))</f>
        <v>3.6</v>
      </c>
      <c r="J315" s="25" t="str">
        <f aca="false">IF(OR(H315="",I315=""),"",IF(ABS(H315-I315)&lt;=0.02,"OK","≠"))</f>
        <v>OK</v>
      </c>
      <c r="K315" s="16"/>
      <c r="L315" s="1"/>
    </row>
    <row r="316" customFormat="false" ht="15" hidden="false" customHeight="false" outlineLevel="0" collapsed="false">
      <c r="A316" s="1"/>
      <c r="B316" s="30" t="s">
        <v>198</v>
      </c>
      <c r="C316" s="16" t="s">
        <v>242</v>
      </c>
      <c r="D316" s="16" t="s">
        <v>12</v>
      </c>
      <c r="E316" s="64" t="n">
        <v>3</v>
      </c>
      <c r="F316" s="25" t="s">
        <v>179</v>
      </c>
      <c r="G316" s="17" t="n">
        <v>3.7</v>
      </c>
      <c r="H316" s="17" t="n">
        <v>11.1</v>
      </c>
      <c r="I316" s="62" t="n">
        <f aca="false">IF(OR(E316="",G316=""),"",ROUND(E316*G316,2))</f>
        <v>11.1</v>
      </c>
      <c r="J316" s="25" t="str">
        <f aca="false">IF(OR(H316="",I316=""),"",IF(ABS(H316-I316)&lt;=0.02,"OK","≠"))</f>
        <v>OK</v>
      </c>
      <c r="K316" s="16"/>
      <c r="L316" s="1"/>
    </row>
    <row r="317" customFormat="false" ht="15" hidden="false" customHeight="false" outlineLevel="0" collapsed="false">
      <c r="A317" s="1"/>
      <c r="B317" s="32" t="s">
        <v>374</v>
      </c>
      <c r="C317" s="19" t="s">
        <v>242</v>
      </c>
      <c r="D317" s="19" t="s">
        <v>12</v>
      </c>
      <c r="E317" s="65" t="n">
        <v>1</v>
      </c>
      <c r="F317" s="27" t="s">
        <v>179</v>
      </c>
      <c r="G317" s="20" t="n">
        <v>3.7</v>
      </c>
      <c r="H317" s="20" t="n">
        <v>3.7</v>
      </c>
      <c r="I317" s="62" t="n">
        <f aca="false">IF(OR(E317="",G317=""),"",ROUND(E317*G317,2))</f>
        <v>3.7</v>
      </c>
      <c r="J317" s="25" t="str">
        <f aca="false">IF(OR(H317="",I317=""),"",IF(ABS(H317-I317)&lt;=0.02,"OK","≠"))</f>
        <v>OK</v>
      </c>
      <c r="K317" s="16"/>
      <c r="L317" s="1"/>
    </row>
    <row r="318" customFormat="false" ht="15" hidden="false" customHeight="false" outlineLevel="0" collapsed="false">
      <c r="A318" s="1"/>
      <c r="B318" s="30" t="s">
        <v>192</v>
      </c>
      <c r="C318" s="16" t="s">
        <v>375</v>
      </c>
      <c r="D318" s="16" t="s">
        <v>12</v>
      </c>
      <c r="E318" s="64" t="n">
        <v>1</v>
      </c>
      <c r="F318" s="25" t="s">
        <v>179</v>
      </c>
      <c r="G318" s="17" t="n">
        <v>4.6</v>
      </c>
      <c r="H318" s="17" t="n">
        <v>4.6</v>
      </c>
      <c r="I318" s="62" t="n">
        <f aca="false">IF(OR(E318="",G318=""),"",ROUND(E318*G318,2))</f>
        <v>4.6</v>
      </c>
      <c r="J318" s="25" t="str">
        <f aca="false">IF(OR(H318="",I318=""),"",IF(ABS(H318-I318)&lt;=0.02,"OK","≠"))</f>
        <v>OK</v>
      </c>
      <c r="K318" s="16"/>
      <c r="L318" s="1"/>
    </row>
    <row r="319" customFormat="false" ht="15" hidden="false" customHeight="false" outlineLevel="0" collapsed="false">
      <c r="A319" s="1"/>
      <c r="B319" s="32" t="s">
        <v>376</v>
      </c>
      <c r="C319" s="19" t="s">
        <v>248</v>
      </c>
      <c r="D319" s="19" t="s">
        <v>12</v>
      </c>
      <c r="E319" s="65" t="n">
        <v>1</v>
      </c>
      <c r="F319" s="27" t="s">
        <v>179</v>
      </c>
      <c r="G319" s="20" t="n">
        <v>5.45</v>
      </c>
      <c r="H319" s="20" t="n">
        <v>5.45</v>
      </c>
      <c r="I319" s="62" t="n">
        <f aca="false">IF(OR(E319="",G319=""),"",ROUND(E319*G319,2))</f>
        <v>5.45</v>
      </c>
      <c r="J319" s="25" t="str">
        <f aca="false">IF(OR(H319="",I319=""),"",IF(ABS(H319-I319)&lt;=0.02,"OK","≠"))</f>
        <v>OK</v>
      </c>
      <c r="K319" s="16"/>
      <c r="L319" s="1"/>
    </row>
    <row r="320" customFormat="false" ht="15" hidden="false" customHeight="false" outlineLevel="0" collapsed="false">
      <c r="A320" s="1"/>
      <c r="B320" s="30" t="s">
        <v>377</v>
      </c>
      <c r="C320" s="16" t="s">
        <v>378</v>
      </c>
      <c r="D320" s="16" t="s">
        <v>12</v>
      </c>
      <c r="E320" s="64" t="n">
        <v>1</v>
      </c>
      <c r="F320" s="25" t="s">
        <v>179</v>
      </c>
      <c r="G320" s="17" t="n">
        <v>11.2</v>
      </c>
      <c r="H320" s="17" t="n">
        <v>11.2</v>
      </c>
      <c r="I320" s="62" t="n">
        <f aca="false">IF(OR(E320="",G320=""),"",ROUND(E320*G320,2))</f>
        <v>11.2</v>
      </c>
      <c r="J320" s="25" t="str">
        <f aca="false">IF(OR(H320="",I320=""),"",IF(ABS(H320-I320)&lt;=0.02,"OK","≠"))</f>
        <v>OK</v>
      </c>
      <c r="K320" s="16"/>
      <c r="L320" s="1"/>
    </row>
    <row r="321" customFormat="false" ht="15" hidden="false" customHeight="false" outlineLevel="0" collapsed="false">
      <c r="A321" s="1"/>
      <c r="B321" s="32" t="s">
        <v>379</v>
      </c>
      <c r="C321" s="19" t="s">
        <v>380</v>
      </c>
      <c r="D321" s="19" t="s">
        <v>12</v>
      </c>
      <c r="E321" s="65" t="n">
        <v>1</v>
      </c>
      <c r="F321" s="27" t="s">
        <v>179</v>
      </c>
      <c r="G321" s="20" t="n">
        <v>6.2</v>
      </c>
      <c r="H321" s="20" t="n">
        <v>6.2</v>
      </c>
      <c r="I321" s="62" t="n">
        <f aca="false">IF(OR(E321="",G321=""),"",ROUND(E321*G321,2))</f>
        <v>6.2</v>
      </c>
      <c r="J321" s="25" t="str">
        <f aca="false">IF(OR(H321="",I321=""),"",IF(ABS(H321-I321)&lt;=0.02,"OK","≠"))</f>
        <v>OK</v>
      </c>
      <c r="K321" s="16"/>
      <c r="L321" s="1"/>
    </row>
    <row r="322" customFormat="false" ht="15" hidden="false" customHeight="false" outlineLevel="0" collapsed="false">
      <c r="A322" s="1"/>
      <c r="B322" s="30" t="s">
        <v>381</v>
      </c>
      <c r="C322" s="16" t="s">
        <v>382</v>
      </c>
      <c r="D322" s="16" t="s">
        <v>12</v>
      </c>
      <c r="E322" s="64" t="n">
        <v>1</v>
      </c>
      <c r="F322" s="25" t="s">
        <v>179</v>
      </c>
      <c r="G322" s="17" t="n">
        <v>7.7</v>
      </c>
      <c r="H322" s="17" t="n">
        <v>7.7</v>
      </c>
      <c r="I322" s="62" t="n">
        <f aca="false">IF(OR(E322="",G322=""),"",ROUND(E322*G322,2))</f>
        <v>7.7</v>
      </c>
      <c r="J322" s="25" t="str">
        <f aca="false">IF(OR(H322="",I322=""),"",IF(ABS(H322-I322)&lt;=0.02,"OK","≠"))</f>
        <v>OK</v>
      </c>
      <c r="K322" s="16"/>
      <c r="L322" s="1"/>
    </row>
    <row r="323" customFormat="false" ht="15" hidden="false" customHeight="false" outlineLevel="0" collapsed="false">
      <c r="A323" s="1"/>
      <c r="B323" s="32" t="s">
        <v>383</v>
      </c>
      <c r="C323" s="19" t="s">
        <v>384</v>
      </c>
      <c r="D323" s="19" t="s">
        <v>19</v>
      </c>
      <c r="E323" s="65" t="n">
        <v>1</v>
      </c>
      <c r="F323" s="27" t="s">
        <v>179</v>
      </c>
      <c r="G323" s="20" t="n">
        <v>3.85</v>
      </c>
      <c r="H323" s="20" t="n">
        <v>3.85</v>
      </c>
      <c r="I323" s="62" t="n">
        <f aca="false">IF(OR(E323="",G323=""),"",ROUND(E323*G323,2))</f>
        <v>3.85</v>
      </c>
      <c r="J323" s="25" t="str">
        <f aca="false">IF(OR(H323="",I323=""),"",IF(ABS(H323-I323)&lt;=0.02,"OK","≠"))</f>
        <v>OK</v>
      </c>
      <c r="K323" s="16"/>
      <c r="L323" s="1"/>
    </row>
    <row r="324" customFormat="false" ht="15" hidden="false" customHeight="false" outlineLevel="0" collapsed="false">
      <c r="A324" s="1"/>
      <c r="B324" s="30" t="s">
        <v>385</v>
      </c>
      <c r="C324" s="16" t="s">
        <v>386</v>
      </c>
      <c r="D324" s="16" t="s">
        <v>13</v>
      </c>
      <c r="E324" s="64" t="n">
        <v>3</v>
      </c>
      <c r="F324" s="25" t="s">
        <v>179</v>
      </c>
      <c r="G324" s="17" t="n">
        <v>2.49</v>
      </c>
      <c r="H324" s="17" t="n">
        <v>7.47</v>
      </c>
      <c r="I324" s="62" t="n">
        <f aca="false">IF(OR(E324="",G324=""),"",ROUND(E324*G324,2))</f>
        <v>7.47</v>
      </c>
      <c r="J324" s="25" t="str">
        <f aca="false">IF(OR(H324="",I324=""),"",IF(ABS(H324-I324)&lt;=0.02,"OK","≠"))</f>
        <v>OK</v>
      </c>
      <c r="K324" s="16"/>
      <c r="L324" s="1"/>
    </row>
    <row r="325" customFormat="false" ht="15" hidden="false" customHeight="false" outlineLevel="0" collapsed="false">
      <c r="A325" s="1"/>
      <c r="B325" s="32" t="s">
        <v>245</v>
      </c>
      <c r="C325" s="19" t="s">
        <v>246</v>
      </c>
      <c r="D325" s="19" t="s">
        <v>12</v>
      </c>
      <c r="E325" s="65" t="n">
        <v>2</v>
      </c>
      <c r="F325" s="27" t="s">
        <v>179</v>
      </c>
      <c r="G325" s="20" t="n">
        <v>3.1</v>
      </c>
      <c r="H325" s="20" t="n">
        <v>6.2</v>
      </c>
      <c r="I325" s="62" t="n">
        <f aca="false">IF(OR(E325="",G325=""),"",ROUND(E325*G325,2))</f>
        <v>6.2</v>
      </c>
      <c r="J325" s="25" t="str">
        <f aca="false">IF(OR(H325="",I325=""),"",IF(ABS(H325-I325)&lt;=0.02,"OK","≠"))</f>
        <v>OK</v>
      </c>
      <c r="K325" s="16"/>
      <c r="L325" s="1"/>
    </row>
    <row r="326" customFormat="false" ht="15" hidden="false" customHeight="false" outlineLevel="0" collapsed="false">
      <c r="A326" s="1"/>
      <c r="B326" s="30" t="s">
        <v>387</v>
      </c>
      <c r="C326" s="16" t="s">
        <v>388</v>
      </c>
      <c r="D326" s="16" t="s">
        <v>12</v>
      </c>
      <c r="E326" s="64" t="n">
        <v>1</v>
      </c>
      <c r="F326" s="25" t="s">
        <v>179</v>
      </c>
      <c r="G326" s="17" t="n">
        <v>3.49</v>
      </c>
      <c r="H326" s="17" t="n">
        <v>3.49</v>
      </c>
      <c r="I326" s="62" t="n">
        <f aca="false">IF(OR(E326="",G326=""),"",ROUND(E326*G326,2))</f>
        <v>3.49</v>
      </c>
      <c r="J326" s="25" t="str">
        <f aca="false">IF(OR(H326="",I326=""),"",IF(ABS(H326-I326)&lt;=0.02,"OK","≠"))</f>
        <v>OK</v>
      </c>
      <c r="K326" s="16"/>
      <c r="L326" s="1"/>
    </row>
    <row r="327" customFormat="false" ht="15" hidden="false" customHeight="false" outlineLevel="0" collapsed="false">
      <c r="A327" s="1"/>
      <c r="B327" s="32" t="s">
        <v>389</v>
      </c>
      <c r="C327" s="19" t="s">
        <v>390</v>
      </c>
      <c r="D327" s="19" t="s">
        <v>12</v>
      </c>
      <c r="E327" s="65" t="n">
        <v>1</v>
      </c>
      <c r="F327" s="27" t="s">
        <v>179</v>
      </c>
      <c r="G327" s="20" t="n">
        <v>3.05</v>
      </c>
      <c r="H327" s="20" t="n">
        <v>3.05</v>
      </c>
      <c r="I327" s="62" t="n">
        <f aca="false">IF(OR(E327="",G327=""),"",ROUND(E327*G327,2))</f>
        <v>3.05</v>
      </c>
      <c r="J327" s="25" t="str">
        <f aca="false">IF(OR(H327="",I327=""),"",IF(ABS(H327-I327)&lt;=0.02,"OK","≠"))</f>
        <v>OK</v>
      </c>
      <c r="K327" s="16"/>
      <c r="L327" s="1"/>
    </row>
    <row r="328" customFormat="false" ht="15" hidden="false" customHeight="false" outlineLevel="0" collapsed="false">
      <c r="A328" s="1"/>
      <c r="B328" s="30" t="s">
        <v>391</v>
      </c>
      <c r="C328" s="16" t="s">
        <v>392</v>
      </c>
      <c r="D328" s="16" t="s">
        <v>14</v>
      </c>
      <c r="E328" s="64" t="n">
        <v>1</v>
      </c>
      <c r="F328" s="25" t="s">
        <v>179</v>
      </c>
      <c r="G328" s="17" t="n">
        <v>7.2</v>
      </c>
      <c r="H328" s="17" t="n">
        <v>7.2</v>
      </c>
      <c r="I328" s="62" t="n">
        <f aca="false">IF(OR(E328="",G328=""),"",ROUND(E328*G328,2))</f>
        <v>7.2</v>
      </c>
      <c r="J328" s="25" t="str">
        <f aca="false">IF(OR(H328="",I328=""),"",IF(ABS(H328-I328)&lt;=0.02,"OK","≠"))</f>
        <v>OK</v>
      </c>
      <c r="K328" s="16"/>
      <c r="L328" s="1"/>
    </row>
    <row r="329" customFormat="false" ht="15" hidden="false" customHeight="false" outlineLevel="0" collapsed="false">
      <c r="A329" s="1"/>
      <c r="B329" s="32" t="s">
        <v>206</v>
      </c>
      <c r="C329" s="19" t="s">
        <v>393</v>
      </c>
      <c r="D329" s="19" t="s">
        <v>14</v>
      </c>
      <c r="E329" s="65" t="n">
        <v>1</v>
      </c>
      <c r="F329" s="27" t="s">
        <v>179</v>
      </c>
      <c r="G329" s="20" t="n">
        <v>5.7</v>
      </c>
      <c r="H329" s="20" t="n">
        <v>5.7</v>
      </c>
      <c r="I329" s="62" t="n">
        <f aca="false">IF(OR(E329="",G329=""),"",ROUND(E329*G329,2))</f>
        <v>5.7</v>
      </c>
      <c r="J329" s="25" t="str">
        <f aca="false">IF(OR(H329="",I329=""),"",IF(ABS(H329-I329)&lt;=0.02,"OK","≠"))</f>
        <v>OK</v>
      </c>
      <c r="K329" s="16"/>
      <c r="L329" s="1"/>
    </row>
    <row r="330" customFormat="false" ht="15" hidden="false" customHeight="false" outlineLevel="0" collapsed="false">
      <c r="A330" s="1"/>
      <c r="B330" s="30" t="s">
        <v>394</v>
      </c>
      <c r="C330" s="16" t="s">
        <v>395</v>
      </c>
      <c r="D330" s="16" t="s">
        <v>14</v>
      </c>
      <c r="E330" s="64" t="n">
        <v>0.132</v>
      </c>
      <c r="F330" s="25" t="s">
        <v>176</v>
      </c>
      <c r="G330" s="17" t="n">
        <v>39</v>
      </c>
      <c r="H330" s="17" t="n">
        <v>5.15</v>
      </c>
      <c r="I330" s="62" t="n">
        <f aca="false">IF(OR(E330="",G330=""),"",ROUND(E330*G330,2))</f>
        <v>5.15</v>
      </c>
      <c r="J330" s="25" t="str">
        <f aca="false">IF(OR(H330="",I330=""),"",IF(ABS(H330-I330)&lt;=0.02,"OK","≠"))</f>
        <v>OK</v>
      </c>
      <c r="K330" s="16"/>
      <c r="L330" s="1"/>
    </row>
    <row r="331" customFormat="false" ht="15" hidden="false" customHeight="false" outlineLevel="0" collapsed="false">
      <c r="A331" s="1"/>
      <c r="B331" s="32" t="s">
        <v>396</v>
      </c>
      <c r="C331" s="19" t="s">
        <v>397</v>
      </c>
      <c r="D331" s="19" t="s">
        <v>14</v>
      </c>
      <c r="E331" s="65" t="n">
        <v>0.244</v>
      </c>
      <c r="F331" s="27" t="s">
        <v>176</v>
      </c>
      <c r="G331" s="20" t="n">
        <v>32</v>
      </c>
      <c r="H331" s="20" t="n">
        <v>7.81</v>
      </c>
      <c r="I331" s="62" t="n">
        <f aca="false">IF(OR(E331="",G331=""),"",ROUND(E331*G331,2))</f>
        <v>7.81</v>
      </c>
      <c r="J331" s="25" t="str">
        <f aca="false">IF(OR(H331="",I331=""),"",IF(ABS(H331-I331)&lt;=0.02,"OK","≠"))</f>
        <v>OK</v>
      </c>
      <c r="K331" s="16"/>
      <c r="L331" s="1"/>
    </row>
    <row r="332" customFormat="false" ht="15" hidden="false" customHeight="false" outlineLevel="0" collapsed="false">
      <c r="A332" s="1"/>
      <c r="B332" s="30" t="s">
        <v>196</v>
      </c>
      <c r="C332" s="16" t="s">
        <v>398</v>
      </c>
      <c r="D332" s="16" t="s">
        <v>14</v>
      </c>
      <c r="E332" s="64" t="n">
        <v>0.536</v>
      </c>
      <c r="F332" s="25" t="s">
        <v>176</v>
      </c>
      <c r="G332" s="17" t="n">
        <v>14.9</v>
      </c>
      <c r="H332" s="17" t="n">
        <v>7.99</v>
      </c>
      <c r="I332" s="62" t="n">
        <f aca="false">IF(OR(E332="",G332=""),"",ROUND(E332*G332,2))</f>
        <v>7.99</v>
      </c>
      <c r="J332" s="25" t="str">
        <f aca="false">IF(OR(H332="",I332=""),"",IF(ABS(H332-I332)&lt;=0.02,"OK","≠"))</f>
        <v>OK</v>
      </c>
      <c r="K332" s="16"/>
      <c r="L332" s="1"/>
    </row>
    <row r="333" customFormat="false" ht="15" hidden="false" customHeight="false" outlineLevel="0" collapsed="false">
      <c r="A333" s="1"/>
      <c r="B333" s="32" t="s">
        <v>399</v>
      </c>
      <c r="C333" s="19" t="s">
        <v>261</v>
      </c>
      <c r="D333" s="19" t="s">
        <v>12</v>
      </c>
      <c r="E333" s="65" t="n">
        <v>1</v>
      </c>
      <c r="F333" s="27" t="s">
        <v>179</v>
      </c>
      <c r="G333" s="20" t="n">
        <v>10.2</v>
      </c>
      <c r="H333" s="20" t="n">
        <v>10.2</v>
      </c>
      <c r="I333" s="62" t="n">
        <f aca="false">IF(OR(E333="",G333=""),"",ROUND(E333*G333,2))</f>
        <v>10.2</v>
      </c>
      <c r="J333" s="25" t="str">
        <f aca="false">IF(OR(H333="",I333=""),"",IF(ABS(H333-I333)&lt;=0.02,"OK","≠"))</f>
        <v>OK</v>
      </c>
      <c r="K333" s="16"/>
      <c r="L333" s="1"/>
    </row>
    <row r="334" customFormat="false" ht="15" hidden="false" customHeight="false" outlineLevel="0" collapsed="false">
      <c r="A334" s="1"/>
      <c r="B334" s="30" t="s">
        <v>400</v>
      </c>
      <c r="C334" s="16" t="s">
        <v>401</v>
      </c>
      <c r="D334" s="16" t="s">
        <v>12</v>
      </c>
      <c r="E334" s="64" t="n">
        <v>1</v>
      </c>
      <c r="F334" s="25" t="s">
        <v>179</v>
      </c>
      <c r="G334" s="17" t="n">
        <v>10.2</v>
      </c>
      <c r="H334" s="17" t="n">
        <v>10.2</v>
      </c>
      <c r="I334" s="62" t="n">
        <f aca="false">IF(OR(E334="",G334=""),"",ROUND(E334*G334,2))</f>
        <v>10.2</v>
      </c>
      <c r="J334" s="25" t="str">
        <f aca="false">IF(OR(H334="",I334=""),"",IF(ABS(H334-I334)&lt;=0.02,"OK","≠"))</f>
        <v>OK</v>
      </c>
      <c r="K334" s="16"/>
      <c r="L334" s="1"/>
    </row>
    <row r="335" customFormat="false" ht="15" hidden="false" customHeight="false" outlineLevel="0" collapsed="false">
      <c r="A335" s="1"/>
      <c r="B335" s="32" t="s">
        <v>402</v>
      </c>
      <c r="C335" s="19" t="s">
        <v>403</v>
      </c>
      <c r="D335" s="19" t="s">
        <v>12</v>
      </c>
      <c r="E335" s="65" t="n">
        <v>1</v>
      </c>
      <c r="F335" s="27" t="s">
        <v>179</v>
      </c>
      <c r="G335" s="20" t="n">
        <v>11.9</v>
      </c>
      <c r="H335" s="20" t="n">
        <v>11.9</v>
      </c>
      <c r="I335" s="62" t="n">
        <f aca="false">IF(OR(E335="",G335=""),"",ROUND(E335*G335,2))</f>
        <v>11.9</v>
      </c>
      <c r="J335" s="25" t="str">
        <f aca="false">IF(OR(H335="",I335=""),"",IF(ABS(H335-I335)&lt;=0.02,"OK","≠"))</f>
        <v>OK</v>
      </c>
      <c r="K335" s="16"/>
      <c r="L335" s="1"/>
    </row>
    <row r="336" customFormat="false" ht="15" hidden="false" customHeight="false" outlineLevel="0" collapsed="false">
      <c r="A336" s="1"/>
      <c r="B336" s="30" t="s">
        <v>404</v>
      </c>
      <c r="C336" s="16" t="s">
        <v>405</v>
      </c>
      <c r="D336" s="16" t="s">
        <v>12</v>
      </c>
      <c r="E336" s="64" t="n">
        <v>1</v>
      </c>
      <c r="F336" s="25" t="s">
        <v>179</v>
      </c>
      <c r="G336" s="17" t="n">
        <v>4.45</v>
      </c>
      <c r="H336" s="17" t="n">
        <v>4.45</v>
      </c>
      <c r="I336" s="62" t="n">
        <f aca="false">IF(OR(E336="",G336=""),"",ROUND(E336*G336,2))</f>
        <v>4.45</v>
      </c>
      <c r="J336" s="25" t="str">
        <f aca="false">IF(OR(H336="",I336=""),"",IF(ABS(H336-I336)&lt;=0.02,"OK","≠"))</f>
        <v>OK</v>
      </c>
      <c r="K336" s="16"/>
      <c r="L336" s="1"/>
    </row>
    <row r="337" customFormat="false" ht="15" hidden="false" customHeight="false" outlineLevel="0" collapsed="false">
      <c r="A337" s="1"/>
      <c r="B337" s="32" t="s">
        <v>406</v>
      </c>
      <c r="C337" s="19" t="s">
        <v>407</v>
      </c>
      <c r="D337" s="19" t="s">
        <v>16</v>
      </c>
      <c r="E337" s="65" t="n">
        <v>1</v>
      </c>
      <c r="F337" s="27" t="s">
        <v>179</v>
      </c>
      <c r="G337" s="20" t="n">
        <v>16.4</v>
      </c>
      <c r="H337" s="20" t="n">
        <v>16.4</v>
      </c>
      <c r="I337" s="62" t="n">
        <f aca="false">IF(OR(E337="",G337=""),"",ROUND(E337*G337,2))</f>
        <v>16.4</v>
      </c>
      <c r="J337" s="25" t="str">
        <f aca="false">IF(OR(H337="",I337=""),"",IF(ABS(H337-I337)&lt;=0.02,"OK","≠"))</f>
        <v>OK</v>
      </c>
      <c r="K337" s="16"/>
      <c r="L337" s="1"/>
    </row>
    <row r="338" customFormat="false" ht="15" hidden="false" customHeight="false" outlineLevel="0" collapsed="false">
      <c r="A338" s="1"/>
      <c r="B338" s="30" t="s">
        <v>408</v>
      </c>
      <c r="C338" s="16" t="s">
        <v>409</v>
      </c>
      <c r="D338" s="16" t="s">
        <v>19</v>
      </c>
      <c r="E338" s="64" t="n">
        <v>1</v>
      </c>
      <c r="F338" s="25" t="s">
        <v>179</v>
      </c>
      <c r="G338" s="17" t="n">
        <v>6.49</v>
      </c>
      <c r="H338" s="17" t="n">
        <v>6.49</v>
      </c>
      <c r="I338" s="62" t="n">
        <f aca="false">IF(OR(E338="",G338=""),"",ROUND(E338*G338,2))</f>
        <v>6.49</v>
      </c>
      <c r="J338" s="25" t="str">
        <f aca="false">IF(OR(H338="",I338=""),"",IF(ABS(H338-I338)&lt;=0.02,"OK","≠"))</f>
        <v>OK</v>
      </c>
      <c r="K338" s="16"/>
      <c r="L338" s="1"/>
    </row>
    <row r="339" customFormat="false" ht="15" hidden="false" customHeight="false" outlineLevel="0" collapsed="false">
      <c r="A339" s="1"/>
      <c r="B339" s="32" t="s">
        <v>410</v>
      </c>
      <c r="C339" s="19" t="s">
        <v>411</v>
      </c>
      <c r="D339" s="19" t="s">
        <v>19</v>
      </c>
      <c r="E339" s="65" t="n">
        <v>1</v>
      </c>
      <c r="F339" s="27" t="s">
        <v>179</v>
      </c>
      <c r="G339" s="20" t="n">
        <v>4.8</v>
      </c>
      <c r="H339" s="20" t="n">
        <v>4.8</v>
      </c>
      <c r="I339" s="62" t="n">
        <f aca="false">IF(OR(E339="",G339=""),"",ROUND(E339*G339,2))</f>
        <v>4.8</v>
      </c>
      <c r="J339" s="25" t="str">
        <f aca="false">IF(OR(H339="",I339=""),"",IF(ABS(H339-I339)&lt;=0.02,"OK","≠"))</f>
        <v>OK</v>
      </c>
      <c r="K339" s="16"/>
      <c r="L339" s="1"/>
    </row>
    <row r="340" customFormat="false" ht="15" hidden="false" customHeight="false" outlineLevel="0" collapsed="false">
      <c r="A340" s="1"/>
      <c r="B340" s="30" t="s">
        <v>412</v>
      </c>
      <c r="C340" s="16" t="s">
        <v>413</v>
      </c>
      <c r="D340" s="16" t="s">
        <v>18</v>
      </c>
      <c r="E340" s="64" t="n">
        <v>1</v>
      </c>
      <c r="F340" s="25" t="s">
        <v>179</v>
      </c>
      <c r="G340" s="17" t="n">
        <v>5.7</v>
      </c>
      <c r="H340" s="17" t="n">
        <v>5.7</v>
      </c>
      <c r="I340" s="62" t="n">
        <f aca="false">IF(OR(E340="",G340=""),"",ROUND(E340*G340,2))</f>
        <v>5.7</v>
      </c>
      <c r="J340" s="25" t="str">
        <f aca="false">IF(OR(H340="",I340=""),"",IF(ABS(H340-I340)&lt;=0.02,"OK","≠"))</f>
        <v>OK</v>
      </c>
      <c r="K340" s="16"/>
      <c r="L340" s="1"/>
    </row>
    <row r="341" customFormat="false" ht="15" hidden="false" customHeight="false" outlineLevel="0" collapsed="false">
      <c r="A341" s="1"/>
      <c r="B341" s="32" t="s">
        <v>414</v>
      </c>
      <c r="C341" s="19" t="s">
        <v>415</v>
      </c>
      <c r="D341" s="19" t="s">
        <v>19</v>
      </c>
      <c r="E341" s="65" t="n">
        <v>1</v>
      </c>
      <c r="F341" s="27" t="s">
        <v>179</v>
      </c>
      <c r="G341" s="20" t="n">
        <v>9.7</v>
      </c>
      <c r="H341" s="20" t="n">
        <v>9.7</v>
      </c>
      <c r="I341" s="62" t="n">
        <f aca="false">IF(OR(E341="",G341=""),"",ROUND(E341*G341,2))</f>
        <v>9.7</v>
      </c>
      <c r="J341" s="25" t="str">
        <f aca="false">IF(OR(H341="",I341=""),"",IF(ABS(H341-I341)&lt;=0.02,"OK","≠"))</f>
        <v>OK</v>
      </c>
      <c r="K341" s="16"/>
      <c r="L341" s="1"/>
    </row>
    <row r="342" customFormat="false" ht="15" hidden="false" customHeight="false" outlineLevel="0" collapsed="false">
      <c r="A342" s="1"/>
      <c r="B342" s="30" t="s">
        <v>416</v>
      </c>
      <c r="C342" s="16" t="s">
        <v>417</v>
      </c>
      <c r="D342" s="16" t="s">
        <v>19</v>
      </c>
      <c r="E342" s="64" t="n">
        <v>1</v>
      </c>
      <c r="F342" s="25" t="s">
        <v>179</v>
      </c>
      <c r="G342" s="17" t="n">
        <v>1.99</v>
      </c>
      <c r="H342" s="17" t="n">
        <v>1.99</v>
      </c>
      <c r="I342" s="62" t="n">
        <f aca="false">IF(OR(E342="",G342=""),"",ROUND(E342*G342,2))</f>
        <v>1.99</v>
      </c>
      <c r="J342" s="25" t="str">
        <f aca="false">IF(OR(H342="",I342=""),"",IF(ABS(H342-I342)&lt;=0.02,"OK","≠"))</f>
        <v>OK</v>
      </c>
      <c r="K342" s="16"/>
      <c r="L342" s="1"/>
    </row>
    <row r="343" customFormat="false" ht="15" hidden="false" customHeight="false" outlineLevel="0" collapsed="false">
      <c r="A343" s="1"/>
      <c r="B343" s="32" t="s">
        <v>418</v>
      </c>
      <c r="C343" s="19" t="s">
        <v>419</v>
      </c>
      <c r="D343" s="19" t="s">
        <v>19</v>
      </c>
      <c r="E343" s="65" t="n">
        <v>1</v>
      </c>
      <c r="F343" s="27" t="s">
        <v>179</v>
      </c>
      <c r="G343" s="20" t="n">
        <v>3.9</v>
      </c>
      <c r="H343" s="20" t="n">
        <v>3.9</v>
      </c>
      <c r="I343" s="62" t="n">
        <f aca="false">IF(OR(E343="",G343=""),"",ROUND(E343*G343,2))</f>
        <v>3.9</v>
      </c>
      <c r="J343" s="25" t="str">
        <f aca="false">IF(OR(H343="",I343=""),"",IF(ABS(H343-I343)&lt;=0.02,"OK","≠"))</f>
        <v>OK</v>
      </c>
      <c r="K343" s="16"/>
      <c r="L343" s="1"/>
    </row>
    <row r="344" customFormat="false" ht="15" hidden="false" customHeight="false" outlineLevel="0" collapsed="false">
      <c r="A344" s="1"/>
      <c r="B344" s="30" t="s">
        <v>420</v>
      </c>
      <c r="C344" s="16" t="s">
        <v>421</v>
      </c>
      <c r="D344" s="16" t="s">
        <v>18</v>
      </c>
      <c r="E344" s="64" t="n">
        <v>1</v>
      </c>
      <c r="F344" s="25" t="s">
        <v>179</v>
      </c>
      <c r="G344" s="17" t="n">
        <v>13.95</v>
      </c>
      <c r="H344" s="17" t="n">
        <v>13.95</v>
      </c>
      <c r="I344" s="62" t="n">
        <f aca="false">IF(OR(E344="",G344=""),"",ROUND(E344*G344,2))</f>
        <v>13.95</v>
      </c>
      <c r="J344" s="25" t="str">
        <f aca="false">IF(OR(H344="",I344=""),"",IF(ABS(H344-I344)&lt;=0.02,"OK","≠"))</f>
        <v>OK</v>
      </c>
      <c r="K344" s="16"/>
      <c r="L344" s="1"/>
    </row>
    <row r="345" customFormat="false" ht="15" hidden="false" customHeight="false" outlineLevel="0" collapsed="false">
      <c r="A345" s="1"/>
      <c r="B345" s="32" t="s">
        <v>214</v>
      </c>
      <c r="C345" s="19" t="s">
        <v>227</v>
      </c>
      <c r="D345" s="19" t="s">
        <v>13</v>
      </c>
      <c r="E345" s="65" t="n">
        <v>1</v>
      </c>
      <c r="F345" s="27" t="s">
        <v>179</v>
      </c>
      <c r="G345" s="20" t="n">
        <v>17.5</v>
      </c>
      <c r="H345" s="20" t="n">
        <v>17.5</v>
      </c>
      <c r="I345" s="62" t="n">
        <f aca="false">IF(OR(E345="",G345=""),"",ROUND(E345*G345,2))</f>
        <v>17.5</v>
      </c>
      <c r="J345" s="25" t="str">
        <f aca="false">IF(OR(H345="",I345=""),"",IF(ABS(H345-I345)&lt;=0.02,"OK","≠"))</f>
        <v>OK</v>
      </c>
      <c r="K345" s="16"/>
      <c r="L345" s="1"/>
    </row>
    <row r="346" customFormat="false" ht="15" hidden="false" customHeight="false" outlineLevel="0" collapsed="false">
      <c r="A346" s="1"/>
      <c r="B346" s="30" t="s">
        <v>324</v>
      </c>
      <c r="C346" s="16" t="s">
        <v>325</v>
      </c>
      <c r="D346" s="16" t="s">
        <v>13</v>
      </c>
      <c r="E346" s="64" t="n">
        <v>1</v>
      </c>
      <c r="F346" s="25" t="s">
        <v>179</v>
      </c>
      <c r="G346" s="17" t="n">
        <v>8.25</v>
      </c>
      <c r="H346" s="17" t="n">
        <v>8.25</v>
      </c>
      <c r="I346" s="62" t="n">
        <f aca="false">IF(OR(E346="",G346=""),"",ROUND(E346*G346,2))</f>
        <v>8.25</v>
      </c>
      <c r="J346" s="25" t="str">
        <f aca="false">IF(OR(H346="",I346=""),"",IF(ABS(H346-I346)&lt;=0.02,"OK","≠"))</f>
        <v>OK</v>
      </c>
      <c r="K346" s="16"/>
      <c r="L346" s="1"/>
    </row>
    <row r="347" customFormat="false" ht="15" hidden="false" customHeight="false" outlineLevel="0" collapsed="false">
      <c r="A347" s="1"/>
      <c r="B347" s="32" t="s">
        <v>422</v>
      </c>
      <c r="C347" s="19" t="s">
        <v>423</v>
      </c>
      <c r="D347" s="19" t="s">
        <v>12</v>
      </c>
      <c r="E347" s="65" t="n">
        <v>1</v>
      </c>
      <c r="F347" s="27" t="s">
        <v>179</v>
      </c>
      <c r="G347" s="20" t="n">
        <v>21</v>
      </c>
      <c r="H347" s="20" t="n">
        <v>21</v>
      </c>
      <c r="I347" s="62" t="n">
        <f aca="false">IF(OR(E347="",G347=""),"",ROUND(E347*G347,2))</f>
        <v>21</v>
      </c>
      <c r="J347" s="25" t="str">
        <f aca="false">IF(OR(H347="",I347=""),"",IF(ABS(H347-I347)&lt;=0.02,"OK","≠"))</f>
        <v>OK</v>
      </c>
      <c r="K347" s="16"/>
      <c r="L347" s="1"/>
    </row>
    <row r="348" customFormat="false" ht="15" hidden="false" customHeight="false" outlineLevel="0" collapsed="false">
      <c r="A348" s="1"/>
      <c r="B348" s="1"/>
      <c r="C348" s="1"/>
      <c r="D348" s="1"/>
      <c r="E348" s="1"/>
      <c r="F348" s="1"/>
      <c r="G348" s="1"/>
      <c r="H348" s="1"/>
      <c r="I348" s="1"/>
      <c r="J348" s="1"/>
      <c r="K348" s="1"/>
      <c r="L348" s="1"/>
    </row>
    <row r="349" customFormat="false" ht="19.5" hidden="false" customHeight="true" outlineLevel="0" collapsed="false">
      <c r="A349" s="1"/>
      <c r="B349" s="63" t="s">
        <v>424</v>
      </c>
      <c r="C349" s="63"/>
      <c r="D349" s="63"/>
      <c r="E349" s="63"/>
      <c r="F349" s="63"/>
      <c r="G349" s="63"/>
      <c r="H349" s="63"/>
      <c r="I349" s="63"/>
      <c r="J349" s="63"/>
      <c r="K349" s="63"/>
      <c r="L349" s="1"/>
    </row>
    <row r="350" customFormat="false" ht="15" hidden="false" customHeight="false" outlineLevel="0" collapsed="false">
      <c r="A350" s="1"/>
      <c r="B350" s="50" t="s">
        <v>34</v>
      </c>
      <c r="C350" s="45" t="s">
        <v>40</v>
      </c>
      <c r="D350" s="45"/>
      <c r="E350" s="50" t="s">
        <v>157</v>
      </c>
      <c r="F350" s="50"/>
      <c r="G350" s="45" t="s">
        <v>425</v>
      </c>
      <c r="H350" s="45"/>
      <c r="I350" s="45"/>
      <c r="J350" s="45"/>
      <c r="K350" s="45"/>
      <c r="L350" s="1"/>
    </row>
    <row r="351" customFormat="false" ht="15" hidden="false" customHeight="false" outlineLevel="0" collapsed="false">
      <c r="A351" s="1"/>
      <c r="B351" s="50" t="s">
        <v>78</v>
      </c>
      <c r="C351" s="39" t="n">
        <v>46158</v>
      </c>
      <c r="D351" s="39"/>
      <c r="E351" s="50" t="s">
        <v>80</v>
      </c>
      <c r="F351" s="50"/>
      <c r="G351" s="45" t="s">
        <v>426</v>
      </c>
      <c r="H351" s="45"/>
      <c r="I351" s="45"/>
      <c r="J351" s="45"/>
      <c r="K351" s="45"/>
      <c r="L351" s="1"/>
    </row>
    <row r="352" customFormat="false" ht="15" hidden="false" customHeight="false" outlineLevel="0" collapsed="false">
      <c r="A352" s="1"/>
      <c r="B352" s="50" t="s">
        <v>158</v>
      </c>
      <c r="C352" s="55" t="n">
        <v>5</v>
      </c>
      <c r="D352" s="55"/>
      <c r="E352" s="50" t="s">
        <v>159</v>
      </c>
      <c r="F352" s="50"/>
      <c r="G352" s="56" t="n">
        <v>48.52</v>
      </c>
      <c r="H352" s="56"/>
      <c r="I352" s="56"/>
      <c r="J352" s="56"/>
      <c r="K352" s="56"/>
      <c r="L352" s="1"/>
    </row>
    <row r="353" customFormat="false" ht="15" hidden="false" customHeight="false" outlineLevel="0" collapsed="false">
      <c r="A353" s="1"/>
      <c r="B353" s="50" t="s">
        <v>160</v>
      </c>
      <c r="C353" s="55" t="n">
        <f aca="false">COUNT(H357:H361)</f>
        <v>5</v>
      </c>
      <c r="D353" s="55"/>
      <c r="E353" s="50" t="s">
        <v>161</v>
      </c>
      <c r="F353" s="50"/>
      <c r="G353" s="56" t="n">
        <f aca="false">ROUND(SUM(H357:H361),2)</f>
        <v>48.52</v>
      </c>
      <c r="H353" s="56"/>
      <c r="I353" s="56"/>
      <c r="J353" s="56"/>
      <c r="K353" s="56"/>
      <c r="L353" s="1"/>
    </row>
    <row r="354" customFormat="false" ht="15" hidden="false" customHeight="false" outlineLevel="0" collapsed="false">
      <c r="A354" s="1"/>
      <c r="B354" s="50" t="s">
        <v>162</v>
      </c>
      <c r="C354" s="55" t="n">
        <f aca="false">ROUND(SUMPRODUCT(((F357:F361="KG")+(F357:F361="G"))*1)+SUMPRODUCT((F357:F361&lt;&gt;"KG")*(F357:F361&lt;&gt;"G")*E357:E361),0)</f>
        <v>5</v>
      </c>
      <c r="D354" s="55"/>
      <c r="E354" s="50" t="s">
        <v>163</v>
      </c>
      <c r="F354" s="50"/>
      <c r="G354" s="56" t="n">
        <f aca="false">IF(G352="","",ROUND(G352-G353,2))</f>
        <v>0</v>
      </c>
      <c r="H354" s="56"/>
      <c r="I354" s="56"/>
      <c r="J354" s="56"/>
      <c r="K354" s="56"/>
      <c r="L354" s="1"/>
    </row>
    <row r="355" customFormat="false" ht="15" hidden="false" customHeight="false" outlineLevel="0" collapsed="false">
      <c r="A355" s="1"/>
      <c r="B355" s="50" t="s">
        <v>84</v>
      </c>
      <c r="C355" s="57" t="str">
        <f aca="false">IF(C353=0,"— aguardando lançamento",IF(G352="","SEM TOTAL OFICIAL — informe o total do cupom",IF(AND(OR(C352="",C352=C353,C352=C354),ABS(G354)&lt;=0.05),"FECHADO — itens e valor conferem",IF(ABS(G354)&lt;=0.05,"REVISAR — qtd. de itens não bate","REVISAR — diferença de R$ "&amp;ABS(G354)))))</f>
        <v>FECHADO — itens e valor conferem</v>
      </c>
      <c r="D355" s="57"/>
      <c r="E355" s="57"/>
      <c r="F355" s="57"/>
      <c r="G355" s="50" t="s">
        <v>164</v>
      </c>
      <c r="H355" s="30"/>
      <c r="I355" s="30"/>
      <c r="J355" s="30"/>
      <c r="K355" s="30"/>
      <c r="L355" s="1"/>
    </row>
    <row r="356" customFormat="false" ht="15" hidden="false" customHeight="false" outlineLevel="0" collapsed="false">
      <c r="A356" s="1"/>
      <c r="B356" s="15" t="s">
        <v>165</v>
      </c>
      <c r="C356" s="15" t="s">
        <v>52</v>
      </c>
      <c r="D356" s="15" t="s">
        <v>9</v>
      </c>
      <c r="E356" s="15" t="s">
        <v>166</v>
      </c>
      <c r="F356" s="15" t="s">
        <v>167</v>
      </c>
      <c r="G356" s="15" t="s">
        <v>168</v>
      </c>
      <c r="H356" s="15" t="s">
        <v>10</v>
      </c>
      <c r="I356" s="15" t="s">
        <v>169</v>
      </c>
      <c r="J356" s="15" t="s">
        <v>170</v>
      </c>
      <c r="K356" s="15"/>
      <c r="L356" s="1"/>
    </row>
    <row r="357" customFormat="false" ht="15" hidden="false" customHeight="false" outlineLevel="0" collapsed="false">
      <c r="A357" s="1"/>
      <c r="B357" s="30" t="s">
        <v>427</v>
      </c>
      <c r="C357" s="16" t="s">
        <v>428</v>
      </c>
      <c r="D357" s="16" t="s">
        <v>12</v>
      </c>
      <c r="E357" s="64" t="n">
        <v>1</v>
      </c>
      <c r="F357" s="25" t="s">
        <v>179</v>
      </c>
      <c r="G357" s="17" t="n">
        <v>16.9</v>
      </c>
      <c r="H357" s="17" t="n">
        <v>16.9</v>
      </c>
      <c r="I357" s="62" t="n">
        <f aca="false">IF(OR(E357="",G357=""),"",ROUND(E357*G357,2))</f>
        <v>16.9</v>
      </c>
      <c r="J357" s="25" t="str">
        <f aca="false">IF(OR(H357="",I357=""),"",IF(ABS(H357-I357)&lt;=0.02,"OK","≠"))</f>
        <v>OK</v>
      </c>
      <c r="K357" s="16"/>
      <c r="L357" s="1"/>
    </row>
    <row r="358" customFormat="false" ht="15" hidden="false" customHeight="false" outlineLevel="0" collapsed="false">
      <c r="A358" s="1"/>
      <c r="B358" s="32" t="s">
        <v>429</v>
      </c>
      <c r="C358" s="19" t="s">
        <v>430</v>
      </c>
      <c r="D358" s="19" t="s">
        <v>15</v>
      </c>
      <c r="E358" s="65" t="n">
        <v>1</v>
      </c>
      <c r="F358" s="27" t="s">
        <v>179</v>
      </c>
      <c r="G358" s="20" t="n">
        <v>6.98</v>
      </c>
      <c r="H358" s="20" t="n">
        <v>6.98</v>
      </c>
      <c r="I358" s="62" t="n">
        <f aca="false">IF(OR(E358="",G358=""),"",ROUND(E358*G358,2))</f>
        <v>6.98</v>
      </c>
      <c r="J358" s="25" t="str">
        <f aca="false">IF(OR(H358="",I358=""),"",IF(ABS(H358-I358)&lt;=0.02,"OK","≠"))</f>
        <v>OK</v>
      </c>
      <c r="K358" s="16"/>
      <c r="L358" s="1"/>
    </row>
    <row r="359" customFormat="false" ht="15" hidden="false" customHeight="false" outlineLevel="0" collapsed="false">
      <c r="A359" s="1"/>
      <c r="B359" s="30" t="s">
        <v>431</v>
      </c>
      <c r="C359" s="16" t="s">
        <v>432</v>
      </c>
      <c r="D359" s="16" t="s">
        <v>14</v>
      </c>
      <c r="E359" s="64" t="n">
        <v>0.358</v>
      </c>
      <c r="F359" s="25" t="s">
        <v>176</v>
      </c>
      <c r="G359" s="17" t="n">
        <v>22.9</v>
      </c>
      <c r="H359" s="17" t="n">
        <v>8.2</v>
      </c>
      <c r="I359" s="62" t="n">
        <f aca="false">IF(OR(E359="",G359=""),"",ROUND(E359*G359,2))</f>
        <v>8.2</v>
      </c>
      <c r="J359" s="25" t="str">
        <f aca="false">IF(OR(H359="",I359=""),"",IF(ABS(H359-I359)&lt;=0.02,"OK","≠"))</f>
        <v>OK</v>
      </c>
      <c r="K359" s="16"/>
      <c r="L359" s="1"/>
    </row>
    <row r="360" customFormat="false" ht="15" hidden="false" customHeight="false" outlineLevel="0" collapsed="false">
      <c r="A360" s="1"/>
      <c r="B360" s="32" t="s">
        <v>433</v>
      </c>
      <c r="C360" s="19" t="s">
        <v>434</v>
      </c>
      <c r="D360" s="19" t="s">
        <v>15</v>
      </c>
      <c r="E360" s="65" t="n">
        <v>0.635</v>
      </c>
      <c r="F360" s="27" t="s">
        <v>176</v>
      </c>
      <c r="G360" s="20" t="n">
        <v>17.9</v>
      </c>
      <c r="H360" s="20" t="n">
        <v>11.37</v>
      </c>
      <c r="I360" s="62" t="n">
        <f aca="false">IF(OR(E360="",G360=""),"",ROUND(E360*G360,2))</f>
        <v>11.37</v>
      </c>
      <c r="J360" s="25" t="str">
        <f aca="false">IF(OR(H360="",I360=""),"",IF(ABS(H360-I360)&lt;=0.02,"OK","≠"))</f>
        <v>OK</v>
      </c>
      <c r="K360" s="16"/>
      <c r="L360" s="1"/>
    </row>
    <row r="361" customFormat="false" ht="15" hidden="false" customHeight="false" outlineLevel="0" collapsed="false">
      <c r="A361" s="1"/>
      <c r="B361" s="30" t="s">
        <v>435</v>
      </c>
      <c r="C361" s="16" t="s">
        <v>436</v>
      </c>
      <c r="D361" s="16" t="s">
        <v>15</v>
      </c>
      <c r="E361" s="64" t="n">
        <v>0.635</v>
      </c>
      <c r="F361" s="25" t="s">
        <v>176</v>
      </c>
      <c r="G361" s="17" t="n">
        <v>7.99</v>
      </c>
      <c r="H361" s="17" t="n">
        <v>5.07</v>
      </c>
      <c r="I361" s="62" t="n">
        <f aca="false">IF(OR(E361="",G361=""),"",ROUND(E361*G361,2))</f>
        <v>5.07</v>
      </c>
      <c r="J361" s="25" t="str">
        <f aca="false">IF(OR(H361="",I361=""),"",IF(ABS(H361-I361)&lt;=0.02,"OK","≠"))</f>
        <v>OK</v>
      </c>
      <c r="K361" s="16"/>
      <c r="L361" s="1"/>
    </row>
    <row r="362" customFormat="false" ht="15" hidden="false" customHeight="false" outlineLevel="0" collapsed="false">
      <c r="A362" s="1"/>
      <c r="B362" s="1"/>
      <c r="C362" s="1"/>
      <c r="D362" s="1"/>
      <c r="E362" s="1"/>
      <c r="F362" s="1"/>
      <c r="G362" s="1"/>
      <c r="H362" s="1"/>
      <c r="I362" s="1"/>
      <c r="J362" s="1"/>
      <c r="K362" s="1"/>
      <c r="L362" s="1"/>
    </row>
    <row r="363" customFormat="false" ht="19.5" hidden="false" customHeight="true" outlineLevel="0" collapsed="false">
      <c r="A363" s="1"/>
      <c r="B363" s="63" t="s">
        <v>437</v>
      </c>
      <c r="C363" s="63"/>
      <c r="D363" s="63"/>
      <c r="E363" s="63"/>
      <c r="F363" s="63"/>
      <c r="G363" s="63"/>
      <c r="H363" s="63"/>
      <c r="I363" s="63"/>
      <c r="J363" s="63"/>
      <c r="K363" s="63"/>
      <c r="L363" s="1"/>
    </row>
    <row r="364" customFormat="false" ht="15" hidden="false" customHeight="false" outlineLevel="0" collapsed="false">
      <c r="A364" s="1"/>
      <c r="B364" s="50" t="s">
        <v>34</v>
      </c>
      <c r="C364" s="45" t="s">
        <v>36</v>
      </c>
      <c r="D364" s="45"/>
      <c r="E364" s="50" t="s">
        <v>157</v>
      </c>
      <c r="F364" s="50"/>
      <c r="G364" s="45" t="s">
        <v>438</v>
      </c>
      <c r="H364" s="45"/>
      <c r="I364" s="45"/>
      <c r="J364" s="45"/>
      <c r="K364" s="45"/>
      <c r="L364" s="1"/>
    </row>
    <row r="365" customFormat="false" ht="15" hidden="false" customHeight="false" outlineLevel="0" collapsed="false">
      <c r="A365" s="1"/>
      <c r="B365" s="50" t="s">
        <v>78</v>
      </c>
      <c r="C365" s="39" t="n">
        <v>46159</v>
      </c>
      <c r="D365" s="39"/>
      <c r="E365" s="50" t="s">
        <v>80</v>
      </c>
      <c r="F365" s="50"/>
      <c r="G365" s="45" t="s">
        <v>173</v>
      </c>
      <c r="H365" s="45"/>
      <c r="I365" s="45"/>
      <c r="J365" s="45"/>
      <c r="K365" s="45"/>
      <c r="L365" s="1"/>
    </row>
    <row r="366" customFormat="false" ht="15" hidden="false" customHeight="false" outlineLevel="0" collapsed="false">
      <c r="A366" s="1"/>
      <c r="B366" s="50" t="s">
        <v>158</v>
      </c>
      <c r="C366" s="55" t="n">
        <v>13</v>
      </c>
      <c r="D366" s="55"/>
      <c r="E366" s="50" t="s">
        <v>159</v>
      </c>
      <c r="F366" s="50"/>
      <c r="G366" s="56" t="n">
        <v>102.74</v>
      </c>
      <c r="H366" s="56"/>
      <c r="I366" s="56"/>
      <c r="J366" s="56"/>
      <c r="K366" s="56"/>
      <c r="L366" s="1"/>
    </row>
    <row r="367" customFormat="false" ht="15" hidden="false" customHeight="false" outlineLevel="0" collapsed="false">
      <c r="A367" s="1"/>
      <c r="B367" s="50" t="s">
        <v>160</v>
      </c>
      <c r="C367" s="55" t="n">
        <f aca="false">COUNT(H371:H379)</f>
        <v>9</v>
      </c>
      <c r="D367" s="55"/>
      <c r="E367" s="50" t="s">
        <v>161</v>
      </c>
      <c r="F367" s="50"/>
      <c r="G367" s="56" t="n">
        <f aca="false">ROUND(SUM(H371:H379),2)</f>
        <v>102.74</v>
      </c>
      <c r="H367" s="56"/>
      <c r="I367" s="56"/>
      <c r="J367" s="56"/>
      <c r="K367" s="56"/>
      <c r="L367" s="1"/>
    </row>
    <row r="368" customFormat="false" ht="15" hidden="false" customHeight="false" outlineLevel="0" collapsed="false">
      <c r="A368" s="1"/>
      <c r="B368" s="50" t="s">
        <v>162</v>
      </c>
      <c r="C368" s="55" t="n">
        <f aca="false">ROUND(SUMPRODUCT(((F371:F379="KG")+(F371:F379="G"))*1)+SUMPRODUCT((F371:F379&lt;&gt;"KG")*(F371:F379&lt;&gt;"G")*E371:E379),0)</f>
        <v>13</v>
      </c>
      <c r="D368" s="55"/>
      <c r="E368" s="50" t="s">
        <v>163</v>
      </c>
      <c r="F368" s="50"/>
      <c r="G368" s="56" t="n">
        <f aca="false">IF(G366="","",ROUND(G366-G367,2))</f>
        <v>0</v>
      </c>
      <c r="H368" s="56"/>
      <c r="I368" s="56"/>
      <c r="J368" s="56"/>
      <c r="K368" s="56"/>
      <c r="L368" s="1"/>
    </row>
    <row r="369" customFormat="false" ht="15" hidden="false" customHeight="false" outlineLevel="0" collapsed="false">
      <c r="A369" s="1"/>
      <c r="B369" s="50" t="s">
        <v>84</v>
      </c>
      <c r="C369" s="57" t="str">
        <f aca="false">IF(C367=0,"— aguardando lançamento",IF(G366="","SEM TOTAL OFICIAL — informe o total do cupom",IF(AND(OR(C366="",C366=C367,C366=C368),ABS(G368)&lt;=0.05),"FECHADO — itens e valor conferem",IF(ABS(G368)&lt;=0.05,"REVISAR — qtd. de itens não bate","REVISAR — diferença de R$ "&amp;ABS(G368)))))</f>
        <v>FECHADO — itens e valor conferem</v>
      </c>
      <c r="D369" s="57"/>
      <c r="E369" s="57"/>
      <c r="F369" s="57"/>
      <c r="G369" s="50" t="s">
        <v>164</v>
      </c>
      <c r="H369" s="30"/>
      <c r="I369" s="30"/>
      <c r="J369" s="30"/>
      <c r="K369" s="30"/>
      <c r="L369" s="1"/>
    </row>
    <row r="370" customFormat="false" ht="15" hidden="false" customHeight="false" outlineLevel="0" collapsed="false">
      <c r="A370" s="1"/>
      <c r="B370" s="15" t="s">
        <v>165</v>
      </c>
      <c r="C370" s="15" t="s">
        <v>52</v>
      </c>
      <c r="D370" s="15" t="s">
        <v>9</v>
      </c>
      <c r="E370" s="15" t="s">
        <v>166</v>
      </c>
      <c r="F370" s="15" t="s">
        <v>167</v>
      </c>
      <c r="G370" s="15" t="s">
        <v>168</v>
      </c>
      <c r="H370" s="15" t="s">
        <v>10</v>
      </c>
      <c r="I370" s="15" t="s">
        <v>169</v>
      </c>
      <c r="J370" s="15" t="s">
        <v>170</v>
      </c>
      <c r="K370" s="15"/>
      <c r="L370" s="1"/>
    </row>
    <row r="371" customFormat="false" ht="15" hidden="false" customHeight="false" outlineLevel="0" collapsed="false">
      <c r="A371" s="1"/>
      <c r="B371" s="30" t="s">
        <v>439</v>
      </c>
      <c r="C371" s="16" t="s">
        <v>440</v>
      </c>
      <c r="D371" s="16" t="s">
        <v>16</v>
      </c>
      <c r="E371" s="64" t="n">
        <v>4</v>
      </c>
      <c r="F371" s="25" t="s">
        <v>179</v>
      </c>
      <c r="G371" s="17" t="n">
        <v>1.49</v>
      </c>
      <c r="H371" s="17" t="n">
        <v>5.96</v>
      </c>
      <c r="I371" s="62" t="n">
        <f aca="false">IF(OR(E371="",G371=""),"",ROUND(E371*G371,2))</f>
        <v>5.96</v>
      </c>
      <c r="J371" s="25" t="str">
        <f aca="false">IF(OR(H371="",I371=""),"",IF(ABS(H371-I371)&lt;=0.02,"OK","≠"))</f>
        <v>OK</v>
      </c>
      <c r="K371" s="16"/>
      <c r="L371" s="1"/>
    </row>
    <row r="372" customFormat="false" ht="15" hidden="false" customHeight="false" outlineLevel="0" collapsed="false">
      <c r="A372" s="1"/>
      <c r="B372" s="32" t="s">
        <v>196</v>
      </c>
      <c r="C372" s="19" t="s">
        <v>398</v>
      </c>
      <c r="D372" s="19" t="s">
        <v>14</v>
      </c>
      <c r="E372" s="65" t="n">
        <v>0.398</v>
      </c>
      <c r="F372" s="27" t="s">
        <v>176</v>
      </c>
      <c r="G372" s="20" t="n">
        <v>14.9</v>
      </c>
      <c r="H372" s="20" t="n">
        <v>5.93</v>
      </c>
      <c r="I372" s="62" t="n">
        <f aca="false">IF(OR(E372="",G372=""),"",ROUND(E372*G372,2))</f>
        <v>5.93</v>
      </c>
      <c r="J372" s="25" t="str">
        <f aca="false">IF(OR(H372="",I372=""),"",IF(ABS(H372-I372)&lt;=0.02,"OK","≠"))</f>
        <v>OK</v>
      </c>
      <c r="K372" s="16"/>
      <c r="L372" s="1"/>
    </row>
    <row r="373" customFormat="false" ht="15" hidden="false" customHeight="false" outlineLevel="0" collapsed="false">
      <c r="A373" s="1"/>
      <c r="B373" s="30" t="s">
        <v>441</v>
      </c>
      <c r="C373" s="16" t="s">
        <v>442</v>
      </c>
      <c r="D373" s="16" t="s">
        <v>12</v>
      </c>
      <c r="E373" s="64" t="n">
        <v>1</v>
      </c>
      <c r="F373" s="25" t="s">
        <v>179</v>
      </c>
      <c r="G373" s="17" t="n">
        <v>15.9</v>
      </c>
      <c r="H373" s="17" t="n">
        <v>15.9</v>
      </c>
      <c r="I373" s="62" t="n">
        <f aca="false">IF(OR(E373="",G373=""),"",ROUND(E373*G373,2))</f>
        <v>15.9</v>
      </c>
      <c r="J373" s="25" t="str">
        <f aca="false">IF(OR(H373="",I373=""),"",IF(ABS(H373-I373)&lt;=0.02,"OK","≠"))</f>
        <v>OK</v>
      </c>
      <c r="K373" s="16"/>
      <c r="L373" s="1"/>
    </row>
    <row r="374" customFormat="false" ht="15" hidden="false" customHeight="false" outlineLevel="0" collapsed="false">
      <c r="A374" s="1"/>
      <c r="B374" s="32" t="s">
        <v>443</v>
      </c>
      <c r="C374" s="19" t="s">
        <v>444</v>
      </c>
      <c r="D374" s="19" t="s">
        <v>12</v>
      </c>
      <c r="E374" s="65" t="n">
        <v>1</v>
      </c>
      <c r="F374" s="27" t="s">
        <v>179</v>
      </c>
      <c r="G374" s="20" t="n">
        <v>11.6</v>
      </c>
      <c r="H374" s="20" t="n">
        <v>11.6</v>
      </c>
      <c r="I374" s="62" t="n">
        <f aca="false">IF(OR(E374="",G374=""),"",ROUND(E374*G374,2))</f>
        <v>11.6</v>
      </c>
      <c r="J374" s="25" t="str">
        <f aca="false">IF(OR(H374="",I374=""),"",IF(ABS(H374-I374)&lt;=0.02,"OK","≠"))</f>
        <v>OK</v>
      </c>
      <c r="K374" s="16"/>
      <c r="L374" s="1"/>
    </row>
    <row r="375" customFormat="false" ht="15" hidden="false" customHeight="false" outlineLevel="0" collapsed="false">
      <c r="A375" s="1"/>
      <c r="B375" s="30" t="s">
        <v>445</v>
      </c>
      <c r="C375" s="16" t="s">
        <v>446</v>
      </c>
      <c r="D375" s="16" t="s">
        <v>12</v>
      </c>
      <c r="E375" s="64" t="n">
        <v>1</v>
      </c>
      <c r="F375" s="25" t="s">
        <v>179</v>
      </c>
      <c r="G375" s="17" t="n">
        <v>11.99</v>
      </c>
      <c r="H375" s="17" t="n">
        <v>11.99</v>
      </c>
      <c r="I375" s="62" t="n">
        <f aca="false">IF(OR(E375="",G375=""),"",ROUND(E375*G375,2))</f>
        <v>11.99</v>
      </c>
      <c r="J375" s="25" t="str">
        <f aca="false">IF(OR(H375="",I375=""),"",IF(ABS(H375-I375)&lt;=0.02,"OK","≠"))</f>
        <v>OK</v>
      </c>
      <c r="K375" s="16"/>
      <c r="L375" s="1"/>
    </row>
    <row r="376" customFormat="false" ht="15" hidden="false" customHeight="false" outlineLevel="0" collapsed="false">
      <c r="A376" s="1"/>
      <c r="B376" s="32" t="s">
        <v>324</v>
      </c>
      <c r="C376" s="19" t="s">
        <v>325</v>
      </c>
      <c r="D376" s="19" t="s">
        <v>13</v>
      </c>
      <c r="E376" s="65" t="n">
        <v>2</v>
      </c>
      <c r="F376" s="27" t="s">
        <v>179</v>
      </c>
      <c r="G376" s="20" t="n">
        <v>8.25</v>
      </c>
      <c r="H376" s="20" t="n">
        <v>16.5</v>
      </c>
      <c r="I376" s="62" t="n">
        <f aca="false">IF(OR(E376="",G376=""),"",ROUND(E376*G376,2))</f>
        <v>16.5</v>
      </c>
      <c r="J376" s="25" t="str">
        <f aca="false">IF(OR(H376="",I376=""),"",IF(ABS(H376-I376)&lt;=0.02,"OK","≠"))</f>
        <v>OK</v>
      </c>
      <c r="K376" s="16"/>
      <c r="L376" s="1"/>
    </row>
    <row r="377" customFormat="false" ht="15" hidden="false" customHeight="false" outlineLevel="0" collapsed="false">
      <c r="A377" s="1"/>
      <c r="B377" s="30" t="s">
        <v>447</v>
      </c>
      <c r="C377" s="16" t="s">
        <v>448</v>
      </c>
      <c r="D377" s="16" t="s">
        <v>14</v>
      </c>
      <c r="E377" s="64" t="n">
        <v>0.388</v>
      </c>
      <c r="F377" s="25" t="s">
        <v>176</v>
      </c>
      <c r="G377" s="17" t="n">
        <v>29</v>
      </c>
      <c r="H377" s="17" t="n">
        <v>11.25</v>
      </c>
      <c r="I377" s="62" t="n">
        <f aca="false">IF(OR(E377="",G377=""),"",ROUND(E377*G377,2))</f>
        <v>11.25</v>
      </c>
      <c r="J377" s="25" t="str">
        <f aca="false">IF(OR(H377="",I377=""),"",IF(ABS(H377-I377)&lt;=0.02,"OK","≠"))</f>
        <v>OK</v>
      </c>
      <c r="K377" s="16"/>
      <c r="L377" s="1"/>
    </row>
    <row r="378" customFormat="false" ht="15" hidden="false" customHeight="false" outlineLevel="0" collapsed="false">
      <c r="A378" s="1"/>
      <c r="B378" s="32" t="s">
        <v>449</v>
      </c>
      <c r="C378" s="19" t="s">
        <v>450</v>
      </c>
      <c r="D378" s="19" t="s">
        <v>25</v>
      </c>
      <c r="E378" s="65" t="n">
        <v>0.314</v>
      </c>
      <c r="F378" s="27" t="s">
        <v>176</v>
      </c>
      <c r="G378" s="20" t="n">
        <v>25.9</v>
      </c>
      <c r="H378" s="20" t="n">
        <v>8.13</v>
      </c>
      <c r="I378" s="62" t="n">
        <f aca="false">IF(OR(E378="",G378=""),"",ROUND(E378*G378,2))</f>
        <v>8.13</v>
      </c>
      <c r="J378" s="25" t="str">
        <f aca="false">IF(OR(H378="",I378=""),"",IF(ABS(H378-I378)&lt;=0.02,"OK","≠"))</f>
        <v>OK</v>
      </c>
      <c r="K378" s="16"/>
      <c r="L378" s="1"/>
    </row>
    <row r="379" customFormat="false" ht="15" hidden="false" customHeight="false" outlineLevel="0" collapsed="false">
      <c r="A379" s="1"/>
      <c r="B379" s="30" t="s">
        <v>451</v>
      </c>
      <c r="C379" s="16" t="s">
        <v>452</v>
      </c>
      <c r="D379" s="16" t="s">
        <v>25</v>
      </c>
      <c r="E379" s="64" t="n">
        <v>0.316</v>
      </c>
      <c r="F379" s="25" t="s">
        <v>176</v>
      </c>
      <c r="G379" s="17" t="n">
        <v>49</v>
      </c>
      <c r="H379" s="17" t="n">
        <v>15.48</v>
      </c>
      <c r="I379" s="62" t="n">
        <f aca="false">IF(OR(E379="",G379=""),"",ROUND(E379*G379,2))</f>
        <v>15.48</v>
      </c>
      <c r="J379" s="25" t="str">
        <f aca="false">IF(OR(H379="",I379=""),"",IF(ABS(H379-I379)&lt;=0.02,"OK","≠"))</f>
        <v>OK</v>
      </c>
      <c r="K379" s="16"/>
      <c r="L379" s="1"/>
    </row>
    <row r="380" customFormat="false" ht="15" hidden="false" customHeight="false" outlineLevel="0" collapsed="false">
      <c r="A380" s="1"/>
      <c r="B380" s="1"/>
      <c r="C380" s="1"/>
      <c r="D380" s="1"/>
      <c r="E380" s="1"/>
      <c r="F380" s="1"/>
      <c r="G380" s="1"/>
      <c r="H380" s="1"/>
      <c r="I380" s="1"/>
      <c r="J380" s="1"/>
      <c r="K380" s="1"/>
      <c r="L380" s="1"/>
    </row>
    <row r="381" customFormat="false" ht="19.5" hidden="false" customHeight="true" outlineLevel="0" collapsed="false">
      <c r="A381" s="1"/>
      <c r="B381" s="63" t="s">
        <v>453</v>
      </c>
      <c r="C381" s="63"/>
      <c r="D381" s="63"/>
      <c r="E381" s="63"/>
      <c r="F381" s="63"/>
      <c r="G381" s="63"/>
      <c r="H381" s="63"/>
      <c r="I381" s="63"/>
      <c r="J381" s="63"/>
      <c r="K381" s="63"/>
      <c r="L381" s="1"/>
    </row>
    <row r="382" customFormat="false" ht="15" hidden="false" customHeight="false" outlineLevel="0" collapsed="false">
      <c r="A382" s="1"/>
      <c r="B382" s="50" t="s">
        <v>34</v>
      </c>
      <c r="C382" s="45" t="s">
        <v>37</v>
      </c>
      <c r="D382" s="45"/>
      <c r="E382" s="50" t="s">
        <v>157</v>
      </c>
      <c r="F382" s="50"/>
      <c r="G382" s="45" t="s">
        <v>454</v>
      </c>
      <c r="H382" s="45"/>
      <c r="I382" s="45"/>
      <c r="J382" s="45"/>
      <c r="K382" s="45"/>
      <c r="L382" s="1"/>
    </row>
    <row r="383" customFormat="false" ht="15" hidden="false" customHeight="false" outlineLevel="0" collapsed="false">
      <c r="A383" s="1"/>
      <c r="B383" s="50" t="s">
        <v>78</v>
      </c>
      <c r="C383" s="39" t="n">
        <v>46161</v>
      </c>
      <c r="D383" s="39"/>
      <c r="E383" s="50" t="s">
        <v>80</v>
      </c>
      <c r="F383" s="50"/>
      <c r="G383" s="45" t="s">
        <v>173</v>
      </c>
      <c r="H383" s="45"/>
      <c r="I383" s="45"/>
      <c r="J383" s="45"/>
      <c r="K383" s="45"/>
      <c r="L383" s="1"/>
    </row>
    <row r="384" customFormat="false" ht="15" hidden="false" customHeight="false" outlineLevel="0" collapsed="false">
      <c r="A384" s="1"/>
      <c r="B384" s="50" t="s">
        <v>158</v>
      </c>
      <c r="C384" s="55" t="n">
        <v>2</v>
      </c>
      <c r="D384" s="55"/>
      <c r="E384" s="50" t="s">
        <v>159</v>
      </c>
      <c r="F384" s="50"/>
      <c r="G384" s="56" t="n">
        <v>17.05</v>
      </c>
      <c r="H384" s="56"/>
      <c r="I384" s="56"/>
      <c r="J384" s="56"/>
      <c r="K384" s="56"/>
      <c r="L384" s="1"/>
    </row>
    <row r="385" customFormat="false" ht="15" hidden="false" customHeight="false" outlineLevel="0" collapsed="false">
      <c r="A385" s="1"/>
      <c r="B385" s="50" t="s">
        <v>160</v>
      </c>
      <c r="C385" s="55" t="n">
        <f aca="false">COUNT(H389:H390)</f>
        <v>2</v>
      </c>
      <c r="D385" s="55"/>
      <c r="E385" s="50" t="s">
        <v>161</v>
      </c>
      <c r="F385" s="50"/>
      <c r="G385" s="56" t="n">
        <f aca="false">ROUND(SUM(H389:H390),2)</f>
        <v>17.05</v>
      </c>
      <c r="H385" s="56"/>
      <c r="I385" s="56"/>
      <c r="J385" s="56"/>
      <c r="K385" s="56"/>
      <c r="L385" s="1"/>
    </row>
    <row r="386" customFormat="false" ht="15" hidden="false" customHeight="false" outlineLevel="0" collapsed="false">
      <c r="A386" s="1"/>
      <c r="B386" s="50" t="s">
        <v>162</v>
      </c>
      <c r="C386" s="55" t="n">
        <f aca="false">ROUND(SUMPRODUCT(((F389:F390="KG")+(F389:F390="G"))*1)+SUMPRODUCT((F389:F390&lt;&gt;"KG")*(F389:F390&lt;&gt;"G")*E389:E390),0)</f>
        <v>3</v>
      </c>
      <c r="D386" s="55"/>
      <c r="E386" s="50" t="s">
        <v>163</v>
      </c>
      <c r="F386" s="50"/>
      <c r="G386" s="56" t="n">
        <f aca="false">IF(G384="","",ROUND(G384-G385,2))</f>
        <v>0</v>
      </c>
      <c r="H386" s="56"/>
      <c r="I386" s="56"/>
      <c r="J386" s="56"/>
      <c r="K386" s="56"/>
      <c r="L386" s="1"/>
    </row>
    <row r="387" customFormat="false" ht="15" hidden="false" customHeight="false" outlineLevel="0" collapsed="false">
      <c r="A387" s="1"/>
      <c r="B387" s="50" t="s">
        <v>84</v>
      </c>
      <c r="C387" s="57" t="str">
        <f aca="false">IF(C385=0,"— aguardando lançamento",IF(G384="","SEM TOTAL OFICIAL — informe o total do cupom",IF(AND(OR(C384="",C384=C385,C384=C386),ABS(G386)&lt;=0.05),"FECHADO — itens e valor conferem",IF(ABS(G386)&lt;=0.05,"REVISAR — qtd. de itens não bate","REVISAR — diferença de R$ "&amp;ABS(G386)))))</f>
        <v>FECHADO — itens e valor conferem</v>
      </c>
      <c r="D387" s="57"/>
      <c r="E387" s="57"/>
      <c r="F387" s="57"/>
      <c r="G387" s="50" t="s">
        <v>164</v>
      </c>
      <c r="H387" s="30" t="s">
        <v>455</v>
      </c>
      <c r="I387" s="30"/>
      <c r="J387" s="30"/>
      <c r="K387" s="30"/>
      <c r="L387" s="1"/>
    </row>
    <row r="388" customFormat="false" ht="15" hidden="false" customHeight="false" outlineLevel="0" collapsed="false">
      <c r="A388" s="1"/>
      <c r="B388" s="15" t="s">
        <v>165</v>
      </c>
      <c r="C388" s="15" t="s">
        <v>52</v>
      </c>
      <c r="D388" s="15" t="s">
        <v>9</v>
      </c>
      <c r="E388" s="15" t="s">
        <v>166</v>
      </c>
      <c r="F388" s="15" t="s">
        <v>167</v>
      </c>
      <c r="G388" s="15" t="s">
        <v>168</v>
      </c>
      <c r="H388" s="15" t="s">
        <v>10</v>
      </c>
      <c r="I388" s="15" t="s">
        <v>169</v>
      </c>
      <c r="J388" s="15" t="s">
        <v>170</v>
      </c>
      <c r="K388" s="15"/>
      <c r="L388" s="1"/>
    </row>
    <row r="389" customFormat="false" ht="15" hidden="false" customHeight="false" outlineLevel="0" collapsed="false">
      <c r="A389" s="1"/>
      <c r="B389" s="30" t="s">
        <v>456</v>
      </c>
      <c r="C389" s="16" t="s">
        <v>457</v>
      </c>
      <c r="D389" s="16" t="s">
        <v>16</v>
      </c>
      <c r="E389" s="64" t="n">
        <v>2</v>
      </c>
      <c r="F389" s="25" t="s">
        <v>179</v>
      </c>
      <c r="G389" s="17" t="n">
        <v>4.99</v>
      </c>
      <c r="H389" s="17" t="n">
        <v>9.98</v>
      </c>
      <c r="I389" s="62" t="n">
        <f aca="false">IF(OR(E389="",G389=""),"",ROUND(E389*G389,2))</f>
        <v>9.98</v>
      </c>
      <c r="J389" s="25" t="str">
        <f aca="false">IF(OR(H389="",I389=""),"",IF(ABS(H389-I389)&lt;=0.02,"OK","≠"))</f>
        <v>OK</v>
      </c>
      <c r="K389" s="16"/>
      <c r="L389" s="1"/>
    </row>
    <row r="390" customFormat="false" ht="15" hidden="false" customHeight="false" outlineLevel="0" collapsed="false">
      <c r="A390" s="1"/>
      <c r="B390" s="32" t="s">
        <v>458</v>
      </c>
      <c r="C390" s="19" t="s">
        <v>459</v>
      </c>
      <c r="D390" s="19" t="s">
        <v>14</v>
      </c>
      <c r="E390" s="65" t="n">
        <v>0.395</v>
      </c>
      <c r="F390" s="27" t="s">
        <v>176</v>
      </c>
      <c r="G390" s="20" t="n">
        <v>17.9</v>
      </c>
      <c r="H390" s="20" t="n">
        <v>7.07</v>
      </c>
      <c r="I390" s="62" t="n">
        <f aca="false">IF(OR(E390="",G390=""),"",ROUND(E390*G390,2))</f>
        <v>7.07</v>
      </c>
      <c r="J390" s="25" t="str">
        <f aca="false">IF(OR(H390="",I390=""),"",IF(ABS(H390-I390)&lt;=0.02,"OK","≠"))</f>
        <v>OK</v>
      </c>
      <c r="K390" s="16"/>
      <c r="L390" s="1"/>
    </row>
    <row r="391" customFormat="false" ht="15" hidden="false" customHeight="false" outlineLevel="0" collapsed="false">
      <c r="A391" s="1"/>
      <c r="B391" s="1"/>
      <c r="C391" s="1"/>
      <c r="D391" s="1"/>
      <c r="E391" s="1"/>
      <c r="F391" s="1"/>
      <c r="G391" s="1"/>
      <c r="H391" s="1"/>
      <c r="I391" s="1"/>
      <c r="J391" s="1"/>
      <c r="K391" s="1"/>
      <c r="L391" s="1"/>
    </row>
    <row r="392" customFormat="false" ht="19.5" hidden="false" customHeight="true" outlineLevel="0" collapsed="false">
      <c r="A392" s="1"/>
      <c r="B392" s="63" t="s">
        <v>460</v>
      </c>
      <c r="C392" s="63"/>
      <c r="D392" s="63"/>
      <c r="E392" s="63"/>
      <c r="F392" s="63"/>
      <c r="G392" s="63"/>
      <c r="H392" s="63"/>
      <c r="I392" s="63"/>
      <c r="J392" s="63"/>
      <c r="K392" s="63"/>
      <c r="L392" s="1"/>
    </row>
    <row r="393" customFormat="false" ht="15" hidden="false" customHeight="false" outlineLevel="0" collapsed="false">
      <c r="A393" s="1"/>
      <c r="B393" s="50" t="s">
        <v>34</v>
      </c>
      <c r="C393" s="45" t="s">
        <v>39</v>
      </c>
      <c r="D393" s="45"/>
      <c r="E393" s="50" t="s">
        <v>157</v>
      </c>
      <c r="F393" s="50"/>
      <c r="G393" s="45" t="s">
        <v>461</v>
      </c>
      <c r="H393" s="45"/>
      <c r="I393" s="45"/>
      <c r="J393" s="45"/>
      <c r="K393" s="45"/>
      <c r="L393" s="1"/>
    </row>
    <row r="394" customFormat="false" ht="15" hidden="false" customHeight="false" outlineLevel="0" collapsed="false">
      <c r="A394" s="1"/>
      <c r="B394" s="50" t="s">
        <v>78</v>
      </c>
      <c r="C394" s="39" t="n">
        <v>46162</v>
      </c>
      <c r="D394" s="39"/>
      <c r="E394" s="50" t="s">
        <v>80</v>
      </c>
      <c r="F394" s="50"/>
      <c r="G394" s="45" t="s">
        <v>173</v>
      </c>
      <c r="H394" s="45"/>
      <c r="I394" s="45"/>
      <c r="J394" s="45"/>
      <c r="K394" s="45"/>
      <c r="L394" s="1"/>
    </row>
    <row r="395" customFormat="false" ht="15" hidden="false" customHeight="false" outlineLevel="0" collapsed="false">
      <c r="A395" s="1"/>
      <c r="B395" s="50" t="s">
        <v>158</v>
      </c>
      <c r="C395" s="55" t="n">
        <v>4</v>
      </c>
      <c r="D395" s="55"/>
      <c r="E395" s="50" t="s">
        <v>159</v>
      </c>
      <c r="F395" s="50"/>
      <c r="G395" s="56" t="n">
        <v>36</v>
      </c>
      <c r="H395" s="56"/>
      <c r="I395" s="56"/>
      <c r="J395" s="56"/>
      <c r="K395" s="56"/>
      <c r="L395" s="1"/>
    </row>
    <row r="396" customFormat="false" ht="15" hidden="false" customHeight="false" outlineLevel="0" collapsed="false">
      <c r="A396" s="1"/>
      <c r="B396" s="50" t="s">
        <v>160</v>
      </c>
      <c r="C396" s="55" t="n">
        <f aca="false">COUNT(H400:H403)</f>
        <v>4</v>
      </c>
      <c r="D396" s="55"/>
      <c r="E396" s="50" t="s">
        <v>161</v>
      </c>
      <c r="F396" s="50"/>
      <c r="G396" s="56" t="n">
        <f aca="false">ROUND(SUM(H400:H403),2)</f>
        <v>36</v>
      </c>
      <c r="H396" s="56"/>
      <c r="I396" s="56"/>
      <c r="J396" s="56"/>
      <c r="K396" s="56"/>
      <c r="L396" s="1"/>
    </row>
    <row r="397" customFormat="false" ht="15" hidden="false" customHeight="false" outlineLevel="0" collapsed="false">
      <c r="A397" s="1"/>
      <c r="B397" s="50" t="s">
        <v>162</v>
      </c>
      <c r="C397" s="55" t="n">
        <f aca="false">ROUND(SUMPRODUCT(((F400:F403="KG")+(F400:F403="G"))*1)+SUMPRODUCT((F400:F403&lt;&gt;"KG")*(F400:F403&lt;&gt;"G")*E400:E403),0)</f>
        <v>5</v>
      </c>
      <c r="D397" s="55"/>
      <c r="E397" s="50" t="s">
        <v>163</v>
      </c>
      <c r="F397" s="50"/>
      <c r="G397" s="56" t="n">
        <f aca="false">IF(G395="","",ROUND(G395-G396,2))</f>
        <v>0</v>
      </c>
      <c r="H397" s="56"/>
      <c r="I397" s="56"/>
      <c r="J397" s="56"/>
      <c r="K397" s="56"/>
      <c r="L397" s="1"/>
    </row>
    <row r="398" customFormat="false" ht="15" hidden="false" customHeight="false" outlineLevel="0" collapsed="false">
      <c r="A398" s="1"/>
      <c r="B398" s="50" t="s">
        <v>84</v>
      </c>
      <c r="C398" s="57" t="str">
        <f aca="false">IF(C396=0,"— aguardando lançamento",IF(G395="","SEM TOTAL OFICIAL — informe o total do cupom",IF(AND(OR(C395="",C395=C396,C395=C397),ABS(G397)&lt;=0.05),"FECHADO — itens e valor conferem",IF(ABS(G397)&lt;=0.05,"REVISAR — qtd. de itens não bate","REVISAR — diferença de R$ "&amp;ABS(G397)))))</f>
        <v>FECHADO — itens e valor conferem</v>
      </c>
      <c r="D398" s="57"/>
      <c r="E398" s="57"/>
      <c r="F398" s="57"/>
      <c r="G398" s="50" t="s">
        <v>164</v>
      </c>
      <c r="H398" s="30" t="s">
        <v>462</v>
      </c>
      <c r="I398" s="30"/>
      <c r="J398" s="30"/>
      <c r="K398" s="30"/>
      <c r="L398" s="1"/>
    </row>
    <row r="399" customFormat="false" ht="15" hidden="false" customHeight="false" outlineLevel="0" collapsed="false">
      <c r="A399" s="1"/>
      <c r="B399" s="15" t="s">
        <v>165</v>
      </c>
      <c r="C399" s="15" t="s">
        <v>52</v>
      </c>
      <c r="D399" s="15" t="s">
        <v>9</v>
      </c>
      <c r="E399" s="15" t="s">
        <v>166</v>
      </c>
      <c r="F399" s="15" t="s">
        <v>167</v>
      </c>
      <c r="G399" s="15" t="s">
        <v>168</v>
      </c>
      <c r="H399" s="15" t="s">
        <v>10</v>
      </c>
      <c r="I399" s="15" t="s">
        <v>169</v>
      </c>
      <c r="J399" s="15" t="s">
        <v>170</v>
      </c>
      <c r="K399" s="15"/>
      <c r="L399" s="1"/>
    </row>
    <row r="400" customFormat="false" ht="15" hidden="false" customHeight="false" outlineLevel="0" collapsed="false">
      <c r="A400" s="1"/>
      <c r="B400" s="30" t="s">
        <v>463</v>
      </c>
      <c r="C400" s="16" t="s">
        <v>464</v>
      </c>
      <c r="D400" s="16" t="s">
        <v>14</v>
      </c>
      <c r="E400" s="64" t="n">
        <v>0.45</v>
      </c>
      <c r="F400" s="25" t="s">
        <v>176</v>
      </c>
      <c r="G400" s="17" t="n">
        <v>14.99</v>
      </c>
      <c r="H400" s="17" t="n">
        <v>6.75</v>
      </c>
      <c r="I400" s="62" t="n">
        <f aca="false">IF(OR(E400="",G400=""),"",ROUND(E400*G400,2))</f>
        <v>6.75</v>
      </c>
      <c r="J400" s="25" t="str">
        <f aca="false">IF(OR(H400="",I400=""),"",IF(ABS(H400-I400)&lt;=0.02,"OK","≠"))</f>
        <v>OK</v>
      </c>
      <c r="K400" s="16"/>
      <c r="L400" s="1"/>
    </row>
    <row r="401" customFormat="false" ht="15" hidden="false" customHeight="false" outlineLevel="0" collapsed="false">
      <c r="A401" s="1"/>
      <c r="B401" s="32" t="s">
        <v>465</v>
      </c>
      <c r="C401" s="19" t="s">
        <v>466</v>
      </c>
      <c r="D401" s="19" t="s">
        <v>14</v>
      </c>
      <c r="E401" s="65" t="n">
        <v>0.235</v>
      </c>
      <c r="F401" s="27" t="s">
        <v>176</v>
      </c>
      <c r="G401" s="20" t="n">
        <v>41</v>
      </c>
      <c r="H401" s="20" t="n">
        <v>9.64</v>
      </c>
      <c r="I401" s="62" t="n">
        <f aca="false">IF(OR(E401="",G401=""),"",ROUND(E401*G401,2))</f>
        <v>9.64</v>
      </c>
      <c r="J401" s="25" t="str">
        <f aca="false">IF(OR(H401="",I401=""),"",IF(ABS(H401-I401)&lt;=0.02,"OK","≠"))</f>
        <v>OK</v>
      </c>
      <c r="K401" s="16"/>
      <c r="L401" s="1"/>
    </row>
    <row r="402" customFormat="false" ht="15" hidden="false" customHeight="false" outlineLevel="0" collapsed="false">
      <c r="A402" s="1"/>
      <c r="B402" s="30" t="s">
        <v>467</v>
      </c>
      <c r="C402" s="16" t="s">
        <v>468</v>
      </c>
      <c r="D402" s="16" t="s">
        <v>16</v>
      </c>
      <c r="E402" s="64" t="n">
        <v>2</v>
      </c>
      <c r="F402" s="25" t="s">
        <v>179</v>
      </c>
      <c r="G402" s="17" t="n">
        <v>6.4</v>
      </c>
      <c r="H402" s="17" t="n">
        <v>12.8</v>
      </c>
      <c r="I402" s="62" t="n">
        <f aca="false">IF(OR(E402="",G402=""),"",ROUND(E402*G402,2))</f>
        <v>12.8</v>
      </c>
      <c r="J402" s="25" t="str">
        <f aca="false">IF(OR(H402="",I402=""),"",IF(ABS(H402-I402)&lt;=0.02,"OK","≠"))</f>
        <v>OK</v>
      </c>
      <c r="K402" s="16"/>
      <c r="L402" s="1"/>
    </row>
    <row r="403" customFormat="false" ht="15" hidden="false" customHeight="false" outlineLevel="0" collapsed="false">
      <c r="A403" s="1"/>
      <c r="B403" s="32" t="s">
        <v>469</v>
      </c>
      <c r="C403" s="19" t="s">
        <v>470</v>
      </c>
      <c r="D403" s="19" t="s">
        <v>14</v>
      </c>
      <c r="E403" s="65" t="n">
        <v>0.166</v>
      </c>
      <c r="F403" s="27" t="s">
        <v>176</v>
      </c>
      <c r="G403" s="20" t="n">
        <v>41</v>
      </c>
      <c r="H403" s="20" t="n">
        <v>6.81</v>
      </c>
      <c r="I403" s="62" t="n">
        <f aca="false">IF(OR(E403="",G403=""),"",ROUND(E403*G403,2))</f>
        <v>6.81</v>
      </c>
      <c r="J403" s="25" t="str">
        <f aca="false">IF(OR(H403="",I403=""),"",IF(ABS(H403-I403)&lt;=0.02,"OK","≠"))</f>
        <v>OK</v>
      </c>
      <c r="K403" s="16"/>
      <c r="L403" s="1"/>
    </row>
    <row r="404" customFormat="false" ht="15" hidden="false" customHeight="false" outlineLevel="0" collapsed="false">
      <c r="A404" s="1"/>
      <c r="B404" s="1"/>
      <c r="C404" s="1"/>
      <c r="D404" s="1"/>
      <c r="E404" s="1"/>
      <c r="F404" s="1"/>
      <c r="G404" s="1"/>
      <c r="H404" s="1"/>
      <c r="I404" s="1"/>
      <c r="J404" s="1"/>
      <c r="K404" s="1"/>
      <c r="L404" s="1"/>
    </row>
    <row r="405" customFormat="false" ht="19.5" hidden="false" customHeight="true" outlineLevel="0" collapsed="false">
      <c r="A405" s="1"/>
      <c r="B405" s="63" t="s">
        <v>471</v>
      </c>
      <c r="C405" s="63"/>
      <c r="D405" s="63"/>
      <c r="E405" s="63"/>
      <c r="F405" s="63"/>
      <c r="G405" s="63"/>
      <c r="H405" s="63"/>
      <c r="I405" s="63"/>
      <c r="J405" s="63"/>
      <c r="K405" s="63"/>
      <c r="L405" s="1"/>
    </row>
    <row r="406" customFormat="false" ht="15" hidden="false" customHeight="false" outlineLevel="0" collapsed="false">
      <c r="A406" s="1"/>
      <c r="B406" s="50" t="s">
        <v>34</v>
      </c>
      <c r="C406" s="45" t="s">
        <v>38</v>
      </c>
      <c r="D406" s="45"/>
      <c r="E406" s="50" t="s">
        <v>157</v>
      </c>
      <c r="F406" s="50"/>
      <c r="G406" s="45" t="s">
        <v>472</v>
      </c>
      <c r="H406" s="45"/>
      <c r="I406" s="45"/>
      <c r="J406" s="45"/>
      <c r="K406" s="45"/>
      <c r="L406" s="1"/>
    </row>
    <row r="407" customFormat="false" ht="15" hidden="false" customHeight="false" outlineLevel="0" collapsed="false">
      <c r="A407" s="1"/>
      <c r="B407" s="50" t="s">
        <v>78</v>
      </c>
      <c r="C407" s="39" t="n">
        <v>46163</v>
      </c>
      <c r="D407" s="39"/>
      <c r="E407" s="50" t="s">
        <v>80</v>
      </c>
      <c r="F407" s="50"/>
      <c r="G407" s="45" t="s">
        <v>173</v>
      </c>
      <c r="H407" s="45"/>
      <c r="I407" s="45"/>
      <c r="J407" s="45"/>
      <c r="K407" s="45"/>
      <c r="L407" s="1"/>
    </row>
    <row r="408" customFormat="false" ht="15" hidden="false" customHeight="false" outlineLevel="0" collapsed="false">
      <c r="A408" s="1"/>
      <c r="B408" s="50" t="s">
        <v>158</v>
      </c>
      <c r="C408" s="55" t="n">
        <v>5</v>
      </c>
      <c r="D408" s="55"/>
      <c r="E408" s="50" t="s">
        <v>159</v>
      </c>
      <c r="F408" s="50"/>
      <c r="G408" s="56" t="n">
        <v>33.34</v>
      </c>
      <c r="H408" s="56"/>
      <c r="I408" s="56"/>
      <c r="J408" s="56"/>
      <c r="K408" s="56"/>
      <c r="L408" s="1"/>
    </row>
    <row r="409" customFormat="false" ht="15" hidden="false" customHeight="false" outlineLevel="0" collapsed="false">
      <c r="A409" s="1"/>
      <c r="B409" s="50" t="s">
        <v>160</v>
      </c>
      <c r="C409" s="55" t="n">
        <f aca="false">COUNT(H413:H417)</f>
        <v>5</v>
      </c>
      <c r="D409" s="55"/>
      <c r="E409" s="50" t="s">
        <v>161</v>
      </c>
      <c r="F409" s="50"/>
      <c r="G409" s="56" t="n">
        <f aca="false">ROUND(SUM(H413:H417),2)</f>
        <v>33.34</v>
      </c>
      <c r="H409" s="56"/>
      <c r="I409" s="56"/>
      <c r="J409" s="56"/>
      <c r="K409" s="56"/>
      <c r="L409" s="1"/>
    </row>
    <row r="410" customFormat="false" ht="15" hidden="false" customHeight="false" outlineLevel="0" collapsed="false">
      <c r="A410" s="1"/>
      <c r="B410" s="50" t="s">
        <v>162</v>
      </c>
      <c r="C410" s="55" t="n">
        <f aca="false">ROUND(SUMPRODUCT(((F413:F417="KG")+(F413:F417="G"))*1)+SUMPRODUCT((F413:F417&lt;&gt;"KG")*(F413:F417&lt;&gt;"G")*E413:E417),0)</f>
        <v>5</v>
      </c>
      <c r="D410" s="55"/>
      <c r="E410" s="50" t="s">
        <v>163</v>
      </c>
      <c r="F410" s="50"/>
      <c r="G410" s="56" t="n">
        <f aca="false">IF(G408="","",ROUND(G408-G409,2))</f>
        <v>0</v>
      </c>
      <c r="H410" s="56"/>
      <c r="I410" s="56"/>
      <c r="J410" s="56"/>
      <c r="K410" s="56"/>
      <c r="L410" s="1"/>
    </row>
    <row r="411" customFormat="false" ht="15" hidden="false" customHeight="false" outlineLevel="0" collapsed="false">
      <c r="A411" s="1"/>
      <c r="B411" s="50" t="s">
        <v>84</v>
      </c>
      <c r="C411" s="57" t="str">
        <f aca="false">IF(C409=0,"— aguardando lançamento",IF(G408="","SEM TOTAL OFICIAL — informe o total do cupom",IF(AND(OR(C408="",C408=C409,C408=C410),ABS(G410)&lt;=0.05),"FECHADO — itens e valor conferem",IF(ABS(G410)&lt;=0.05,"REVISAR — qtd. de itens não bate","REVISAR — diferença de R$ "&amp;ABS(G410)))))</f>
        <v>FECHADO — itens e valor conferem</v>
      </c>
      <c r="D411" s="57"/>
      <c r="E411" s="57"/>
      <c r="F411" s="57"/>
      <c r="G411" s="50" t="s">
        <v>164</v>
      </c>
      <c r="H411" s="30" t="s">
        <v>473</v>
      </c>
      <c r="I411" s="30"/>
      <c r="J411" s="30"/>
      <c r="K411" s="30"/>
      <c r="L411" s="1"/>
    </row>
    <row r="412" customFormat="false" ht="15" hidden="false" customHeight="false" outlineLevel="0" collapsed="false">
      <c r="A412" s="1"/>
      <c r="B412" s="15" t="s">
        <v>165</v>
      </c>
      <c r="C412" s="15" t="s">
        <v>52</v>
      </c>
      <c r="D412" s="15" t="s">
        <v>9</v>
      </c>
      <c r="E412" s="15" t="s">
        <v>166</v>
      </c>
      <c r="F412" s="15" t="s">
        <v>167</v>
      </c>
      <c r="G412" s="15" t="s">
        <v>168</v>
      </c>
      <c r="H412" s="15" t="s">
        <v>10</v>
      </c>
      <c r="I412" s="15" t="s">
        <v>169</v>
      </c>
      <c r="J412" s="15" t="s">
        <v>170</v>
      </c>
      <c r="K412" s="15"/>
      <c r="L412" s="1"/>
    </row>
    <row r="413" customFormat="false" ht="15" hidden="false" customHeight="false" outlineLevel="0" collapsed="false">
      <c r="A413" s="1"/>
      <c r="B413" s="30" t="s">
        <v>474</v>
      </c>
      <c r="C413" s="16" t="s">
        <v>475</v>
      </c>
      <c r="D413" s="16" t="s">
        <v>15</v>
      </c>
      <c r="E413" s="64" t="n">
        <v>1.266</v>
      </c>
      <c r="F413" s="25" t="s">
        <v>176</v>
      </c>
      <c r="G413" s="17" t="n">
        <v>3.98</v>
      </c>
      <c r="H413" s="17" t="n">
        <v>5.04</v>
      </c>
      <c r="I413" s="62" t="n">
        <f aca="false">IF(OR(E413="",G413=""),"",ROUND(E413*G413,2))</f>
        <v>5.04</v>
      </c>
      <c r="J413" s="25" t="str">
        <f aca="false">IF(OR(H413="",I413=""),"",IF(ABS(H413-I413)&lt;=0.02,"OK","≠"))</f>
        <v>OK</v>
      </c>
      <c r="K413" s="16"/>
      <c r="L413" s="1"/>
    </row>
    <row r="414" customFormat="false" ht="15" hidden="false" customHeight="false" outlineLevel="0" collapsed="false">
      <c r="A414" s="1"/>
      <c r="B414" s="32" t="s">
        <v>476</v>
      </c>
      <c r="C414" s="19" t="s">
        <v>477</v>
      </c>
      <c r="D414" s="19" t="s">
        <v>15</v>
      </c>
      <c r="E414" s="65" t="n">
        <v>1</v>
      </c>
      <c r="F414" s="27" t="s">
        <v>179</v>
      </c>
      <c r="G414" s="20" t="n">
        <v>3.9</v>
      </c>
      <c r="H414" s="20" t="n">
        <v>3.9</v>
      </c>
      <c r="I414" s="62" t="n">
        <f aca="false">IF(OR(E414="",G414=""),"",ROUND(E414*G414,2))</f>
        <v>3.9</v>
      </c>
      <c r="J414" s="25" t="str">
        <f aca="false">IF(OR(H414="",I414=""),"",IF(ABS(H414-I414)&lt;=0.02,"OK","≠"))</f>
        <v>OK</v>
      </c>
      <c r="K414" s="16"/>
      <c r="L414" s="1"/>
    </row>
    <row r="415" customFormat="false" ht="15" hidden="false" customHeight="false" outlineLevel="0" collapsed="false">
      <c r="A415" s="1"/>
      <c r="B415" s="30" t="s">
        <v>478</v>
      </c>
      <c r="C415" s="16" t="s">
        <v>479</v>
      </c>
      <c r="D415" s="16" t="s">
        <v>15</v>
      </c>
      <c r="E415" s="64" t="n">
        <v>0.786</v>
      </c>
      <c r="F415" s="25" t="s">
        <v>176</v>
      </c>
      <c r="G415" s="17" t="n">
        <v>11.28</v>
      </c>
      <c r="H415" s="17" t="n">
        <v>8.87</v>
      </c>
      <c r="I415" s="62" t="n">
        <f aca="false">IF(OR(E415="",G415=""),"",ROUND(E415*G415,2))</f>
        <v>8.87</v>
      </c>
      <c r="J415" s="25" t="str">
        <f aca="false">IF(OR(H415="",I415=""),"",IF(ABS(H415-I415)&lt;=0.02,"OK","≠"))</f>
        <v>OK</v>
      </c>
      <c r="K415" s="16"/>
      <c r="L415" s="1"/>
    </row>
    <row r="416" customFormat="false" ht="15" hidden="false" customHeight="false" outlineLevel="0" collapsed="false">
      <c r="A416" s="1"/>
      <c r="B416" s="32" t="s">
        <v>480</v>
      </c>
      <c r="C416" s="19" t="s">
        <v>481</v>
      </c>
      <c r="D416" s="19" t="s">
        <v>15</v>
      </c>
      <c r="E416" s="65" t="n">
        <v>1.256</v>
      </c>
      <c r="F416" s="27" t="s">
        <v>176</v>
      </c>
      <c r="G416" s="20" t="n">
        <v>10.98</v>
      </c>
      <c r="H416" s="20" t="n">
        <v>13.79</v>
      </c>
      <c r="I416" s="62" t="n">
        <f aca="false">IF(OR(E416="",G416=""),"",ROUND(E416*G416,2))</f>
        <v>13.79</v>
      </c>
      <c r="J416" s="25" t="str">
        <f aca="false">IF(OR(H416="",I416=""),"",IF(ABS(H416-I416)&lt;=0.02,"OK","≠"))</f>
        <v>OK</v>
      </c>
      <c r="K416" s="16"/>
      <c r="L416" s="1"/>
    </row>
    <row r="417" customFormat="false" ht="15" hidden="false" customHeight="false" outlineLevel="0" collapsed="false">
      <c r="A417" s="1"/>
      <c r="B417" s="30" t="s">
        <v>482</v>
      </c>
      <c r="C417" s="16" t="s">
        <v>483</v>
      </c>
      <c r="D417" s="16" t="s">
        <v>15</v>
      </c>
      <c r="E417" s="64" t="n">
        <v>0.648</v>
      </c>
      <c r="F417" s="25" t="s">
        <v>176</v>
      </c>
      <c r="G417" s="17" t="n">
        <v>2.68</v>
      </c>
      <c r="H417" s="17" t="n">
        <v>1.74</v>
      </c>
      <c r="I417" s="62" t="n">
        <f aca="false">IF(OR(E417="",G417=""),"",ROUND(E417*G417,2))</f>
        <v>1.74</v>
      </c>
      <c r="J417" s="25" t="str">
        <f aca="false">IF(OR(H417="",I417=""),"",IF(ABS(H417-I417)&lt;=0.02,"OK","≠"))</f>
        <v>OK</v>
      </c>
      <c r="K417" s="16"/>
      <c r="L417" s="1"/>
    </row>
    <row r="418" customFormat="false" ht="15" hidden="false" customHeight="false" outlineLevel="0" collapsed="false">
      <c r="A418" s="1"/>
      <c r="B418" s="1"/>
      <c r="C418" s="1"/>
      <c r="D418" s="1"/>
      <c r="E418" s="1"/>
      <c r="F418" s="1"/>
      <c r="G418" s="1"/>
      <c r="H418" s="1"/>
      <c r="I418" s="1"/>
      <c r="J418" s="1"/>
      <c r="K418" s="1"/>
      <c r="L418" s="1"/>
    </row>
    <row r="419" customFormat="false" ht="19.5" hidden="false" customHeight="true" outlineLevel="0" collapsed="false">
      <c r="A419" s="1"/>
      <c r="B419" s="63" t="s">
        <v>484</v>
      </c>
      <c r="C419" s="63"/>
      <c r="D419" s="63"/>
      <c r="E419" s="63"/>
      <c r="F419" s="63"/>
      <c r="G419" s="63"/>
      <c r="H419" s="63"/>
      <c r="I419" s="63"/>
      <c r="J419" s="63"/>
      <c r="K419" s="63"/>
      <c r="L419" s="1"/>
    </row>
    <row r="420" customFormat="false" ht="15" hidden="false" customHeight="false" outlineLevel="0" collapsed="false">
      <c r="A420" s="1"/>
      <c r="B420" s="50" t="s">
        <v>34</v>
      </c>
      <c r="C420" s="45" t="s">
        <v>38</v>
      </c>
      <c r="D420" s="45"/>
      <c r="E420" s="50" t="s">
        <v>157</v>
      </c>
      <c r="F420" s="50"/>
      <c r="G420" s="45" t="s">
        <v>485</v>
      </c>
      <c r="H420" s="45"/>
      <c r="I420" s="45"/>
      <c r="J420" s="45"/>
      <c r="K420" s="45"/>
      <c r="L420" s="1"/>
    </row>
    <row r="421" customFormat="false" ht="15" hidden="false" customHeight="false" outlineLevel="0" collapsed="false">
      <c r="A421" s="1"/>
      <c r="B421" s="50" t="s">
        <v>78</v>
      </c>
      <c r="C421" s="39" t="n">
        <v>46168</v>
      </c>
      <c r="D421" s="39"/>
      <c r="E421" s="50" t="s">
        <v>80</v>
      </c>
      <c r="F421" s="50"/>
      <c r="G421" s="45" t="s">
        <v>486</v>
      </c>
      <c r="H421" s="45"/>
      <c r="I421" s="45"/>
      <c r="J421" s="45"/>
      <c r="K421" s="45"/>
      <c r="L421" s="1"/>
    </row>
    <row r="422" customFormat="false" ht="15" hidden="false" customHeight="false" outlineLevel="0" collapsed="false">
      <c r="A422" s="1"/>
      <c r="B422" s="50" t="s">
        <v>158</v>
      </c>
      <c r="C422" s="55" t="n">
        <v>5</v>
      </c>
      <c r="D422" s="55"/>
      <c r="E422" s="50" t="s">
        <v>159</v>
      </c>
      <c r="F422" s="50"/>
      <c r="G422" s="56" t="n">
        <v>33.25</v>
      </c>
      <c r="H422" s="56"/>
      <c r="I422" s="56"/>
      <c r="J422" s="56"/>
      <c r="K422" s="56"/>
      <c r="L422" s="1"/>
    </row>
    <row r="423" customFormat="false" ht="15" hidden="false" customHeight="false" outlineLevel="0" collapsed="false">
      <c r="A423" s="1"/>
      <c r="B423" s="50" t="s">
        <v>160</v>
      </c>
      <c r="C423" s="55" t="n">
        <f aca="false">COUNT(H427:H431)</f>
        <v>5</v>
      </c>
      <c r="D423" s="55"/>
      <c r="E423" s="50" t="s">
        <v>161</v>
      </c>
      <c r="F423" s="50"/>
      <c r="G423" s="56" t="n">
        <f aca="false">ROUND(SUM(H427:H431),2)</f>
        <v>33.25</v>
      </c>
      <c r="H423" s="56"/>
      <c r="I423" s="56"/>
      <c r="J423" s="56"/>
      <c r="K423" s="56"/>
      <c r="L423" s="1"/>
    </row>
    <row r="424" customFormat="false" ht="15" hidden="false" customHeight="false" outlineLevel="0" collapsed="false">
      <c r="A424" s="1"/>
      <c r="B424" s="50" t="s">
        <v>162</v>
      </c>
      <c r="C424" s="55" t="n">
        <f aca="false">ROUND(SUMPRODUCT(((F427:F431="KG")+(F427:F431="G"))*1)+SUMPRODUCT((F427:F431&lt;&gt;"KG")*(F427:F431&lt;&gt;"G")*E427:E431),0)</f>
        <v>5</v>
      </c>
      <c r="D424" s="55"/>
      <c r="E424" s="50" t="s">
        <v>163</v>
      </c>
      <c r="F424" s="50"/>
      <c r="G424" s="56" t="n">
        <f aca="false">IF(G422="","",ROUND(G422-G423,2))</f>
        <v>0</v>
      </c>
      <c r="H424" s="56"/>
      <c r="I424" s="56"/>
      <c r="J424" s="56"/>
      <c r="K424" s="56"/>
      <c r="L424" s="1"/>
    </row>
    <row r="425" customFormat="false" ht="15" hidden="false" customHeight="false" outlineLevel="0" collapsed="false">
      <c r="A425" s="1"/>
      <c r="B425" s="50" t="s">
        <v>84</v>
      </c>
      <c r="C425" s="57" t="str">
        <f aca="false">IF(C423=0,"— aguardando lançamento",IF(G422="","SEM TOTAL OFICIAL — informe o total do cupom",IF(AND(OR(C422="",C422=C423,C422=C424),ABS(G424)&lt;=0.05),"FECHADO — itens e valor conferem",IF(ABS(G424)&lt;=0.05,"REVISAR — qtd. de itens não bate","REVISAR — diferença de R$ "&amp;ABS(G424)))))</f>
        <v>FECHADO — itens e valor conferem</v>
      </c>
      <c r="D425" s="57"/>
      <c r="E425" s="57"/>
      <c r="F425" s="57"/>
      <c r="G425" s="50" t="s">
        <v>164</v>
      </c>
      <c r="H425" s="30" t="s">
        <v>487</v>
      </c>
      <c r="I425" s="30"/>
      <c r="J425" s="30"/>
      <c r="K425" s="30"/>
      <c r="L425" s="1"/>
    </row>
    <row r="426" customFormat="false" ht="15" hidden="false" customHeight="false" outlineLevel="0" collapsed="false">
      <c r="A426" s="1"/>
      <c r="B426" s="15" t="s">
        <v>165</v>
      </c>
      <c r="C426" s="15" t="s">
        <v>52</v>
      </c>
      <c r="D426" s="15" t="s">
        <v>9</v>
      </c>
      <c r="E426" s="15" t="s">
        <v>166</v>
      </c>
      <c r="F426" s="15" t="s">
        <v>167</v>
      </c>
      <c r="G426" s="15" t="s">
        <v>168</v>
      </c>
      <c r="H426" s="15" t="s">
        <v>10</v>
      </c>
      <c r="I426" s="15" t="s">
        <v>169</v>
      </c>
      <c r="J426" s="15" t="s">
        <v>170</v>
      </c>
      <c r="K426" s="15"/>
      <c r="L426" s="1"/>
    </row>
    <row r="427" customFormat="false" ht="15" hidden="false" customHeight="false" outlineLevel="0" collapsed="false">
      <c r="A427" s="1"/>
      <c r="B427" s="30" t="s">
        <v>488</v>
      </c>
      <c r="C427" s="16" t="s">
        <v>489</v>
      </c>
      <c r="D427" s="16" t="s">
        <v>15</v>
      </c>
      <c r="E427" s="64" t="n">
        <v>0.36</v>
      </c>
      <c r="F427" s="25" t="s">
        <v>176</v>
      </c>
      <c r="G427" s="17" t="n">
        <v>7.98</v>
      </c>
      <c r="H427" s="17" t="n">
        <v>2.87</v>
      </c>
      <c r="I427" s="62" t="n">
        <f aca="false">IF(OR(E427="",G427=""),"",ROUND(E427*G427,2))</f>
        <v>2.87</v>
      </c>
      <c r="J427" s="25" t="str">
        <f aca="false">IF(OR(H427="",I427=""),"",IF(ABS(H427-I427)&lt;=0.02,"OK","≠"))</f>
        <v>OK</v>
      </c>
      <c r="K427" s="16"/>
      <c r="L427" s="1"/>
    </row>
    <row r="428" customFormat="false" ht="15" hidden="false" customHeight="false" outlineLevel="0" collapsed="false">
      <c r="A428" s="1"/>
      <c r="B428" s="32" t="s">
        <v>490</v>
      </c>
      <c r="C428" s="19" t="s">
        <v>491</v>
      </c>
      <c r="D428" s="19" t="s">
        <v>15</v>
      </c>
      <c r="E428" s="65" t="n">
        <v>1</v>
      </c>
      <c r="F428" s="27" t="s">
        <v>179</v>
      </c>
      <c r="G428" s="20" t="n">
        <v>6</v>
      </c>
      <c r="H428" s="20" t="n">
        <v>6</v>
      </c>
      <c r="I428" s="62" t="n">
        <f aca="false">IF(OR(E428="",G428=""),"",ROUND(E428*G428,2))</f>
        <v>6</v>
      </c>
      <c r="J428" s="25" t="str">
        <f aca="false">IF(OR(H428="",I428=""),"",IF(ABS(H428-I428)&lt;=0.02,"OK","≠"))</f>
        <v>OK</v>
      </c>
      <c r="K428" s="16"/>
      <c r="L428" s="1"/>
    </row>
    <row r="429" customFormat="false" ht="15" hidden="false" customHeight="false" outlineLevel="0" collapsed="false">
      <c r="A429" s="1"/>
      <c r="B429" s="30" t="s">
        <v>492</v>
      </c>
      <c r="C429" s="16" t="s">
        <v>493</v>
      </c>
      <c r="D429" s="16" t="s">
        <v>15</v>
      </c>
      <c r="E429" s="64" t="n">
        <v>1</v>
      </c>
      <c r="F429" s="25" t="s">
        <v>179</v>
      </c>
      <c r="G429" s="17" t="n">
        <v>4.9</v>
      </c>
      <c r="H429" s="17" t="n">
        <v>4.9</v>
      </c>
      <c r="I429" s="62" t="n">
        <f aca="false">IF(OR(E429="",G429=""),"",ROUND(E429*G429,2))</f>
        <v>4.9</v>
      </c>
      <c r="J429" s="25" t="str">
        <f aca="false">IF(OR(H429="",I429=""),"",IF(ABS(H429-I429)&lt;=0.02,"OK","≠"))</f>
        <v>OK</v>
      </c>
      <c r="K429" s="16"/>
      <c r="L429" s="1"/>
    </row>
    <row r="430" customFormat="false" ht="15" hidden="false" customHeight="false" outlineLevel="0" collapsed="false">
      <c r="A430" s="1"/>
      <c r="B430" s="32" t="s">
        <v>494</v>
      </c>
      <c r="C430" s="19" t="s">
        <v>495</v>
      </c>
      <c r="D430" s="19" t="s">
        <v>15</v>
      </c>
      <c r="E430" s="65" t="n">
        <v>0.858</v>
      </c>
      <c r="F430" s="27" t="s">
        <v>176</v>
      </c>
      <c r="G430" s="20" t="n">
        <v>9.88</v>
      </c>
      <c r="H430" s="20" t="n">
        <v>8.48</v>
      </c>
      <c r="I430" s="62" t="n">
        <f aca="false">IF(OR(E430="",G430=""),"",ROUND(E430*G430,2))</f>
        <v>8.48</v>
      </c>
      <c r="J430" s="25" t="str">
        <f aca="false">IF(OR(H430="",I430=""),"",IF(ABS(H430-I430)&lt;=0.02,"OK","≠"))</f>
        <v>OK</v>
      </c>
      <c r="K430" s="16"/>
      <c r="L430" s="1"/>
    </row>
    <row r="431" customFormat="false" ht="15" hidden="false" customHeight="false" outlineLevel="0" collapsed="false">
      <c r="A431" s="1"/>
      <c r="B431" s="30" t="s">
        <v>496</v>
      </c>
      <c r="C431" s="16" t="s">
        <v>497</v>
      </c>
      <c r="D431" s="16" t="s">
        <v>12</v>
      </c>
      <c r="E431" s="64" t="n">
        <v>1</v>
      </c>
      <c r="F431" s="25" t="s">
        <v>179</v>
      </c>
      <c r="G431" s="17" t="n">
        <v>11</v>
      </c>
      <c r="H431" s="17" t="n">
        <v>11</v>
      </c>
      <c r="I431" s="62" t="n">
        <f aca="false">IF(OR(E431="",G431=""),"",ROUND(E431*G431,2))</f>
        <v>11</v>
      </c>
      <c r="J431" s="25" t="str">
        <f aca="false">IF(OR(H431="",I431=""),"",IF(ABS(H431-I431)&lt;=0.02,"OK","≠"))</f>
        <v>OK</v>
      </c>
      <c r="K431" s="16"/>
      <c r="L431" s="1"/>
    </row>
    <row r="432" customFormat="false" ht="15" hidden="false" customHeight="false" outlineLevel="0" collapsed="false">
      <c r="A432" s="1"/>
      <c r="B432" s="1"/>
      <c r="C432" s="1"/>
      <c r="D432" s="1"/>
      <c r="E432" s="1"/>
      <c r="F432" s="1"/>
      <c r="G432" s="1"/>
      <c r="H432" s="1"/>
      <c r="I432" s="1"/>
      <c r="J432" s="1"/>
      <c r="K432" s="1"/>
      <c r="L432" s="1"/>
    </row>
    <row r="433" customFormat="false" ht="19.5" hidden="false" customHeight="true" outlineLevel="0" collapsed="false">
      <c r="A433" s="1"/>
      <c r="B433" s="63" t="s">
        <v>498</v>
      </c>
      <c r="C433" s="63"/>
      <c r="D433" s="63"/>
      <c r="E433" s="63"/>
      <c r="F433" s="63"/>
      <c r="G433" s="63"/>
      <c r="H433" s="63"/>
      <c r="I433" s="63"/>
      <c r="J433" s="63"/>
      <c r="K433" s="63"/>
      <c r="L433" s="1"/>
    </row>
    <row r="434" customFormat="false" ht="15" hidden="false" customHeight="false" outlineLevel="0" collapsed="false">
      <c r="A434" s="1"/>
      <c r="B434" s="50" t="s">
        <v>34</v>
      </c>
      <c r="C434" s="45" t="s">
        <v>39</v>
      </c>
      <c r="D434" s="45"/>
      <c r="E434" s="50" t="s">
        <v>157</v>
      </c>
      <c r="F434" s="50"/>
      <c r="G434" s="45" t="s">
        <v>499</v>
      </c>
      <c r="H434" s="45"/>
      <c r="I434" s="45"/>
      <c r="J434" s="45"/>
      <c r="K434" s="45"/>
      <c r="L434" s="1"/>
    </row>
    <row r="435" customFormat="false" ht="15" hidden="false" customHeight="false" outlineLevel="0" collapsed="false">
      <c r="A435" s="1"/>
      <c r="B435" s="50" t="s">
        <v>78</v>
      </c>
      <c r="C435" s="39" t="n">
        <v>46168</v>
      </c>
      <c r="D435" s="39"/>
      <c r="E435" s="50" t="s">
        <v>80</v>
      </c>
      <c r="F435" s="50"/>
      <c r="G435" s="45" t="s">
        <v>486</v>
      </c>
      <c r="H435" s="45"/>
      <c r="I435" s="45"/>
      <c r="J435" s="45"/>
      <c r="K435" s="45"/>
      <c r="L435" s="1"/>
    </row>
    <row r="436" customFormat="false" ht="15" hidden="false" customHeight="false" outlineLevel="0" collapsed="false">
      <c r="A436" s="1"/>
      <c r="B436" s="50" t="s">
        <v>158</v>
      </c>
      <c r="C436" s="55" t="n">
        <v>1</v>
      </c>
      <c r="D436" s="55"/>
      <c r="E436" s="50" t="s">
        <v>159</v>
      </c>
      <c r="F436" s="50"/>
      <c r="G436" s="56" t="n">
        <v>5.85</v>
      </c>
      <c r="H436" s="56"/>
      <c r="I436" s="56"/>
      <c r="J436" s="56"/>
      <c r="K436" s="56"/>
      <c r="L436" s="1"/>
    </row>
    <row r="437" customFormat="false" ht="15" hidden="false" customHeight="false" outlineLevel="0" collapsed="false">
      <c r="A437" s="1"/>
      <c r="B437" s="50" t="s">
        <v>160</v>
      </c>
      <c r="C437" s="55" t="n">
        <f aca="false">COUNT(H441:H441)</f>
        <v>1</v>
      </c>
      <c r="D437" s="55"/>
      <c r="E437" s="50" t="s">
        <v>161</v>
      </c>
      <c r="F437" s="50"/>
      <c r="G437" s="56" t="n">
        <f aca="false">ROUND(SUM(H441:H441),2)</f>
        <v>5.85</v>
      </c>
      <c r="H437" s="56"/>
      <c r="I437" s="56"/>
      <c r="J437" s="56"/>
      <c r="K437" s="56"/>
      <c r="L437" s="1"/>
    </row>
    <row r="438" customFormat="false" ht="15" hidden="false" customHeight="false" outlineLevel="0" collapsed="false">
      <c r="A438" s="1"/>
      <c r="B438" s="50" t="s">
        <v>162</v>
      </c>
      <c r="C438" s="55" t="n">
        <f aca="false">ROUND(SUMPRODUCT(((F441:F441="KG")+(F441:F441="G"))*1)+SUMPRODUCT((F441:F441&lt;&gt;"KG")*(F441:F441&lt;&gt;"G")*E441:E441),0)</f>
        <v>1</v>
      </c>
      <c r="D438" s="55"/>
      <c r="E438" s="50" t="s">
        <v>163</v>
      </c>
      <c r="F438" s="50"/>
      <c r="G438" s="56" t="n">
        <f aca="false">IF(G436="","",ROUND(G436-G437,2))</f>
        <v>0</v>
      </c>
      <c r="H438" s="56"/>
      <c r="I438" s="56"/>
      <c r="J438" s="56"/>
      <c r="K438" s="56"/>
      <c r="L438" s="1"/>
    </row>
    <row r="439" customFormat="false" ht="15" hidden="false" customHeight="false" outlineLevel="0" collapsed="false">
      <c r="A439" s="1"/>
      <c r="B439" s="50" t="s">
        <v>84</v>
      </c>
      <c r="C439" s="57" t="str">
        <f aca="false">IF(C437=0,"— aguardando lançamento",IF(G436="","SEM TOTAL OFICIAL — informe o total do cupom",IF(AND(OR(C436="",C436=C437,C436=C438),ABS(G438)&lt;=0.05),"FECHADO — itens e valor conferem",IF(ABS(G438)&lt;=0.05,"REVISAR — qtd. de itens não bate","REVISAR — diferença de R$ "&amp;ABS(G438)))))</f>
        <v>FECHADO — itens e valor conferem</v>
      </c>
      <c r="D439" s="57"/>
      <c r="E439" s="57"/>
      <c r="F439" s="57"/>
      <c r="G439" s="50" t="s">
        <v>164</v>
      </c>
      <c r="H439" s="30" t="s">
        <v>487</v>
      </c>
      <c r="I439" s="30"/>
      <c r="J439" s="30"/>
      <c r="K439" s="30"/>
      <c r="L439" s="1"/>
    </row>
    <row r="440" customFormat="false" ht="15" hidden="false" customHeight="false" outlineLevel="0" collapsed="false">
      <c r="A440" s="1"/>
      <c r="B440" s="15" t="s">
        <v>165</v>
      </c>
      <c r="C440" s="15" t="s">
        <v>52</v>
      </c>
      <c r="D440" s="15" t="s">
        <v>9</v>
      </c>
      <c r="E440" s="15" t="s">
        <v>166</v>
      </c>
      <c r="F440" s="15" t="s">
        <v>167</v>
      </c>
      <c r="G440" s="15" t="s">
        <v>168</v>
      </c>
      <c r="H440" s="15" t="s">
        <v>10</v>
      </c>
      <c r="I440" s="15" t="s">
        <v>169</v>
      </c>
      <c r="J440" s="15" t="s">
        <v>170</v>
      </c>
      <c r="K440" s="15"/>
      <c r="L440" s="1"/>
    </row>
    <row r="441" customFormat="false" ht="15" hidden="false" customHeight="false" outlineLevel="0" collapsed="false">
      <c r="A441" s="1"/>
      <c r="B441" s="30" t="s">
        <v>463</v>
      </c>
      <c r="C441" s="16" t="s">
        <v>464</v>
      </c>
      <c r="D441" s="16" t="s">
        <v>14</v>
      </c>
      <c r="E441" s="64" t="n">
        <v>0.39</v>
      </c>
      <c r="F441" s="25" t="s">
        <v>176</v>
      </c>
      <c r="G441" s="17" t="n">
        <v>14.99</v>
      </c>
      <c r="H441" s="17" t="n">
        <v>5.85</v>
      </c>
      <c r="I441" s="62" t="n">
        <f aca="false">IF(OR(E441="",G441=""),"",ROUND(E441*G441,2))</f>
        <v>5.85</v>
      </c>
      <c r="J441" s="25" t="str">
        <f aca="false">IF(OR(H441="",I441=""),"",IF(ABS(H441-I441)&lt;=0.02,"OK","≠"))</f>
        <v>OK</v>
      </c>
      <c r="K441" s="16"/>
      <c r="L441" s="1"/>
    </row>
    <row r="442" customFormat="false" ht="15" hidden="false" customHeight="false" outlineLevel="0" collapsed="false">
      <c r="A442" s="1"/>
      <c r="B442" s="1"/>
      <c r="C442" s="1"/>
      <c r="D442" s="1"/>
      <c r="E442" s="1"/>
      <c r="F442" s="1"/>
      <c r="G442" s="1"/>
      <c r="H442" s="1"/>
      <c r="I442" s="1"/>
      <c r="J442" s="1"/>
      <c r="K442" s="1"/>
      <c r="L442" s="1"/>
    </row>
    <row r="443" customFormat="false" ht="19.5" hidden="false" customHeight="true" outlineLevel="0" collapsed="false">
      <c r="A443" s="1"/>
      <c r="B443" s="63" t="s">
        <v>500</v>
      </c>
      <c r="C443" s="63"/>
      <c r="D443" s="63"/>
      <c r="E443" s="63"/>
      <c r="F443" s="63"/>
      <c r="G443" s="63"/>
      <c r="H443" s="63"/>
      <c r="I443" s="63"/>
      <c r="J443" s="63"/>
      <c r="K443" s="63"/>
      <c r="L443" s="1"/>
    </row>
    <row r="444" customFormat="false" ht="15" hidden="false" customHeight="false" outlineLevel="0" collapsed="false">
      <c r="A444" s="1"/>
      <c r="B444" s="50" t="s">
        <v>34</v>
      </c>
      <c r="C444" s="45" t="s">
        <v>37</v>
      </c>
      <c r="D444" s="45"/>
      <c r="E444" s="50" t="s">
        <v>157</v>
      </c>
      <c r="F444" s="50"/>
      <c r="G444" s="45" t="s">
        <v>501</v>
      </c>
      <c r="H444" s="45"/>
      <c r="I444" s="45"/>
      <c r="J444" s="45"/>
      <c r="K444" s="45"/>
      <c r="L444" s="1"/>
    </row>
    <row r="445" customFormat="false" ht="15" hidden="false" customHeight="false" outlineLevel="0" collapsed="false">
      <c r="A445" s="1"/>
      <c r="B445" s="50" t="s">
        <v>78</v>
      </c>
      <c r="C445" s="39" t="n">
        <v>46169</v>
      </c>
      <c r="D445" s="39"/>
      <c r="E445" s="50" t="s">
        <v>80</v>
      </c>
      <c r="F445" s="50"/>
      <c r="G445" s="45" t="s">
        <v>502</v>
      </c>
      <c r="H445" s="45"/>
      <c r="I445" s="45"/>
      <c r="J445" s="45"/>
      <c r="K445" s="45"/>
      <c r="L445" s="1"/>
    </row>
    <row r="446" customFormat="false" ht="15" hidden="false" customHeight="false" outlineLevel="0" collapsed="false">
      <c r="A446" s="1"/>
      <c r="B446" s="50" t="s">
        <v>158</v>
      </c>
      <c r="C446" s="55" t="n">
        <v>2</v>
      </c>
      <c r="D446" s="55"/>
      <c r="E446" s="50" t="s">
        <v>159</v>
      </c>
      <c r="F446" s="50"/>
      <c r="G446" s="56" t="n">
        <v>13.98</v>
      </c>
      <c r="H446" s="56"/>
      <c r="I446" s="56"/>
      <c r="J446" s="56"/>
      <c r="K446" s="56"/>
      <c r="L446" s="1"/>
    </row>
    <row r="447" customFormat="false" ht="15" hidden="false" customHeight="false" outlineLevel="0" collapsed="false">
      <c r="A447" s="1"/>
      <c r="B447" s="50" t="s">
        <v>160</v>
      </c>
      <c r="C447" s="55" t="n">
        <f aca="false">COUNT(H451:H452)</f>
        <v>2</v>
      </c>
      <c r="D447" s="55"/>
      <c r="E447" s="50" t="s">
        <v>161</v>
      </c>
      <c r="F447" s="50"/>
      <c r="G447" s="56" t="n">
        <f aca="false">ROUND(SUM(H451:H452),2)</f>
        <v>13.98</v>
      </c>
      <c r="H447" s="56"/>
      <c r="I447" s="56"/>
      <c r="J447" s="56"/>
      <c r="K447" s="56"/>
      <c r="L447" s="1"/>
    </row>
    <row r="448" customFormat="false" ht="15" hidden="false" customHeight="false" outlineLevel="0" collapsed="false">
      <c r="A448" s="1"/>
      <c r="B448" s="50" t="s">
        <v>162</v>
      </c>
      <c r="C448" s="55" t="n">
        <f aca="false">ROUND(SUMPRODUCT(((F451:F452="KG")+(F451:F452="G"))*1)+SUMPRODUCT((F451:F452&lt;&gt;"KG")*(F451:F452&lt;&gt;"G")*E451:E452),0)</f>
        <v>2</v>
      </c>
      <c r="D448" s="55"/>
      <c r="E448" s="50" t="s">
        <v>163</v>
      </c>
      <c r="F448" s="50"/>
      <c r="G448" s="56" t="n">
        <f aca="false">IF(G446="","",ROUND(G446-G447,2))</f>
        <v>0</v>
      </c>
      <c r="H448" s="56"/>
      <c r="I448" s="56"/>
      <c r="J448" s="56"/>
      <c r="K448" s="56"/>
      <c r="L448" s="1"/>
    </row>
    <row r="449" customFormat="false" ht="15" hidden="false" customHeight="false" outlineLevel="0" collapsed="false">
      <c r="A449" s="1"/>
      <c r="B449" s="50" t="s">
        <v>84</v>
      </c>
      <c r="C449" s="57" t="str">
        <f aca="false">IF(C447=0,"— aguardando lançamento",IF(G446="","SEM TOTAL OFICIAL — informe o total do cupom",IF(AND(OR(C446="",C446=C447,C446=C448),ABS(G448)&lt;=0.05),"FECHADO — itens e valor conferem",IF(ABS(G448)&lt;=0.05,"REVISAR — qtd. de itens não bate","REVISAR — diferença de R$ "&amp;ABS(G448)))))</f>
        <v>FECHADO — itens e valor conferem</v>
      </c>
      <c r="D449" s="57"/>
      <c r="E449" s="57"/>
      <c r="F449" s="57"/>
      <c r="G449" s="50" t="s">
        <v>164</v>
      </c>
      <c r="H449" s="30" t="s">
        <v>455</v>
      </c>
      <c r="I449" s="30"/>
      <c r="J449" s="30"/>
      <c r="K449" s="30"/>
      <c r="L449" s="1"/>
    </row>
    <row r="450" customFormat="false" ht="15" hidden="false" customHeight="false" outlineLevel="0" collapsed="false">
      <c r="A450" s="1"/>
      <c r="B450" s="15" t="s">
        <v>165</v>
      </c>
      <c r="C450" s="15" t="s">
        <v>52</v>
      </c>
      <c r="D450" s="15" t="s">
        <v>9</v>
      </c>
      <c r="E450" s="15" t="s">
        <v>166</v>
      </c>
      <c r="F450" s="15" t="s">
        <v>167</v>
      </c>
      <c r="G450" s="15" t="s">
        <v>168</v>
      </c>
      <c r="H450" s="15" t="s">
        <v>10</v>
      </c>
      <c r="I450" s="15" t="s">
        <v>169</v>
      </c>
      <c r="J450" s="15" t="s">
        <v>170</v>
      </c>
      <c r="K450" s="15"/>
      <c r="L450" s="1"/>
    </row>
    <row r="451" customFormat="false" ht="15" hidden="false" customHeight="false" outlineLevel="0" collapsed="false">
      <c r="A451" s="1"/>
      <c r="B451" s="30" t="s">
        <v>503</v>
      </c>
      <c r="C451" s="16" t="s">
        <v>504</v>
      </c>
      <c r="D451" s="16" t="s">
        <v>16</v>
      </c>
      <c r="E451" s="64" t="n">
        <v>1</v>
      </c>
      <c r="F451" s="25" t="s">
        <v>179</v>
      </c>
      <c r="G451" s="17" t="n">
        <v>6.99</v>
      </c>
      <c r="H451" s="17" t="n">
        <v>6.99</v>
      </c>
      <c r="I451" s="62" t="n">
        <f aca="false">IF(OR(E451="",G451=""),"",ROUND(E451*G451,2))</f>
        <v>6.99</v>
      </c>
      <c r="J451" s="25" t="str">
        <f aca="false">IF(OR(H451="",I451=""),"",IF(ABS(H451-I451)&lt;=0.02,"OK","≠"))</f>
        <v>OK</v>
      </c>
      <c r="K451" s="16"/>
      <c r="L451" s="1"/>
    </row>
    <row r="452" customFormat="false" ht="15" hidden="false" customHeight="false" outlineLevel="0" collapsed="false">
      <c r="A452" s="1"/>
      <c r="B452" s="32" t="s">
        <v>505</v>
      </c>
      <c r="C452" s="19" t="s">
        <v>506</v>
      </c>
      <c r="D452" s="19" t="s">
        <v>16</v>
      </c>
      <c r="E452" s="65" t="n">
        <v>1</v>
      </c>
      <c r="F452" s="27" t="s">
        <v>179</v>
      </c>
      <c r="G452" s="20" t="n">
        <v>6.99</v>
      </c>
      <c r="H452" s="20" t="n">
        <v>6.99</v>
      </c>
      <c r="I452" s="62" t="n">
        <f aca="false">IF(OR(E452="",G452=""),"",ROUND(E452*G452,2))</f>
        <v>6.99</v>
      </c>
      <c r="J452" s="25" t="str">
        <f aca="false">IF(OR(H452="",I452=""),"",IF(ABS(H452-I452)&lt;=0.02,"OK","≠"))</f>
        <v>OK</v>
      </c>
      <c r="K452" s="16"/>
      <c r="L452" s="1"/>
    </row>
    <row r="453" customFormat="false" ht="15" hidden="false" customHeight="false" outlineLevel="0" collapsed="false">
      <c r="A453" s="1"/>
      <c r="B453" s="1"/>
      <c r="C453" s="1"/>
      <c r="D453" s="1"/>
      <c r="E453" s="1"/>
      <c r="F453" s="1"/>
      <c r="G453" s="1"/>
      <c r="H453" s="1"/>
      <c r="I453" s="1"/>
      <c r="J453" s="1"/>
      <c r="K453" s="1"/>
      <c r="L453" s="1"/>
    </row>
    <row r="454" customFormat="false" ht="19.5" hidden="false" customHeight="true" outlineLevel="0" collapsed="false">
      <c r="A454" s="1"/>
      <c r="B454" s="63" t="s">
        <v>507</v>
      </c>
      <c r="C454" s="63"/>
      <c r="D454" s="63"/>
      <c r="E454" s="63"/>
      <c r="F454" s="63"/>
      <c r="G454" s="63"/>
      <c r="H454" s="63"/>
      <c r="I454" s="63"/>
      <c r="J454" s="63"/>
      <c r="K454" s="63"/>
      <c r="L454" s="1"/>
    </row>
    <row r="455" customFormat="false" ht="15" hidden="false" customHeight="false" outlineLevel="0" collapsed="false">
      <c r="A455" s="1"/>
      <c r="B455" s="50" t="s">
        <v>34</v>
      </c>
      <c r="C455" s="45" t="s">
        <v>39</v>
      </c>
      <c r="D455" s="45"/>
      <c r="E455" s="50" t="s">
        <v>157</v>
      </c>
      <c r="F455" s="50"/>
      <c r="G455" s="45" t="s">
        <v>508</v>
      </c>
      <c r="H455" s="45"/>
      <c r="I455" s="45"/>
      <c r="J455" s="45"/>
      <c r="K455" s="45"/>
      <c r="L455" s="1"/>
    </row>
    <row r="456" customFormat="false" ht="15" hidden="false" customHeight="false" outlineLevel="0" collapsed="false">
      <c r="A456" s="1"/>
      <c r="B456" s="50" t="s">
        <v>78</v>
      </c>
      <c r="C456" s="39" t="n">
        <v>46169</v>
      </c>
      <c r="D456" s="39"/>
      <c r="E456" s="50" t="s">
        <v>80</v>
      </c>
      <c r="F456" s="50"/>
      <c r="G456" s="45" t="s">
        <v>509</v>
      </c>
      <c r="H456" s="45"/>
      <c r="I456" s="45"/>
      <c r="J456" s="45"/>
      <c r="K456" s="45"/>
      <c r="L456" s="1"/>
    </row>
    <row r="457" customFormat="false" ht="15" hidden="false" customHeight="false" outlineLevel="0" collapsed="false">
      <c r="A457" s="1"/>
      <c r="B457" s="50" t="s">
        <v>158</v>
      </c>
      <c r="C457" s="55" t="n">
        <v>3</v>
      </c>
      <c r="D457" s="55"/>
      <c r="E457" s="50" t="s">
        <v>159</v>
      </c>
      <c r="F457" s="50"/>
      <c r="G457" s="56" t="n">
        <v>20.92</v>
      </c>
      <c r="H457" s="56"/>
      <c r="I457" s="56"/>
      <c r="J457" s="56"/>
      <c r="K457" s="56"/>
      <c r="L457" s="1"/>
    </row>
    <row r="458" customFormat="false" ht="15" hidden="false" customHeight="false" outlineLevel="0" collapsed="false">
      <c r="A458" s="1"/>
      <c r="B458" s="50" t="s">
        <v>160</v>
      </c>
      <c r="C458" s="55" t="n">
        <f aca="false">COUNT(H462:H464)</f>
        <v>3</v>
      </c>
      <c r="D458" s="55"/>
      <c r="E458" s="50" t="s">
        <v>161</v>
      </c>
      <c r="F458" s="50"/>
      <c r="G458" s="56" t="n">
        <f aca="false">ROUND(SUM(H462:H464),2)</f>
        <v>20.92</v>
      </c>
      <c r="H458" s="56"/>
      <c r="I458" s="56"/>
      <c r="J458" s="56"/>
      <c r="K458" s="56"/>
      <c r="L458" s="1"/>
    </row>
    <row r="459" customFormat="false" ht="15" hidden="false" customHeight="false" outlineLevel="0" collapsed="false">
      <c r="A459" s="1"/>
      <c r="B459" s="50" t="s">
        <v>162</v>
      </c>
      <c r="C459" s="55" t="n">
        <f aca="false">ROUND(SUMPRODUCT(((F462:F464="KG")+(F462:F464="G"))*1)+SUMPRODUCT((F462:F464&lt;&gt;"KG")*(F462:F464&lt;&gt;"G")*E462:E464),0)</f>
        <v>3</v>
      </c>
      <c r="D459" s="55"/>
      <c r="E459" s="50" t="s">
        <v>163</v>
      </c>
      <c r="F459" s="50"/>
      <c r="G459" s="56" t="n">
        <f aca="false">IF(G457="","",ROUND(G457-G458,2))</f>
        <v>0</v>
      </c>
      <c r="H459" s="56"/>
      <c r="I459" s="56"/>
      <c r="J459" s="56"/>
      <c r="K459" s="56"/>
      <c r="L459" s="1"/>
    </row>
    <row r="460" customFormat="false" ht="15" hidden="false" customHeight="false" outlineLevel="0" collapsed="false">
      <c r="A460" s="1"/>
      <c r="B460" s="50" t="s">
        <v>84</v>
      </c>
      <c r="C460" s="57" t="str">
        <f aca="false">IF(C458=0,"— aguardando lançamento",IF(G457="","SEM TOTAL OFICIAL — informe o total do cupom",IF(AND(OR(C457="",C457=C458,C457=C459),ABS(G459)&lt;=0.05),"FECHADO — itens e valor conferem",IF(ABS(G459)&lt;=0.05,"REVISAR — qtd. de itens não bate","REVISAR — diferença de R$ "&amp;ABS(G459)))))</f>
        <v>FECHADO — itens e valor conferem</v>
      </c>
      <c r="D460" s="57"/>
      <c r="E460" s="57"/>
      <c r="F460" s="57"/>
      <c r="G460" s="50" t="s">
        <v>164</v>
      </c>
      <c r="H460" s="30" t="s">
        <v>510</v>
      </c>
      <c r="I460" s="30"/>
      <c r="J460" s="30"/>
      <c r="K460" s="30"/>
      <c r="L460" s="1"/>
    </row>
    <row r="461" customFormat="false" ht="15" hidden="false" customHeight="false" outlineLevel="0" collapsed="false">
      <c r="A461" s="1"/>
      <c r="B461" s="15" t="s">
        <v>165</v>
      </c>
      <c r="C461" s="15" t="s">
        <v>52</v>
      </c>
      <c r="D461" s="15" t="s">
        <v>9</v>
      </c>
      <c r="E461" s="15" t="s">
        <v>166</v>
      </c>
      <c r="F461" s="15" t="s">
        <v>167</v>
      </c>
      <c r="G461" s="15" t="s">
        <v>168</v>
      </c>
      <c r="H461" s="15" t="s">
        <v>10</v>
      </c>
      <c r="I461" s="15" t="s">
        <v>169</v>
      </c>
      <c r="J461" s="15" t="s">
        <v>170</v>
      </c>
      <c r="K461" s="15"/>
      <c r="L461" s="1"/>
    </row>
    <row r="462" customFormat="false" ht="15" hidden="false" customHeight="false" outlineLevel="0" collapsed="false">
      <c r="A462" s="1"/>
      <c r="B462" s="30" t="s">
        <v>511</v>
      </c>
      <c r="C462" s="16" t="s">
        <v>512</v>
      </c>
      <c r="D462" s="16" t="s">
        <v>25</v>
      </c>
      <c r="E462" s="64" t="n">
        <v>0.232</v>
      </c>
      <c r="F462" s="25" t="s">
        <v>176</v>
      </c>
      <c r="G462" s="17" t="n">
        <v>30</v>
      </c>
      <c r="H462" s="17" t="n">
        <v>6.96</v>
      </c>
      <c r="I462" s="62" t="n">
        <f aca="false">IF(OR(E462="",G462=""),"",ROUND(E462*G462,2))</f>
        <v>6.96</v>
      </c>
      <c r="J462" s="25" t="str">
        <f aca="false">IF(OR(H462="",I462=""),"",IF(ABS(H462-I462)&lt;=0.02,"OK","≠"))</f>
        <v>OK</v>
      </c>
      <c r="K462" s="16"/>
      <c r="L462" s="1"/>
    </row>
    <row r="463" customFormat="false" ht="15" hidden="false" customHeight="false" outlineLevel="0" collapsed="false">
      <c r="A463" s="1"/>
      <c r="B463" s="32" t="s">
        <v>513</v>
      </c>
      <c r="C463" s="19" t="s">
        <v>464</v>
      </c>
      <c r="D463" s="19" t="s">
        <v>14</v>
      </c>
      <c r="E463" s="65" t="n">
        <v>0.595</v>
      </c>
      <c r="F463" s="27" t="s">
        <v>176</v>
      </c>
      <c r="G463" s="20" t="n">
        <v>14.99</v>
      </c>
      <c r="H463" s="20" t="n">
        <v>8.92</v>
      </c>
      <c r="I463" s="62" t="n">
        <f aca="false">IF(OR(E463="",G463=""),"",ROUND(E463*G463,2))</f>
        <v>8.92</v>
      </c>
      <c r="J463" s="25" t="str">
        <f aca="false">IF(OR(H463="",I463=""),"",IF(ABS(H463-I463)&lt;=0.02,"OK","≠"))</f>
        <v>OK</v>
      </c>
      <c r="K463" s="16"/>
      <c r="L463" s="1"/>
    </row>
    <row r="464" customFormat="false" ht="15" hidden="false" customHeight="false" outlineLevel="0" collapsed="false">
      <c r="A464" s="1"/>
      <c r="B464" s="30" t="s">
        <v>514</v>
      </c>
      <c r="C464" s="16" t="s">
        <v>515</v>
      </c>
      <c r="D464" s="16" t="s">
        <v>27</v>
      </c>
      <c r="E464" s="64" t="n">
        <v>0.338</v>
      </c>
      <c r="F464" s="25" t="s">
        <v>176</v>
      </c>
      <c r="G464" s="17" t="n">
        <v>14.9</v>
      </c>
      <c r="H464" s="17" t="n">
        <v>5.04</v>
      </c>
      <c r="I464" s="62" t="n">
        <f aca="false">IF(OR(E464="",G464=""),"",ROUND(E464*G464,2))</f>
        <v>5.04</v>
      </c>
      <c r="J464" s="25" t="str">
        <f aca="false">IF(OR(H464="",I464=""),"",IF(ABS(H464-I464)&lt;=0.02,"OK","≠"))</f>
        <v>OK</v>
      </c>
      <c r="K464" s="16"/>
      <c r="L464" s="1"/>
    </row>
    <row r="465" customFormat="false" ht="15" hidden="false" customHeight="false" outlineLevel="0" collapsed="false">
      <c r="A465" s="1"/>
      <c r="B465" s="1"/>
      <c r="C465" s="1"/>
      <c r="D465" s="1"/>
      <c r="E465" s="1"/>
      <c r="F465" s="1"/>
      <c r="G465" s="1"/>
      <c r="H465" s="1"/>
      <c r="I465" s="1"/>
      <c r="J465" s="1"/>
      <c r="K465" s="1"/>
      <c r="L465" s="1"/>
    </row>
    <row r="466" customFormat="false" ht="19.5" hidden="false" customHeight="true" outlineLevel="0" collapsed="false">
      <c r="A466" s="1"/>
      <c r="B466" s="63" t="s">
        <v>516</v>
      </c>
      <c r="C466" s="63"/>
      <c r="D466" s="63"/>
      <c r="E466" s="63"/>
      <c r="F466" s="63"/>
      <c r="G466" s="63"/>
      <c r="H466" s="63"/>
      <c r="I466" s="63"/>
      <c r="J466" s="63"/>
      <c r="K466" s="63"/>
      <c r="L466" s="1"/>
    </row>
    <row r="467" customFormat="false" ht="15" hidden="false" customHeight="false" outlineLevel="0" collapsed="false">
      <c r="A467" s="1"/>
      <c r="B467" s="50" t="s">
        <v>34</v>
      </c>
      <c r="C467" s="45" t="s">
        <v>38</v>
      </c>
      <c r="D467" s="45"/>
      <c r="E467" s="50" t="s">
        <v>157</v>
      </c>
      <c r="F467" s="50"/>
      <c r="G467" s="45" t="s">
        <v>517</v>
      </c>
      <c r="H467" s="45"/>
      <c r="I467" s="45"/>
      <c r="J467" s="45"/>
      <c r="K467" s="45"/>
      <c r="L467" s="1"/>
    </row>
    <row r="468" customFormat="false" ht="15" hidden="false" customHeight="false" outlineLevel="0" collapsed="false">
      <c r="A468" s="1"/>
      <c r="B468" s="50" t="s">
        <v>78</v>
      </c>
      <c r="C468" s="39" t="n">
        <v>46170</v>
      </c>
      <c r="D468" s="39"/>
      <c r="E468" s="50" t="s">
        <v>80</v>
      </c>
      <c r="F468" s="50"/>
      <c r="G468" s="45" t="s">
        <v>518</v>
      </c>
      <c r="H468" s="45"/>
      <c r="I468" s="45"/>
      <c r="J468" s="45"/>
      <c r="K468" s="45"/>
      <c r="L468" s="1"/>
    </row>
    <row r="469" customFormat="false" ht="15" hidden="false" customHeight="false" outlineLevel="0" collapsed="false">
      <c r="A469" s="1"/>
      <c r="B469" s="50" t="s">
        <v>158</v>
      </c>
      <c r="C469" s="55" t="n">
        <v>3</v>
      </c>
      <c r="D469" s="55"/>
      <c r="E469" s="50" t="s">
        <v>159</v>
      </c>
      <c r="F469" s="50"/>
      <c r="G469" s="56" t="n">
        <v>22.55</v>
      </c>
      <c r="H469" s="56"/>
      <c r="I469" s="56"/>
      <c r="J469" s="56"/>
      <c r="K469" s="56"/>
      <c r="L469" s="1"/>
    </row>
    <row r="470" customFormat="false" ht="15" hidden="false" customHeight="false" outlineLevel="0" collapsed="false">
      <c r="A470" s="1"/>
      <c r="B470" s="50" t="s">
        <v>160</v>
      </c>
      <c r="C470" s="55" t="n">
        <f aca="false">COUNT(H474:H476)</f>
        <v>3</v>
      </c>
      <c r="D470" s="55"/>
      <c r="E470" s="50" t="s">
        <v>161</v>
      </c>
      <c r="F470" s="50"/>
      <c r="G470" s="56" t="n">
        <f aca="false">ROUND(SUM(H474:H476),2)</f>
        <v>22.55</v>
      </c>
      <c r="H470" s="56"/>
      <c r="I470" s="56"/>
      <c r="J470" s="56"/>
      <c r="K470" s="56"/>
      <c r="L470" s="1"/>
    </row>
    <row r="471" customFormat="false" ht="15" hidden="false" customHeight="false" outlineLevel="0" collapsed="false">
      <c r="A471" s="1"/>
      <c r="B471" s="50" t="s">
        <v>162</v>
      </c>
      <c r="C471" s="55" t="n">
        <f aca="false">ROUND(SUMPRODUCT(((F474:F476="KG")+(F474:F476="G"))*1)+SUMPRODUCT((F474:F476&lt;&gt;"KG")*(F474:F476&lt;&gt;"G")*E474:E476),0)</f>
        <v>3</v>
      </c>
      <c r="D471" s="55"/>
      <c r="E471" s="50" t="s">
        <v>163</v>
      </c>
      <c r="F471" s="50"/>
      <c r="G471" s="56" t="n">
        <f aca="false">IF(G469="","",ROUND(G469-G470,2))</f>
        <v>0</v>
      </c>
      <c r="H471" s="56"/>
      <c r="I471" s="56"/>
      <c r="J471" s="56"/>
      <c r="K471" s="56"/>
      <c r="L471" s="1"/>
    </row>
    <row r="472" customFormat="false" ht="15" hidden="false" customHeight="false" outlineLevel="0" collapsed="false">
      <c r="A472" s="1"/>
      <c r="B472" s="50" t="s">
        <v>84</v>
      </c>
      <c r="C472" s="57" t="str">
        <f aca="false">IF(C470=0,"— aguardando lançamento",IF(G469="","SEM TOTAL OFICIAL — informe o total do cupom",IF(AND(OR(C469="",C469=C470,C469=C471),ABS(G471)&lt;=0.05),"FECHADO — itens e valor conferem",IF(ABS(G471)&lt;=0.05,"REVISAR — qtd. de itens não bate","REVISAR — diferença de R$ "&amp;ABS(G471)))))</f>
        <v>FECHADO — itens e valor conferem</v>
      </c>
      <c r="D472" s="57"/>
      <c r="E472" s="57"/>
      <c r="F472" s="57"/>
      <c r="G472" s="50" t="s">
        <v>164</v>
      </c>
      <c r="H472" s="30"/>
      <c r="I472" s="30"/>
      <c r="J472" s="30"/>
      <c r="K472" s="30"/>
      <c r="L472" s="1"/>
    </row>
    <row r="473" customFormat="false" ht="15" hidden="false" customHeight="false" outlineLevel="0" collapsed="false">
      <c r="A473" s="1"/>
      <c r="B473" s="15" t="s">
        <v>165</v>
      </c>
      <c r="C473" s="15" t="s">
        <v>52</v>
      </c>
      <c r="D473" s="15" t="s">
        <v>9</v>
      </c>
      <c r="E473" s="15" t="s">
        <v>166</v>
      </c>
      <c r="F473" s="15" t="s">
        <v>167</v>
      </c>
      <c r="G473" s="15" t="s">
        <v>168</v>
      </c>
      <c r="H473" s="15" t="s">
        <v>10</v>
      </c>
      <c r="I473" s="15" t="s">
        <v>169</v>
      </c>
      <c r="J473" s="15" t="s">
        <v>170</v>
      </c>
      <c r="K473" s="15"/>
      <c r="L473" s="1"/>
    </row>
    <row r="474" customFormat="false" ht="15" hidden="false" customHeight="false" outlineLevel="0" collapsed="false">
      <c r="A474" s="1"/>
      <c r="B474" s="30" t="s">
        <v>519</v>
      </c>
      <c r="C474" s="16" t="s">
        <v>520</v>
      </c>
      <c r="D474" s="16" t="s">
        <v>15</v>
      </c>
      <c r="E474" s="64" t="n">
        <v>0.702</v>
      </c>
      <c r="F474" s="25" t="s">
        <v>176</v>
      </c>
      <c r="G474" s="17" t="n">
        <v>11.68</v>
      </c>
      <c r="H474" s="17" t="n">
        <v>8.2</v>
      </c>
      <c r="I474" s="62" t="n">
        <f aca="false">IF(OR(E474="",G474=""),"",ROUND(E474*G474,2))</f>
        <v>8.2</v>
      </c>
      <c r="J474" s="25" t="str">
        <f aca="false">IF(OR(H474="",I474=""),"",IF(ABS(H474-I474)&lt;=0.02,"OK","≠"))</f>
        <v>OK</v>
      </c>
      <c r="K474" s="16"/>
      <c r="L474" s="1"/>
    </row>
    <row r="475" customFormat="false" ht="15" hidden="false" customHeight="false" outlineLevel="0" collapsed="false">
      <c r="A475" s="1"/>
      <c r="B475" s="32" t="s">
        <v>521</v>
      </c>
      <c r="C475" s="19" t="s">
        <v>495</v>
      </c>
      <c r="D475" s="19" t="s">
        <v>15</v>
      </c>
      <c r="E475" s="65" t="n">
        <v>0.964</v>
      </c>
      <c r="F475" s="27" t="s">
        <v>176</v>
      </c>
      <c r="G475" s="20" t="n">
        <v>9.88</v>
      </c>
      <c r="H475" s="20" t="n">
        <v>9.52</v>
      </c>
      <c r="I475" s="62" t="n">
        <f aca="false">IF(OR(E475="",G475=""),"",ROUND(E475*G475,2))</f>
        <v>9.52</v>
      </c>
      <c r="J475" s="25" t="str">
        <f aca="false">IF(OR(H475="",I475=""),"",IF(ABS(H475-I475)&lt;=0.02,"OK","≠"))</f>
        <v>OK</v>
      </c>
      <c r="K475" s="16"/>
      <c r="L475" s="1"/>
    </row>
    <row r="476" customFormat="false" ht="15" hidden="false" customHeight="false" outlineLevel="0" collapsed="false">
      <c r="A476" s="1"/>
      <c r="B476" s="30" t="s">
        <v>522</v>
      </c>
      <c r="C476" s="16" t="s">
        <v>523</v>
      </c>
      <c r="D476" s="16" t="s">
        <v>15</v>
      </c>
      <c r="E476" s="64" t="n">
        <v>0.97</v>
      </c>
      <c r="F476" s="25" t="s">
        <v>176</v>
      </c>
      <c r="G476" s="17" t="n">
        <v>4.98</v>
      </c>
      <c r="H476" s="17" t="n">
        <v>4.83</v>
      </c>
      <c r="I476" s="62" t="n">
        <f aca="false">IF(OR(E476="",G476=""),"",ROUND(E476*G476,2))</f>
        <v>4.83</v>
      </c>
      <c r="J476" s="25" t="str">
        <f aca="false">IF(OR(H476="",I476=""),"",IF(ABS(H476-I476)&lt;=0.02,"OK","≠"))</f>
        <v>OK</v>
      </c>
      <c r="K476" s="16"/>
      <c r="L476" s="1"/>
    </row>
    <row r="477" customFormat="false" ht="15" hidden="false" customHeight="false" outlineLevel="0" collapsed="false">
      <c r="A477" s="1"/>
      <c r="B477" s="1"/>
      <c r="C477" s="1"/>
      <c r="D477" s="1"/>
      <c r="E477" s="1"/>
      <c r="F477" s="1"/>
      <c r="G477" s="1"/>
      <c r="H477" s="1"/>
      <c r="I477" s="1"/>
      <c r="J477" s="1"/>
      <c r="K477" s="1"/>
      <c r="L477" s="1"/>
    </row>
    <row r="478" customFormat="false" ht="19.5" hidden="false" customHeight="true" outlineLevel="0" collapsed="false">
      <c r="A478" s="1"/>
      <c r="B478" s="63" t="s">
        <v>524</v>
      </c>
      <c r="C478" s="63"/>
      <c r="D478" s="63"/>
      <c r="E478" s="63"/>
      <c r="F478" s="63"/>
      <c r="G478" s="63"/>
      <c r="H478" s="63"/>
      <c r="I478" s="63"/>
      <c r="J478" s="63"/>
      <c r="K478" s="63"/>
      <c r="L478" s="1"/>
    </row>
    <row r="479" customFormat="false" ht="15" hidden="false" customHeight="false" outlineLevel="0" collapsed="false">
      <c r="A479" s="1"/>
      <c r="B479" s="50" t="s">
        <v>34</v>
      </c>
      <c r="C479" s="45" t="s">
        <v>38</v>
      </c>
      <c r="D479" s="45"/>
      <c r="E479" s="50" t="s">
        <v>157</v>
      </c>
      <c r="F479" s="50"/>
      <c r="G479" s="45" t="s">
        <v>525</v>
      </c>
      <c r="H479" s="45"/>
      <c r="I479" s="45"/>
      <c r="J479" s="45"/>
      <c r="K479" s="45"/>
      <c r="L479" s="1"/>
    </row>
    <row r="480" customFormat="false" ht="15" hidden="false" customHeight="false" outlineLevel="0" collapsed="false">
      <c r="A480" s="1"/>
      <c r="B480" s="50" t="s">
        <v>78</v>
      </c>
      <c r="C480" s="39" t="n">
        <v>46171</v>
      </c>
      <c r="D480" s="39"/>
      <c r="E480" s="50" t="s">
        <v>80</v>
      </c>
      <c r="F480" s="50"/>
      <c r="G480" s="45" t="s">
        <v>526</v>
      </c>
      <c r="H480" s="45"/>
      <c r="I480" s="45"/>
      <c r="J480" s="45"/>
      <c r="K480" s="45"/>
      <c r="L480" s="1"/>
    </row>
    <row r="481" customFormat="false" ht="15" hidden="false" customHeight="false" outlineLevel="0" collapsed="false">
      <c r="A481" s="1"/>
      <c r="B481" s="50" t="s">
        <v>158</v>
      </c>
      <c r="C481" s="55" t="n">
        <v>1</v>
      </c>
      <c r="D481" s="55"/>
      <c r="E481" s="50" t="s">
        <v>159</v>
      </c>
      <c r="F481" s="50"/>
      <c r="G481" s="56" t="n">
        <v>16.8</v>
      </c>
      <c r="H481" s="56"/>
      <c r="I481" s="56"/>
      <c r="J481" s="56"/>
      <c r="K481" s="56"/>
      <c r="L481" s="1"/>
    </row>
    <row r="482" customFormat="false" ht="15" hidden="false" customHeight="false" outlineLevel="0" collapsed="false">
      <c r="A482" s="1"/>
      <c r="B482" s="50" t="s">
        <v>160</v>
      </c>
      <c r="C482" s="55" t="n">
        <f aca="false">COUNT(H486:H486)</f>
        <v>1</v>
      </c>
      <c r="D482" s="55"/>
      <c r="E482" s="50" t="s">
        <v>161</v>
      </c>
      <c r="F482" s="50"/>
      <c r="G482" s="56" t="n">
        <f aca="false">ROUND(SUM(H486:H486),2)</f>
        <v>16.8</v>
      </c>
      <c r="H482" s="56"/>
      <c r="I482" s="56"/>
      <c r="J482" s="56"/>
      <c r="K482" s="56"/>
      <c r="L482" s="1"/>
    </row>
    <row r="483" customFormat="false" ht="15" hidden="false" customHeight="false" outlineLevel="0" collapsed="false">
      <c r="A483" s="1"/>
      <c r="B483" s="50" t="s">
        <v>162</v>
      </c>
      <c r="C483" s="55" t="n">
        <f aca="false">ROUND(SUMPRODUCT(((F486:F486="KG")+(F486:F486="G"))*1)+SUMPRODUCT((F486:F486&lt;&gt;"KG")*(F486:F486&lt;&gt;"G")*E486:E486),0)</f>
        <v>1</v>
      </c>
      <c r="D483" s="55"/>
      <c r="E483" s="50" t="s">
        <v>163</v>
      </c>
      <c r="F483" s="50"/>
      <c r="G483" s="56" t="n">
        <f aca="false">IF(G481="","",ROUND(G481-G482,2))</f>
        <v>0</v>
      </c>
      <c r="H483" s="56"/>
      <c r="I483" s="56"/>
      <c r="J483" s="56"/>
      <c r="K483" s="56"/>
      <c r="L483" s="1"/>
    </row>
    <row r="484" customFormat="false" ht="15" hidden="false" customHeight="false" outlineLevel="0" collapsed="false">
      <c r="A484" s="1"/>
      <c r="B484" s="50" t="s">
        <v>84</v>
      </c>
      <c r="C484" s="57" t="str">
        <f aca="false">IF(C482=0,"— aguardando lançamento",IF(G481="","SEM TOTAL OFICIAL — informe o total do cupom",IF(AND(OR(C481="",C481=C482,C481=C483),ABS(G483)&lt;=0.05),"FECHADO — itens e valor conferem",IF(ABS(G483)&lt;=0.05,"REVISAR — qtd. de itens não bate","REVISAR — diferença de R$ "&amp;ABS(G483)))))</f>
        <v>FECHADO — itens e valor conferem</v>
      </c>
      <c r="D484" s="57"/>
      <c r="E484" s="57"/>
      <c r="F484" s="57"/>
      <c r="G484" s="50" t="s">
        <v>164</v>
      </c>
      <c r="H484" s="30"/>
      <c r="I484" s="30"/>
      <c r="J484" s="30"/>
      <c r="K484" s="30"/>
      <c r="L484" s="1"/>
    </row>
    <row r="485" customFormat="false" ht="15" hidden="false" customHeight="false" outlineLevel="0" collapsed="false">
      <c r="A485" s="1"/>
      <c r="B485" s="15" t="s">
        <v>165</v>
      </c>
      <c r="C485" s="15" t="s">
        <v>52</v>
      </c>
      <c r="D485" s="15" t="s">
        <v>9</v>
      </c>
      <c r="E485" s="15" t="s">
        <v>166</v>
      </c>
      <c r="F485" s="15" t="s">
        <v>167</v>
      </c>
      <c r="G485" s="15" t="s">
        <v>168</v>
      </c>
      <c r="H485" s="15" t="s">
        <v>10</v>
      </c>
      <c r="I485" s="15" t="s">
        <v>169</v>
      </c>
      <c r="J485" s="15" t="s">
        <v>170</v>
      </c>
      <c r="K485" s="15"/>
      <c r="L485" s="1"/>
    </row>
    <row r="486" customFormat="false" ht="15" hidden="false" customHeight="false" outlineLevel="0" collapsed="false">
      <c r="A486" s="1"/>
      <c r="B486" s="30" t="s">
        <v>527</v>
      </c>
      <c r="C486" s="16" t="s">
        <v>528</v>
      </c>
      <c r="D486" s="16" t="s">
        <v>12</v>
      </c>
      <c r="E486" s="64" t="n">
        <v>1</v>
      </c>
      <c r="F486" s="25" t="s">
        <v>179</v>
      </c>
      <c r="G486" s="17" t="n">
        <v>16.8</v>
      </c>
      <c r="H486" s="17" t="n">
        <v>16.8</v>
      </c>
      <c r="I486" s="62" t="n">
        <f aca="false">IF(OR(E486="",G486=""),"",ROUND(E486*G486,2))</f>
        <v>16.8</v>
      </c>
      <c r="J486" s="25" t="str">
        <f aca="false">IF(OR(H486="",I486=""),"",IF(ABS(H486-I486)&lt;=0.02,"OK","≠"))</f>
        <v>OK</v>
      </c>
      <c r="K486" s="16"/>
      <c r="L486" s="1"/>
    </row>
    <row r="487" customFormat="false" ht="15" hidden="false" customHeight="false" outlineLevel="0" collapsed="false">
      <c r="A487" s="1"/>
      <c r="B487" s="1"/>
      <c r="C487" s="1"/>
      <c r="D487" s="1"/>
      <c r="E487" s="1"/>
      <c r="F487" s="1"/>
      <c r="G487" s="1"/>
      <c r="H487" s="1"/>
      <c r="I487" s="1"/>
      <c r="J487" s="1"/>
      <c r="K487" s="1"/>
      <c r="L487" s="1"/>
    </row>
    <row r="488" customFormat="false" ht="19.5" hidden="false" customHeight="true" outlineLevel="0" collapsed="false">
      <c r="A488" s="1"/>
      <c r="B488" s="63" t="s">
        <v>529</v>
      </c>
      <c r="C488" s="63"/>
      <c r="D488" s="63"/>
      <c r="E488" s="63"/>
      <c r="F488" s="63"/>
      <c r="G488" s="63"/>
      <c r="H488" s="63"/>
      <c r="I488" s="63"/>
      <c r="J488" s="63"/>
      <c r="K488" s="63"/>
      <c r="L488" s="1"/>
    </row>
    <row r="489" customFormat="false" ht="15" hidden="false" customHeight="false" outlineLevel="0" collapsed="false">
      <c r="A489" s="1"/>
      <c r="B489" s="50" t="s">
        <v>34</v>
      </c>
      <c r="C489" s="45" t="s">
        <v>37</v>
      </c>
      <c r="D489" s="45"/>
      <c r="E489" s="50" t="s">
        <v>157</v>
      </c>
      <c r="F489" s="50"/>
      <c r="G489" s="45" t="s">
        <v>530</v>
      </c>
      <c r="H489" s="45"/>
      <c r="I489" s="45"/>
      <c r="J489" s="45"/>
      <c r="K489" s="45"/>
      <c r="L489" s="1"/>
    </row>
    <row r="490" customFormat="false" ht="15" hidden="false" customHeight="false" outlineLevel="0" collapsed="false">
      <c r="A490" s="1"/>
      <c r="B490" s="50" t="s">
        <v>78</v>
      </c>
      <c r="C490" s="39" t="n">
        <v>46171</v>
      </c>
      <c r="D490" s="39"/>
      <c r="E490" s="50" t="s">
        <v>80</v>
      </c>
      <c r="F490" s="50"/>
      <c r="G490" s="45" t="s">
        <v>486</v>
      </c>
      <c r="H490" s="45"/>
      <c r="I490" s="45"/>
      <c r="J490" s="45"/>
      <c r="K490" s="45"/>
      <c r="L490" s="1"/>
    </row>
    <row r="491" customFormat="false" ht="15" hidden="false" customHeight="false" outlineLevel="0" collapsed="false">
      <c r="A491" s="1"/>
      <c r="B491" s="50" t="s">
        <v>158</v>
      </c>
      <c r="C491" s="55" t="n">
        <v>12</v>
      </c>
      <c r="D491" s="55"/>
      <c r="E491" s="50" t="s">
        <v>159</v>
      </c>
      <c r="F491" s="50"/>
      <c r="G491" s="56" t="n">
        <v>78.21</v>
      </c>
      <c r="H491" s="56"/>
      <c r="I491" s="56"/>
      <c r="J491" s="56"/>
      <c r="K491" s="56"/>
      <c r="L491" s="1"/>
    </row>
    <row r="492" customFormat="false" ht="15" hidden="false" customHeight="false" outlineLevel="0" collapsed="false">
      <c r="A492" s="1"/>
      <c r="B492" s="50" t="s">
        <v>160</v>
      </c>
      <c r="C492" s="55" t="n">
        <f aca="false">COUNT(H496:H507)</f>
        <v>12</v>
      </c>
      <c r="D492" s="55"/>
      <c r="E492" s="50" t="s">
        <v>161</v>
      </c>
      <c r="F492" s="50"/>
      <c r="G492" s="56" t="n">
        <f aca="false">ROUND(SUM(H496:H507),2)</f>
        <v>78.21</v>
      </c>
      <c r="H492" s="56"/>
      <c r="I492" s="56"/>
      <c r="J492" s="56"/>
      <c r="K492" s="56"/>
      <c r="L492" s="1"/>
    </row>
    <row r="493" customFormat="false" ht="15" hidden="false" customHeight="false" outlineLevel="0" collapsed="false">
      <c r="A493" s="1"/>
      <c r="B493" s="50" t="s">
        <v>162</v>
      </c>
      <c r="C493" s="55" t="n">
        <f aca="false">ROUND(SUMPRODUCT(((F496:F507="KG")+(F496:F507="G"))*1)+SUMPRODUCT((F496:F507&lt;&gt;"KG")*(F496:F507&lt;&gt;"G")*E496:E507),0)</f>
        <v>12</v>
      </c>
      <c r="D493" s="55"/>
      <c r="E493" s="50" t="s">
        <v>163</v>
      </c>
      <c r="F493" s="50"/>
      <c r="G493" s="56" t="n">
        <f aca="false">IF(G491="","",ROUND(G491-G492,2))</f>
        <v>0</v>
      </c>
      <c r="H493" s="56"/>
      <c r="I493" s="56"/>
      <c r="J493" s="56"/>
      <c r="K493" s="56"/>
      <c r="L493" s="1"/>
    </row>
    <row r="494" customFormat="false" ht="15" hidden="false" customHeight="false" outlineLevel="0" collapsed="false">
      <c r="A494" s="1"/>
      <c r="B494" s="50" t="s">
        <v>84</v>
      </c>
      <c r="C494" s="57" t="str">
        <f aca="false">IF(C492=0,"— aguardando lançamento",IF(G491="","SEM TOTAL OFICIAL — informe o total do cupom",IF(AND(OR(C491="",C491=C492,C491=C493),ABS(G493)&lt;=0.05),"FECHADO — itens e valor conferem",IF(ABS(G493)&lt;=0.05,"REVISAR — qtd. de itens não bate","REVISAR — diferença de R$ "&amp;ABS(G493)))))</f>
        <v>FECHADO — itens e valor conferem</v>
      </c>
      <c r="D494" s="57"/>
      <c r="E494" s="57"/>
      <c r="F494" s="57"/>
      <c r="G494" s="50" t="s">
        <v>164</v>
      </c>
      <c r="H494" s="30" t="s">
        <v>455</v>
      </c>
      <c r="I494" s="30"/>
      <c r="J494" s="30"/>
      <c r="K494" s="30"/>
      <c r="L494" s="1"/>
    </row>
    <row r="495" customFormat="false" ht="15" hidden="false" customHeight="false" outlineLevel="0" collapsed="false">
      <c r="A495" s="1"/>
      <c r="B495" s="15" t="s">
        <v>165</v>
      </c>
      <c r="C495" s="15" t="s">
        <v>52</v>
      </c>
      <c r="D495" s="15" t="s">
        <v>9</v>
      </c>
      <c r="E495" s="15" t="s">
        <v>166</v>
      </c>
      <c r="F495" s="15" t="s">
        <v>167</v>
      </c>
      <c r="G495" s="15" t="s">
        <v>168</v>
      </c>
      <c r="H495" s="15" t="s">
        <v>10</v>
      </c>
      <c r="I495" s="15" t="s">
        <v>169</v>
      </c>
      <c r="J495" s="15" t="s">
        <v>170</v>
      </c>
      <c r="K495" s="15"/>
      <c r="L495" s="1"/>
    </row>
    <row r="496" customFormat="false" ht="15" hidden="false" customHeight="false" outlineLevel="0" collapsed="false">
      <c r="A496" s="1"/>
      <c r="B496" s="30" t="s">
        <v>458</v>
      </c>
      <c r="C496" s="16" t="s">
        <v>432</v>
      </c>
      <c r="D496" s="16" t="s">
        <v>14</v>
      </c>
      <c r="E496" s="64" t="n">
        <v>0.48</v>
      </c>
      <c r="F496" s="25" t="s">
        <v>176</v>
      </c>
      <c r="G496" s="17" t="n">
        <v>17.9</v>
      </c>
      <c r="H496" s="17" t="n">
        <v>8.59</v>
      </c>
      <c r="I496" s="62" t="n">
        <f aca="false">IF(OR(E496="",G496=""),"",ROUND(E496*G496,2))</f>
        <v>8.59</v>
      </c>
      <c r="J496" s="25" t="str">
        <f aca="false">IF(OR(H496="",I496=""),"",IF(ABS(H496-I496)&lt;=0.02,"OK","≠"))</f>
        <v>OK</v>
      </c>
      <c r="K496" s="16"/>
      <c r="L496" s="1"/>
    </row>
    <row r="497" customFormat="false" ht="15" hidden="false" customHeight="false" outlineLevel="0" collapsed="false">
      <c r="A497" s="1"/>
      <c r="B497" s="32" t="s">
        <v>531</v>
      </c>
      <c r="C497" s="19" t="s">
        <v>532</v>
      </c>
      <c r="D497" s="19" t="s">
        <v>12</v>
      </c>
      <c r="E497" s="65" t="n">
        <v>1</v>
      </c>
      <c r="F497" s="27" t="s">
        <v>179</v>
      </c>
      <c r="G497" s="20" t="n">
        <v>6.9</v>
      </c>
      <c r="H497" s="20" t="n">
        <v>6.9</v>
      </c>
      <c r="I497" s="62" t="n">
        <f aca="false">IF(OR(E497="",G497=""),"",ROUND(E497*G497,2))</f>
        <v>6.9</v>
      </c>
      <c r="J497" s="25" t="str">
        <f aca="false">IF(OR(H497="",I497=""),"",IF(ABS(H497-I497)&lt;=0.02,"OK","≠"))</f>
        <v>OK</v>
      </c>
      <c r="K497" s="16"/>
      <c r="L497" s="1"/>
    </row>
    <row r="498" customFormat="false" ht="15" hidden="false" customHeight="false" outlineLevel="0" collapsed="false">
      <c r="A498" s="1"/>
      <c r="B498" s="30" t="s">
        <v>533</v>
      </c>
      <c r="C498" s="16" t="s">
        <v>534</v>
      </c>
      <c r="D498" s="16" t="s">
        <v>22</v>
      </c>
      <c r="E498" s="64" t="n">
        <v>1</v>
      </c>
      <c r="F498" s="25" t="s">
        <v>179</v>
      </c>
      <c r="G498" s="17" t="n">
        <v>2.99</v>
      </c>
      <c r="H498" s="17" t="n">
        <v>2.99</v>
      </c>
      <c r="I498" s="62" t="n">
        <f aca="false">IF(OR(E498="",G498=""),"",ROUND(E498*G498,2))</f>
        <v>2.99</v>
      </c>
      <c r="J498" s="25" t="str">
        <f aca="false">IF(OR(H498="",I498=""),"",IF(ABS(H498-I498)&lt;=0.02,"OK","≠"))</f>
        <v>OK</v>
      </c>
      <c r="K498" s="16"/>
      <c r="L498" s="1"/>
    </row>
    <row r="499" customFormat="false" ht="15" hidden="false" customHeight="false" outlineLevel="0" collapsed="false">
      <c r="A499" s="1"/>
      <c r="B499" s="32" t="s">
        <v>533</v>
      </c>
      <c r="C499" s="19" t="s">
        <v>534</v>
      </c>
      <c r="D499" s="19" t="s">
        <v>22</v>
      </c>
      <c r="E499" s="65" t="n">
        <v>1</v>
      </c>
      <c r="F499" s="27" t="s">
        <v>179</v>
      </c>
      <c r="G499" s="20" t="n">
        <v>2.99</v>
      </c>
      <c r="H499" s="20" t="n">
        <v>2.99</v>
      </c>
      <c r="I499" s="62" t="n">
        <f aca="false">IF(OR(E499="",G499=""),"",ROUND(E499*G499,2))</f>
        <v>2.99</v>
      </c>
      <c r="J499" s="25" t="str">
        <f aca="false">IF(OR(H499="",I499=""),"",IF(ABS(H499-I499)&lt;=0.02,"OK","≠"))</f>
        <v>OK</v>
      </c>
      <c r="K499" s="16"/>
      <c r="L499" s="1"/>
    </row>
    <row r="500" customFormat="false" ht="15" hidden="false" customHeight="false" outlineLevel="0" collapsed="false">
      <c r="A500" s="1"/>
      <c r="B500" s="30" t="s">
        <v>535</v>
      </c>
      <c r="C500" s="16" t="s">
        <v>534</v>
      </c>
      <c r="D500" s="16" t="s">
        <v>22</v>
      </c>
      <c r="E500" s="64" t="n">
        <v>1</v>
      </c>
      <c r="F500" s="25" t="s">
        <v>179</v>
      </c>
      <c r="G500" s="17" t="n">
        <v>2.99</v>
      </c>
      <c r="H500" s="17" t="n">
        <v>2.99</v>
      </c>
      <c r="I500" s="62" t="n">
        <f aca="false">IF(OR(E500="",G500=""),"",ROUND(E500*G500,2))</f>
        <v>2.99</v>
      </c>
      <c r="J500" s="25" t="str">
        <f aca="false">IF(OR(H500="",I500=""),"",IF(ABS(H500-I500)&lt;=0.02,"OK","≠"))</f>
        <v>OK</v>
      </c>
      <c r="K500" s="16"/>
      <c r="L500" s="1"/>
    </row>
    <row r="501" customFormat="false" ht="15" hidden="false" customHeight="false" outlineLevel="0" collapsed="false">
      <c r="A501" s="1"/>
      <c r="B501" s="32" t="s">
        <v>535</v>
      </c>
      <c r="C501" s="19" t="s">
        <v>534</v>
      </c>
      <c r="D501" s="19" t="s">
        <v>22</v>
      </c>
      <c r="E501" s="65" t="n">
        <v>1</v>
      </c>
      <c r="F501" s="27" t="s">
        <v>179</v>
      </c>
      <c r="G501" s="20" t="n">
        <v>2.99</v>
      </c>
      <c r="H501" s="20" t="n">
        <v>2.99</v>
      </c>
      <c r="I501" s="62" t="n">
        <f aca="false">IF(OR(E501="",G501=""),"",ROUND(E501*G501,2))</f>
        <v>2.99</v>
      </c>
      <c r="J501" s="25" t="str">
        <f aca="false">IF(OR(H501="",I501=""),"",IF(ABS(H501-I501)&lt;=0.02,"OK","≠"))</f>
        <v>OK</v>
      </c>
      <c r="K501" s="16"/>
      <c r="L501" s="1"/>
    </row>
    <row r="502" customFormat="false" ht="15" hidden="false" customHeight="false" outlineLevel="0" collapsed="false">
      <c r="A502" s="1"/>
      <c r="B502" s="30" t="s">
        <v>536</v>
      </c>
      <c r="C502" s="16" t="s">
        <v>534</v>
      </c>
      <c r="D502" s="16" t="s">
        <v>22</v>
      </c>
      <c r="E502" s="64" t="n">
        <v>1</v>
      </c>
      <c r="F502" s="25" t="s">
        <v>179</v>
      </c>
      <c r="G502" s="17" t="n">
        <v>2.99</v>
      </c>
      <c r="H502" s="17" t="n">
        <v>2.99</v>
      </c>
      <c r="I502" s="62" t="n">
        <f aca="false">IF(OR(E502="",G502=""),"",ROUND(E502*G502,2))</f>
        <v>2.99</v>
      </c>
      <c r="J502" s="25" t="str">
        <f aca="false">IF(OR(H502="",I502=""),"",IF(ABS(H502-I502)&lt;=0.02,"OK","≠"))</f>
        <v>OK</v>
      </c>
      <c r="K502" s="16"/>
      <c r="L502" s="1"/>
    </row>
    <row r="503" customFormat="false" ht="15" hidden="false" customHeight="false" outlineLevel="0" collapsed="false">
      <c r="A503" s="1"/>
      <c r="B503" s="32" t="s">
        <v>536</v>
      </c>
      <c r="C503" s="19" t="s">
        <v>534</v>
      </c>
      <c r="D503" s="19" t="s">
        <v>22</v>
      </c>
      <c r="E503" s="65" t="n">
        <v>1</v>
      </c>
      <c r="F503" s="27" t="s">
        <v>179</v>
      </c>
      <c r="G503" s="20" t="n">
        <v>2.99</v>
      </c>
      <c r="H503" s="20" t="n">
        <v>2.99</v>
      </c>
      <c r="I503" s="62" t="n">
        <f aca="false">IF(OR(E503="",G503=""),"",ROUND(E503*G503,2))</f>
        <v>2.99</v>
      </c>
      <c r="J503" s="25" t="str">
        <f aca="false">IF(OR(H503="",I503=""),"",IF(ABS(H503-I503)&lt;=0.02,"OK","≠"))</f>
        <v>OK</v>
      </c>
      <c r="K503" s="16"/>
      <c r="L503" s="1"/>
    </row>
    <row r="504" customFormat="false" ht="15" hidden="false" customHeight="false" outlineLevel="0" collapsed="false">
      <c r="A504" s="1"/>
      <c r="B504" s="30" t="s">
        <v>537</v>
      </c>
      <c r="C504" s="16" t="s">
        <v>534</v>
      </c>
      <c r="D504" s="16" t="s">
        <v>22</v>
      </c>
      <c r="E504" s="64" t="n">
        <v>1</v>
      </c>
      <c r="F504" s="25" t="s">
        <v>179</v>
      </c>
      <c r="G504" s="17" t="n">
        <v>2.99</v>
      </c>
      <c r="H504" s="17" t="n">
        <v>2.99</v>
      </c>
      <c r="I504" s="62" t="n">
        <f aca="false">IF(OR(E504="",G504=""),"",ROUND(E504*G504,2))</f>
        <v>2.99</v>
      </c>
      <c r="J504" s="25" t="str">
        <f aca="false">IF(OR(H504="",I504=""),"",IF(ABS(H504-I504)&lt;=0.02,"OK","≠"))</f>
        <v>OK</v>
      </c>
      <c r="K504" s="16"/>
      <c r="L504" s="1"/>
    </row>
    <row r="505" customFormat="false" ht="15" hidden="false" customHeight="false" outlineLevel="0" collapsed="false">
      <c r="A505" s="1"/>
      <c r="B505" s="32" t="s">
        <v>537</v>
      </c>
      <c r="C505" s="19" t="s">
        <v>534</v>
      </c>
      <c r="D505" s="19" t="s">
        <v>22</v>
      </c>
      <c r="E505" s="65" t="n">
        <v>1</v>
      </c>
      <c r="F505" s="27" t="s">
        <v>179</v>
      </c>
      <c r="G505" s="20" t="n">
        <v>2.99</v>
      </c>
      <c r="H505" s="20" t="n">
        <v>2.99</v>
      </c>
      <c r="I505" s="62" t="n">
        <f aca="false">IF(OR(E505="",G505=""),"",ROUND(E505*G505,2))</f>
        <v>2.99</v>
      </c>
      <c r="J505" s="25" t="str">
        <f aca="false">IF(OR(H505="",I505=""),"",IF(ABS(H505-I505)&lt;=0.02,"OK","≠"))</f>
        <v>OK</v>
      </c>
      <c r="K505" s="16"/>
      <c r="L505" s="1"/>
    </row>
    <row r="506" customFormat="false" ht="15" hidden="false" customHeight="false" outlineLevel="0" collapsed="false">
      <c r="A506" s="1"/>
      <c r="B506" s="30" t="s">
        <v>538</v>
      </c>
      <c r="C506" s="16" t="s">
        <v>539</v>
      </c>
      <c r="D506" s="16" t="s">
        <v>13</v>
      </c>
      <c r="E506" s="64" t="n">
        <v>1</v>
      </c>
      <c r="F506" s="25" t="s">
        <v>179</v>
      </c>
      <c r="G506" s="17" t="n">
        <v>21.9</v>
      </c>
      <c r="H506" s="17" t="n">
        <v>21.9</v>
      </c>
      <c r="I506" s="62" t="n">
        <f aca="false">IF(OR(E506="",G506=""),"",ROUND(E506*G506,2))</f>
        <v>21.9</v>
      </c>
      <c r="J506" s="25" t="str">
        <f aca="false">IF(OR(H506="",I506=""),"",IF(ABS(H506-I506)&lt;=0.02,"OK","≠"))</f>
        <v>OK</v>
      </c>
      <c r="K506" s="16"/>
      <c r="L506" s="1"/>
    </row>
    <row r="507" customFormat="false" ht="15" hidden="false" customHeight="false" outlineLevel="0" collapsed="false">
      <c r="A507" s="1"/>
      <c r="B507" s="32" t="s">
        <v>540</v>
      </c>
      <c r="C507" s="19" t="s">
        <v>541</v>
      </c>
      <c r="D507" s="19" t="s">
        <v>22</v>
      </c>
      <c r="E507" s="65" t="n">
        <v>1</v>
      </c>
      <c r="F507" s="27" t="s">
        <v>179</v>
      </c>
      <c r="G507" s="20" t="n">
        <v>16.9</v>
      </c>
      <c r="H507" s="20" t="n">
        <v>16.9</v>
      </c>
      <c r="I507" s="62" t="n">
        <f aca="false">IF(OR(E507="",G507=""),"",ROUND(E507*G507,2))</f>
        <v>16.9</v>
      </c>
      <c r="J507" s="25" t="str">
        <f aca="false">IF(OR(H507="",I507=""),"",IF(ABS(H507-I507)&lt;=0.02,"OK","≠"))</f>
        <v>OK</v>
      </c>
      <c r="K507" s="16"/>
      <c r="L507" s="1"/>
    </row>
    <row r="508" customFormat="false" ht="15" hidden="false" customHeight="false" outlineLevel="0" collapsed="false">
      <c r="A508" s="1"/>
      <c r="B508" s="1"/>
      <c r="C508" s="1"/>
      <c r="D508" s="1"/>
      <c r="E508" s="1"/>
      <c r="F508" s="1"/>
      <c r="G508" s="1"/>
      <c r="H508" s="1"/>
      <c r="I508" s="1"/>
      <c r="J508" s="1"/>
      <c r="K508" s="1"/>
      <c r="L508" s="1"/>
    </row>
    <row r="509" customFormat="false" ht="19.5" hidden="false" customHeight="true" outlineLevel="0" collapsed="false">
      <c r="A509" s="1"/>
      <c r="B509" s="63" t="s">
        <v>542</v>
      </c>
      <c r="C509" s="63"/>
      <c r="D509" s="63"/>
      <c r="E509" s="63"/>
      <c r="F509" s="63"/>
      <c r="G509" s="63"/>
      <c r="H509" s="63"/>
      <c r="I509" s="63"/>
      <c r="J509" s="63"/>
      <c r="K509" s="63"/>
      <c r="L509" s="1"/>
    </row>
    <row r="510" customFormat="false" ht="15" hidden="false" customHeight="false" outlineLevel="0" collapsed="false">
      <c r="A510" s="1"/>
      <c r="B510" s="50" t="s">
        <v>34</v>
      </c>
      <c r="C510" s="45" t="s">
        <v>36</v>
      </c>
      <c r="D510" s="45"/>
      <c r="E510" s="50" t="s">
        <v>157</v>
      </c>
      <c r="F510" s="50"/>
      <c r="G510" s="45" t="s">
        <v>543</v>
      </c>
      <c r="H510" s="45"/>
      <c r="I510" s="45"/>
      <c r="J510" s="45"/>
      <c r="K510" s="45"/>
      <c r="L510" s="1"/>
    </row>
    <row r="511" customFormat="false" ht="15" hidden="false" customHeight="false" outlineLevel="0" collapsed="false">
      <c r="A511" s="1"/>
      <c r="B511" s="50" t="s">
        <v>78</v>
      </c>
      <c r="C511" s="39" t="n">
        <v>46173</v>
      </c>
      <c r="D511" s="39"/>
      <c r="E511" s="50" t="s">
        <v>80</v>
      </c>
      <c r="F511" s="50"/>
      <c r="G511" s="45" t="s">
        <v>426</v>
      </c>
      <c r="H511" s="45"/>
      <c r="I511" s="45"/>
      <c r="J511" s="45"/>
      <c r="K511" s="45"/>
      <c r="L511" s="1"/>
    </row>
    <row r="512" customFormat="false" ht="15" hidden="false" customHeight="false" outlineLevel="0" collapsed="false">
      <c r="A512" s="1"/>
      <c r="B512" s="50" t="s">
        <v>158</v>
      </c>
      <c r="C512" s="55" t="n">
        <v>44</v>
      </c>
      <c r="D512" s="55"/>
      <c r="E512" s="50" t="s">
        <v>159</v>
      </c>
      <c r="F512" s="50"/>
      <c r="G512" s="56" t="n">
        <v>289.12</v>
      </c>
      <c r="H512" s="56"/>
      <c r="I512" s="56"/>
      <c r="J512" s="56"/>
      <c r="K512" s="56"/>
      <c r="L512" s="1"/>
    </row>
    <row r="513" customFormat="false" ht="15" hidden="false" customHeight="false" outlineLevel="0" collapsed="false">
      <c r="A513" s="1"/>
      <c r="B513" s="50" t="s">
        <v>160</v>
      </c>
      <c r="C513" s="55" t="n">
        <f aca="false">COUNT(H517:H560)</f>
        <v>44</v>
      </c>
      <c r="D513" s="55"/>
      <c r="E513" s="50" t="s">
        <v>161</v>
      </c>
      <c r="F513" s="50"/>
      <c r="G513" s="56" t="n">
        <f aca="false">ROUND(SUM(H517:H560),2)</f>
        <v>289.12</v>
      </c>
      <c r="H513" s="56"/>
      <c r="I513" s="56"/>
      <c r="J513" s="56"/>
      <c r="K513" s="56"/>
      <c r="L513" s="1"/>
    </row>
    <row r="514" customFormat="false" ht="15" hidden="false" customHeight="false" outlineLevel="0" collapsed="false">
      <c r="A514" s="1"/>
      <c r="B514" s="50" t="s">
        <v>162</v>
      </c>
      <c r="C514" s="55" t="n">
        <f aca="false">ROUND(SUMPRODUCT(((F517:F560="KG")+(F517:F560="G"))*1)+SUMPRODUCT((F517:F560&lt;&gt;"KG")*(F517:F560&lt;&gt;"G")*E517:E560),0)</f>
        <v>44</v>
      </c>
      <c r="D514" s="55"/>
      <c r="E514" s="50" t="s">
        <v>163</v>
      </c>
      <c r="F514" s="50"/>
      <c r="G514" s="56" t="n">
        <f aca="false">IF(G512="","",ROUND(G512-G513,2))</f>
        <v>0</v>
      </c>
      <c r="H514" s="56"/>
      <c r="I514" s="56"/>
      <c r="J514" s="56"/>
      <c r="K514" s="56"/>
      <c r="L514" s="1"/>
    </row>
    <row r="515" customFormat="false" ht="15" hidden="false" customHeight="false" outlineLevel="0" collapsed="false">
      <c r="A515" s="1"/>
      <c r="B515" s="50" t="s">
        <v>84</v>
      </c>
      <c r="C515" s="57" t="str">
        <f aca="false">IF(C513=0,"— aguardando lançamento",IF(G512="","SEM TOTAL OFICIAL — informe o total do cupom",IF(AND(OR(C512="",C512=C513,C512=C514),ABS(G514)&lt;=0.05),"FECHADO — itens e valor conferem",IF(ABS(G514)&lt;=0.05,"REVISAR — qtd. de itens não bate","REVISAR — diferença de R$ "&amp;ABS(G514)))))</f>
        <v>FECHADO — itens e valor conferem</v>
      </c>
      <c r="D515" s="57"/>
      <c r="E515" s="57"/>
      <c r="F515" s="57"/>
      <c r="G515" s="50" t="s">
        <v>164</v>
      </c>
      <c r="H515" s="30"/>
      <c r="I515" s="30"/>
      <c r="J515" s="30"/>
      <c r="K515" s="30"/>
      <c r="L515" s="1"/>
    </row>
    <row r="516" customFormat="false" ht="15" hidden="false" customHeight="false" outlineLevel="0" collapsed="false">
      <c r="A516" s="1"/>
      <c r="B516" s="15" t="s">
        <v>165</v>
      </c>
      <c r="C516" s="15" t="s">
        <v>52</v>
      </c>
      <c r="D516" s="15" t="s">
        <v>9</v>
      </c>
      <c r="E516" s="15" t="s">
        <v>166</v>
      </c>
      <c r="F516" s="15" t="s">
        <v>167</v>
      </c>
      <c r="G516" s="15" t="s">
        <v>168</v>
      </c>
      <c r="H516" s="15" t="s">
        <v>10</v>
      </c>
      <c r="I516" s="15" t="s">
        <v>169</v>
      </c>
      <c r="J516" s="15" t="s">
        <v>170</v>
      </c>
      <c r="K516" s="15"/>
      <c r="L516" s="1"/>
    </row>
    <row r="517" customFormat="false" ht="15" hidden="false" customHeight="false" outlineLevel="0" collapsed="false">
      <c r="A517" s="1"/>
      <c r="B517" s="30" t="s">
        <v>202</v>
      </c>
      <c r="C517" s="16" t="s">
        <v>241</v>
      </c>
      <c r="D517" s="16" t="s">
        <v>12</v>
      </c>
      <c r="E517" s="64" t="n">
        <v>1</v>
      </c>
      <c r="F517" s="25" t="s">
        <v>179</v>
      </c>
      <c r="G517" s="17" t="n">
        <v>1.8</v>
      </c>
      <c r="H517" s="17" t="n">
        <v>1.8</v>
      </c>
      <c r="I517" s="62" t="n">
        <f aca="false">IF(OR(E517="",G517=""),"",ROUND(E517*G517,2))</f>
        <v>1.8</v>
      </c>
      <c r="J517" s="25" t="str">
        <f aca="false">IF(OR(H517="",I517=""),"",IF(ABS(H517-I517)&lt;=0.02,"OK","≠"))</f>
        <v>OK</v>
      </c>
      <c r="K517" s="16"/>
      <c r="L517" s="1"/>
    </row>
    <row r="518" customFormat="false" ht="15" hidden="false" customHeight="false" outlineLevel="0" collapsed="false">
      <c r="A518" s="1"/>
      <c r="B518" s="32" t="s">
        <v>202</v>
      </c>
      <c r="C518" s="19" t="s">
        <v>241</v>
      </c>
      <c r="D518" s="19" t="s">
        <v>12</v>
      </c>
      <c r="E518" s="65" t="n">
        <v>1</v>
      </c>
      <c r="F518" s="27" t="s">
        <v>179</v>
      </c>
      <c r="G518" s="20" t="n">
        <v>1.8</v>
      </c>
      <c r="H518" s="20" t="n">
        <v>1.8</v>
      </c>
      <c r="I518" s="62" t="n">
        <f aca="false">IF(OR(E518="",G518=""),"",ROUND(E518*G518,2))</f>
        <v>1.8</v>
      </c>
      <c r="J518" s="25" t="str">
        <f aca="false">IF(OR(H518="",I518=""),"",IF(ABS(H518-I518)&lt;=0.02,"OK","≠"))</f>
        <v>OK</v>
      </c>
      <c r="K518" s="16"/>
      <c r="L518" s="1"/>
    </row>
    <row r="519" customFormat="false" ht="15" hidden="false" customHeight="false" outlineLevel="0" collapsed="false">
      <c r="A519" s="1"/>
      <c r="B519" s="30" t="s">
        <v>198</v>
      </c>
      <c r="C519" s="16" t="s">
        <v>242</v>
      </c>
      <c r="D519" s="16" t="s">
        <v>12</v>
      </c>
      <c r="E519" s="64" t="n">
        <v>1</v>
      </c>
      <c r="F519" s="25" t="s">
        <v>179</v>
      </c>
      <c r="G519" s="17" t="n">
        <v>3.7</v>
      </c>
      <c r="H519" s="17" t="n">
        <v>3.7</v>
      </c>
      <c r="I519" s="62" t="n">
        <f aca="false">IF(OR(E519="",G519=""),"",ROUND(E519*G519,2))</f>
        <v>3.7</v>
      </c>
      <c r="J519" s="25" t="str">
        <f aca="false">IF(OR(H519="",I519=""),"",IF(ABS(H519-I519)&lt;=0.02,"OK","≠"))</f>
        <v>OK</v>
      </c>
      <c r="K519" s="16"/>
      <c r="L519" s="1"/>
    </row>
    <row r="520" customFormat="false" ht="15" hidden="false" customHeight="false" outlineLevel="0" collapsed="false">
      <c r="A520" s="1"/>
      <c r="B520" s="32" t="s">
        <v>198</v>
      </c>
      <c r="C520" s="19" t="s">
        <v>242</v>
      </c>
      <c r="D520" s="19" t="s">
        <v>12</v>
      </c>
      <c r="E520" s="65" t="n">
        <v>1</v>
      </c>
      <c r="F520" s="27" t="s">
        <v>179</v>
      </c>
      <c r="G520" s="20" t="n">
        <v>3.7</v>
      </c>
      <c r="H520" s="20" t="n">
        <v>3.7</v>
      </c>
      <c r="I520" s="62" t="n">
        <f aca="false">IF(OR(E520="",G520=""),"",ROUND(E520*G520,2))</f>
        <v>3.7</v>
      </c>
      <c r="J520" s="25" t="str">
        <f aca="false">IF(OR(H520="",I520=""),"",IF(ABS(H520-I520)&lt;=0.02,"OK","≠"))</f>
        <v>OK</v>
      </c>
      <c r="K520" s="16"/>
      <c r="L520" s="1"/>
    </row>
    <row r="521" customFormat="false" ht="15" hidden="false" customHeight="false" outlineLevel="0" collapsed="false">
      <c r="A521" s="1"/>
      <c r="B521" s="30" t="s">
        <v>198</v>
      </c>
      <c r="C521" s="16" t="s">
        <v>242</v>
      </c>
      <c r="D521" s="16" t="s">
        <v>12</v>
      </c>
      <c r="E521" s="64" t="n">
        <v>1</v>
      </c>
      <c r="F521" s="25" t="s">
        <v>179</v>
      </c>
      <c r="G521" s="17" t="n">
        <v>3.7</v>
      </c>
      <c r="H521" s="17" t="n">
        <v>3.7</v>
      </c>
      <c r="I521" s="62" t="n">
        <f aca="false">IF(OR(E521="",G521=""),"",ROUND(E521*G521,2))</f>
        <v>3.7</v>
      </c>
      <c r="J521" s="25" t="str">
        <f aca="false">IF(OR(H521="",I521=""),"",IF(ABS(H521-I521)&lt;=0.02,"OK","≠"))</f>
        <v>OK</v>
      </c>
      <c r="K521" s="16"/>
      <c r="L521" s="1"/>
    </row>
    <row r="522" customFormat="false" ht="15" hidden="false" customHeight="false" outlineLevel="0" collapsed="false">
      <c r="A522" s="1"/>
      <c r="B522" s="32" t="s">
        <v>544</v>
      </c>
      <c r="C522" s="19" t="s">
        <v>545</v>
      </c>
      <c r="D522" s="19" t="s">
        <v>12</v>
      </c>
      <c r="E522" s="65" t="n">
        <v>1</v>
      </c>
      <c r="F522" s="27" t="s">
        <v>179</v>
      </c>
      <c r="G522" s="20" t="n">
        <v>10.99</v>
      </c>
      <c r="H522" s="20" t="n">
        <v>10.99</v>
      </c>
      <c r="I522" s="62" t="n">
        <f aca="false">IF(OR(E522="",G522=""),"",ROUND(E522*G522,2))</f>
        <v>10.99</v>
      </c>
      <c r="J522" s="25" t="str">
        <f aca="false">IF(OR(H522="",I522=""),"",IF(ABS(H522-I522)&lt;=0.02,"OK","≠"))</f>
        <v>OK</v>
      </c>
      <c r="K522" s="16"/>
      <c r="L522" s="1"/>
    </row>
    <row r="523" customFormat="false" ht="15" hidden="false" customHeight="false" outlineLevel="0" collapsed="false">
      <c r="A523" s="1"/>
      <c r="B523" s="30" t="s">
        <v>381</v>
      </c>
      <c r="C523" s="16" t="s">
        <v>382</v>
      </c>
      <c r="D523" s="16" t="s">
        <v>12</v>
      </c>
      <c r="E523" s="64" t="n">
        <v>1</v>
      </c>
      <c r="F523" s="25" t="s">
        <v>179</v>
      </c>
      <c r="G523" s="17" t="n">
        <v>7.7</v>
      </c>
      <c r="H523" s="17" t="n">
        <v>7.7</v>
      </c>
      <c r="I523" s="62" t="n">
        <f aca="false">IF(OR(E523="",G523=""),"",ROUND(E523*G523,2))</f>
        <v>7.7</v>
      </c>
      <c r="J523" s="25" t="str">
        <f aca="false">IF(OR(H523="",I523=""),"",IF(ABS(H523-I523)&lt;=0.02,"OK","≠"))</f>
        <v>OK</v>
      </c>
      <c r="K523" s="16"/>
      <c r="L523" s="1"/>
    </row>
    <row r="524" customFormat="false" ht="15" hidden="false" customHeight="false" outlineLevel="0" collapsed="false">
      <c r="A524" s="1"/>
      <c r="B524" s="32" t="s">
        <v>546</v>
      </c>
      <c r="C524" s="19" t="s">
        <v>547</v>
      </c>
      <c r="D524" s="19" t="s">
        <v>12</v>
      </c>
      <c r="E524" s="65" t="n">
        <v>1</v>
      </c>
      <c r="F524" s="27" t="s">
        <v>179</v>
      </c>
      <c r="G524" s="20" t="n">
        <v>31.7</v>
      </c>
      <c r="H524" s="20" t="n">
        <v>31.7</v>
      </c>
      <c r="I524" s="62" t="n">
        <f aca="false">IF(OR(E524="",G524=""),"",ROUND(E524*G524,2))</f>
        <v>31.7</v>
      </c>
      <c r="J524" s="25" t="str">
        <f aca="false">IF(OR(H524="",I524=""),"",IF(ABS(H524-I524)&lt;=0.02,"OK","≠"))</f>
        <v>OK</v>
      </c>
      <c r="K524" s="16"/>
      <c r="L524" s="1"/>
    </row>
    <row r="525" customFormat="false" ht="15" hidden="false" customHeight="false" outlineLevel="0" collapsed="false">
      <c r="A525" s="1"/>
      <c r="B525" s="30" t="s">
        <v>548</v>
      </c>
      <c r="C525" s="16" t="s">
        <v>368</v>
      </c>
      <c r="D525" s="16" t="s">
        <v>18</v>
      </c>
      <c r="E525" s="64" t="n">
        <v>1</v>
      </c>
      <c r="F525" s="25" t="s">
        <v>179</v>
      </c>
      <c r="G525" s="17" t="n">
        <v>2.69</v>
      </c>
      <c r="H525" s="17" t="n">
        <v>2.69</v>
      </c>
      <c r="I525" s="62" t="n">
        <f aca="false">IF(OR(E525="",G525=""),"",ROUND(E525*G525,2))</f>
        <v>2.69</v>
      </c>
      <c r="J525" s="25" t="str">
        <f aca="false">IF(OR(H525="",I525=""),"",IF(ABS(H525-I525)&lt;=0.02,"OK","≠"))</f>
        <v>OK</v>
      </c>
      <c r="K525" s="16"/>
      <c r="L525" s="1"/>
    </row>
    <row r="526" customFormat="false" ht="15" hidden="false" customHeight="false" outlineLevel="0" collapsed="false">
      <c r="A526" s="1"/>
      <c r="B526" s="32" t="s">
        <v>186</v>
      </c>
      <c r="C526" s="19" t="s">
        <v>549</v>
      </c>
      <c r="D526" s="19" t="s">
        <v>12</v>
      </c>
      <c r="E526" s="65" t="n">
        <v>1</v>
      </c>
      <c r="F526" s="27" t="s">
        <v>179</v>
      </c>
      <c r="G526" s="20" t="n">
        <v>3.79</v>
      </c>
      <c r="H526" s="20" t="n">
        <v>3.79</v>
      </c>
      <c r="I526" s="62" t="n">
        <f aca="false">IF(OR(E526="",G526=""),"",ROUND(E526*G526,2))</f>
        <v>3.79</v>
      </c>
      <c r="J526" s="25" t="str">
        <f aca="false">IF(OR(H526="",I526=""),"",IF(ABS(H526-I526)&lt;=0.02,"OK","≠"))</f>
        <v>OK</v>
      </c>
      <c r="K526" s="16"/>
      <c r="L526" s="1"/>
    </row>
    <row r="527" customFormat="false" ht="15" hidden="false" customHeight="false" outlineLevel="0" collapsed="false">
      <c r="A527" s="1"/>
      <c r="B527" s="30" t="s">
        <v>186</v>
      </c>
      <c r="C527" s="16" t="s">
        <v>549</v>
      </c>
      <c r="D527" s="16" t="s">
        <v>12</v>
      </c>
      <c r="E527" s="64" t="n">
        <v>1</v>
      </c>
      <c r="F527" s="25" t="s">
        <v>179</v>
      </c>
      <c r="G527" s="17" t="n">
        <v>3.79</v>
      </c>
      <c r="H527" s="17" t="n">
        <v>3.79</v>
      </c>
      <c r="I527" s="62" t="n">
        <f aca="false">IF(OR(E527="",G527=""),"",ROUND(E527*G527,2))</f>
        <v>3.79</v>
      </c>
      <c r="J527" s="25" t="str">
        <f aca="false">IF(OR(H527="",I527=""),"",IF(ABS(H527-I527)&lt;=0.02,"OK","≠"))</f>
        <v>OK</v>
      </c>
      <c r="K527" s="16"/>
      <c r="L527" s="1"/>
    </row>
    <row r="528" customFormat="false" ht="15" hidden="false" customHeight="false" outlineLevel="0" collapsed="false">
      <c r="A528" s="1"/>
      <c r="B528" s="32" t="s">
        <v>186</v>
      </c>
      <c r="C528" s="19" t="s">
        <v>549</v>
      </c>
      <c r="D528" s="19" t="s">
        <v>12</v>
      </c>
      <c r="E528" s="65" t="n">
        <v>1</v>
      </c>
      <c r="F528" s="27" t="s">
        <v>179</v>
      </c>
      <c r="G528" s="20" t="n">
        <v>3.79</v>
      </c>
      <c r="H528" s="20" t="n">
        <v>3.79</v>
      </c>
      <c r="I528" s="62" t="n">
        <f aca="false">IF(OR(E528="",G528=""),"",ROUND(E528*G528,2))</f>
        <v>3.79</v>
      </c>
      <c r="J528" s="25" t="str">
        <f aca="false">IF(OR(H528="",I528=""),"",IF(ABS(H528-I528)&lt;=0.02,"OK","≠"))</f>
        <v>OK</v>
      </c>
      <c r="K528" s="16"/>
      <c r="L528" s="1"/>
    </row>
    <row r="529" customFormat="false" ht="15" hidden="false" customHeight="false" outlineLevel="0" collapsed="false">
      <c r="A529" s="1"/>
      <c r="B529" s="30" t="s">
        <v>550</v>
      </c>
      <c r="C529" s="16" t="s">
        <v>356</v>
      </c>
      <c r="D529" s="16" t="s">
        <v>12</v>
      </c>
      <c r="E529" s="64" t="n">
        <v>1</v>
      </c>
      <c r="F529" s="25" t="s">
        <v>179</v>
      </c>
      <c r="G529" s="17" t="n">
        <v>2.95</v>
      </c>
      <c r="H529" s="17" t="n">
        <v>2.95</v>
      </c>
      <c r="I529" s="62" t="n">
        <f aca="false">IF(OR(E529="",G529=""),"",ROUND(E529*G529,2))</f>
        <v>2.95</v>
      </c>
      <c r="J529" s="25" t="str">
        <f aca="false">IF(OR(H529="",I529=""),"",IF(ABS(H529-I529)&lt;=0.02,"OK","≠"))</f>
        <v>OK</v>
      </c>
      <c r="K529" s="16"/>
      <c r="L529" s="1"/>
    </row>
    <row r="530" customFormat="false" ht="15" hidden="false" customHeight="false" outlineLevel="0" collapsed="false">
      <c r="A530" s="1"/>
      <c r="B530" s="32" t="s">
        <v>551</v>
      </c>
      <c r="C530" s="19" t="s">
        <v>552</v>
      </c>
      <c r="D530" s="19" t="s">
        <v>12</v>
      </c>
      <c r="E530" s="65" t="n">
        <v>1</v>
      </c>
      <c r="F530" s="27" t="s">
        <v>179</v>
      </c>
      <c r="G530" s="20" t="n">
        <v>4</v>
      </c>
      <c r="H530" s="20" t="n">
        <v>4</v>
      </c>
      <c r="I530" s="62" t="n">
        <f aca="false">IF(OR(E530="",G530=""),"",ROUND(E530*G530,2))</f>
        <v>4</v>
      </c>
      <c r="J530" s="25" t="str">
        <f aca="false">IF(OR(H530="",I530=""),"",IF(ABS(H530-I530)&lt;=0.02,"OK","≠"))</f>
        <v>OK</v>
      </c>
      <c r="K530" s="16"/>
      <c r="L530" s="1"/>
    </row>
    <row r="531" customFormat="false" ht="15" hidden="false" customHeight="false" outlineLevel="0" collapsed="false">
      <c r="A531" s="1"/>
      <c r="B531" s="30" t="s">
        <v>553</v>
      </c>
      <c r="C531" s="16" t="s">
        <v>554</v>
      </c>
      <c r="D531" s="16" t="s">
        <v>12</v>
      </c>
      <c r="E531" s="64" t="n">
        <v>1</v>
      </c>
      <c r="F531" s="25" t="s">
        <v>179</v>
      </c>
      <c r="G531" s="17" t="n">
        <v>1.2</v>
      </c>
      <c r="H531" s="17" t="n">
        <v>1.2</v>
      </c>
      <c r="I531" s="62" t="n">
        <f aca="false">IF(OR(E531="",G531=""),"",ROUND(E531*G531,2))</f>
        <v>1.2</v>
      </c>
      <c r="J531" s="25" t="str">
        <f aca="false">IF(OR(H531="",I531=""),"",IF(ABS(H531-I531)&lt;=0.02,"OK","≠"))</f>
        <v>OK</v>
      </c>
      <c r="K531" s="16"/>
      <c r="L531" s="1"/>
    </row>
    <row r="532" customFormat="false" ht="15" hidden="false" customHeight="false" outlineLevel="0" collapsed="false">
      <c r="A532" s="1"/>
      <c r="B532" s="32" t="s">
        <v>555</v>
      </c>
      <c r="C532" s="19" t="s">
        <v>354</v>
      </c>
      <c r="D532" s="19" t="s">
        <v>12</v>
      </c>
      <c r="E532" s="65" t="n">
        <v>1</v>
      </c>
      <c r="F532" s="27" t="s">
        <v>179</v>
      </c>
      <c r="G532" s="20" t="n">
        <v>9.45</v>
      </c>
      <c r="H532" s="20" t="n">
        <v>9.45</v>
      </c>
      <c r="I532" s="62" t="n">
        <f aca="false">IF(OR(E532="",G532=""),"",ROUND(E532*G532,2))</f>
        <v>9.45</v>
      </c>
      <c r="J532" s="25" t="str">
        <f aca="false">IF(OR(H532="",I532=""),"",IF(ABS(H532-I532)&lt;=0.02,"OK","≠"))</f>
        <v>OK</v>
      </c>
      <c r="K532" s="16"/>
      <c r="L532" s="1"/>
    </row>
    <row r="533" customFormat="false" ht="15" hidden="false" customHeight="false" outlineLevel="0" collapsed="false">
      <c r="A533" s="1"/>
      <c r="B533" s="30" t="s">
        <v>255</v>
      </c>
      <c r="C533" s="16" t="s">
        <v>556</v>
      </c>
      <c r="D533" s="16" t="s">
        <v>12</v>
      </c>
      <c r="E533" s="64" t="n">
        <v>1</v>
      </c>
      <c r="F533" s="25" t="s">
        <v>179</v>
      </c>
      <c r="G533" s="17" t="n">
        <v>5.99</v>
      </c>
      <c r="H533" s="17" t="n">
        <v>5.99</v>
      </c>
      <c r="I533" s="62" t="n">
        <f aca="false">IF(OR(E533="",G533=""),"",ROUND(E533*G533,2))</f>
        <v>5.99</v>
      </c>
      <c r="J533" s="25" t="str">
        <f aca="false">IF(OR(H533="",I533=""),"",IF(ABS(H533-I533)&lt;=0.02,"OK","≠"))</f>
        <v>OK</v>
      </c>
      <c r="K533" s="16"/>
      <c r="L533" s="1"/>
    </row>
    <row r="534" customFormat="false" ht="15" hidden="false" customHeight="false" outlineLevel="0" collapsed="false">
      <c r="A534" s="1"/>
      <c r="B534" s="32" t="s">
        <v>342</v>
      </c>
      <c r="C534" s="19" t="s">
        <v>343</v>
      </c>
      <c r="D534" s="19" t="s">
        <v>12</v>
      </c>
      <c r="E534" s="65" t="n">
        <v>1</v>
      </c>
      <c r="F534" s="27" t="s">
        <v>179</v>
      </c>
      <c r="G534" s="20" t="n">
        <v>3.49</v>
      </c>
      <c r="H534" s="20" t="n">
        <v>3.49</v>
      </c>
      <c r="I534" s="62" t="n">
        <f aca="false">IF(OR(E534="",G534=""),"",ROUND(E534*G534,2))</f>
        <v>3.49</v>
      </c>
      <c r="J534" s="25" t="str">
        <f aca="false">IF(OR(H534="",I534=""),"",IF(ABS(H534-I534)&lt;=0.02,"OK","≠"))</f>
        <v>OK</v>
      </c>
      <c r="K534" s="16"/>
      <c r="L534" s="1"/>
    </row>
    <row r="535" customFormat="false" ht="15" hidden="false" customHeight="false" outlineLevel="0" collapsed="false">
      <c r="A535" s="1"/>
      <c r="B535" s="30" t="s">
        <v>557</v>
      </c>
      <c r="C535" s="16" t="s">
        <v>558</v>
      </c>
      <c r="D535" s="16" t="s">
        <v>12</v>
      </c>
      <c r="E535" s="64" t="n">
        <v>1</v>
      </c>
      <c r="F535" s="25" t="s">
        <v>179</v>
      </c>
      <c r="G535" s="17" t="n">
        <v>11.7</v>
      </c>
      <c r="H535" s="17" t="n">
        <v>11.7</v>
      </c>
      <c r="I535" s="62" t="n">
        <f aca="false">IF(OR(E535="",G535=""),"",ROUND(E535*G535,2))</f>
        <v>11.7</v>
      </c>
      <c r="J535" s="25" t="str">
        <f aca="false">IF(OR(H535="",I535=""),"",IF(ABS(H535-I535)&lt;=0.02,"OK","≠"))</f>
        <v>OK</v>
      </c>
      <c r="K535" s="16"/>
      <c r="L535" s="1"/>
    </row>
    <row r="536" customFormat="false" ht="15" hidden="false" customHeight="false" outlineLevel="0" collapsed="false">
      <c r="A536" s="1"/>
      <c r="B536" s="32" t="s">
        <v>385</v>
      </c>
      <c r="C536" s="19" t="s">
        <v>386</v>
      </c>
      <c r="D536" s="19" t="s">
        <v>13</v>
      </c>
      <c r="E536" s="65" t="n">
        <v>1</v>
      </c>
      <c r="F536" s="27" t="s">
        <v>179</v>
      </c>
      <c r="G536" s="20" t="n">
        <v>1.99</v>
      </c>
      <c r="H536" s="20" t="n">
        <v>1.99</v>
      </c>
      <c r="I536" s="62" t="n">
        <f aca="false">IF(OR(E536="",G536=""),"",ROUND(E536*G536,2))</f>
        <v>1.99</v>
      </c>
      <c r="J536" s="25" t="str">
        <f aca="false">IF(OR(H536="",I536=""),"",IF(ABS(H536-I536)&lt;=0.02,"OK","≠"))</f>
        <v>OK</v>
      </c>
      <c r="K536" s="16"/>
      <c r="L536" s="1"/>
    </row>
    <row r="537" customFormat="false" ht="15" hidden="false" customHeight="false" outlineLevel="0" collapsed="false">
      <c r="A537" s="1"/>
      <c r="B537" s="30" t="s">
        <v>385</v>
      </c>
      <c r="C537" s="16" t="s">
        <v>386</v>
      </c>
      <c r="D537" s="16" t="s">
        <v>13</v>
      </c>
      <c r="E537" s="64" t="n">
        <v>1</v>
      </c>
      <c r="F537" s="25" t="s">
        <v>179</v>
      </c>
      <c r="G537" s="17" t="n">
        <v>1.99</v>
      </c>
      <c r="H537" s="17" t="n">
        <v>1.99</v>
      </c>
      <c r="I537" s="62" t="n">
        <f aca="false">IF(OR(E537="",G537=""),"",ROUND(E537*G537,2))</f>
        <v>1.99</v>
      </c>
      <c r="J537" s="25" t="str">
        <f aca="false">IF(OR(H537="",I537=""),"",IF(ABS(H537-I537)&lt;=0.02,"OK","≠"))</f>
        <v>OK</v>
      </c>
      <c r="K537" s="16"/>
      <c r="L537" s="1"/>
    </row>
    <row r="538" customFormat="false" ht="15" hidden="false" customHeight="false" outlineLevel="0" collapsed="false">
      <c r="A538" s="1"/>
      <c r="B538" s="32" t="s">
        <v>385</v>
      </c>
      <c r="C538" s="19" t="s">
        <v>386</v>
      </c>
      <c r="D538" s="19" t="s">
        <v>13</v>
      </c>
      <c r="E538" s="65" t="n">
        <v>1</v>
      </c>
      <c r="F538" s="27" t="s">
        <v>179</v>
      </c>
      <c r="G538" s="20" t="n">
        <v>1.99</v>
      </c>
      <c r="H538" s="20" t="n">
        <v>1.99</v>
      </c>
      <c r="I538" s="62" t="n">
        <f aca="false">IF(OR(E538="",G538=""),"",ROUND(E538*G538,2))</f>
        <v>1.99</v>
      </c>
      <c r="J538" s="25" t="str">
        <f aca="false">IF(OR(H538="",I538=""),"",IF(ABS(H538-I538)&lt;=0.02,"OK","≠"))</f>
        <v>OK</v>
      </c>
      <c r="K538" s="16"/>
      <c r="L538" s="1"/>
    </row>
    <row r="539" customFormat="false" ht="15" hidden="false" customHeight="false" outlineLevel="0" collapsed="false">
      <c r="A539" s="1"/>
      <c r="B539" s="30" t="s">
        <v>385</v>
      </c>
      <c r="C539" s="16" t="s">
        <v>386</v>
      </c>
      <c r="D539" s="16" t="s">
        <v>13</v>
      </c>
      <c r="E539" s="64" t="n">
        <v>1</v>
      </c>
      <c r="F539" s="25" t="s">
        <v>179</v>
      </c>
      <c r="G539" s="17" t="n">
        <v>1.99</v>
      </c>
      <c r="H539" s="17" t="n">
        <v>1.99</v>
      </c>
      <c r="I539" s="62" t="n">
        <f aca="false">IF(OR(E539="",G539=""),"",ROUND(E539*G539,2))</f>
        <v>1.99</v>
      </c>
      <c r="J539" s="25" t="str">
        <f aca="false">IF(OR(H539="",I539=""),"",IF(ABS(H539-I539)&lt;=0.02,"OK","≠"))</f>
        <v>OK</v>
      </c>
      <c r="K539" s="16"/>
      <c r="L539" s="1"/>
    </row>
    <row r="540" customFormat="false" ht="15" hidden="false" customHeight="false" outlineLevel="0" collapsed="false">
      <c r="A540" s="1"/>
      <c r="B540" s="32" t="s">
        <v>385</v>
      </c>
      <c r="C540" s="19" t="s">
        <v>386</v>
      </c>
      <c r="D540" s="19" t="s">
        <v>13</v>
      </c>
      <c r="E540" s="65" t="n">
        <v>1</v>
      </c>
      <c r="F540" s="27" t="s">
        <v>179</v>
      </c>
      <c r="G540" s="20" t="n">
        <v>1.99</v>
      </c>
      <c r="H540" s="20" t="n">
        <v>1.99</v>
      </c>
      <c r="I540" s="62" t="n">
        <f aca="false">IF(OR(E540="",G540=""),"",ROUND(E540*G540,2))</f>
        <v>1.99</v>
      </c>
      <c r="J540" s="25" t="str">
        <f aca="false">IF(OR(H540="",I540=""),"",IF(ABS(H540-I540)&lt;=0.02,"OK","≠"))</f>
        <v>OK</v>
      </c>
      <c r="K540" s="16"/>
      <c r="L540" s="1"/>
    </row>
    <row r="541" customFormat="false" ht="15" hidden="false" customHeight="false" outlineLevel="0" collapsed="false">
      <c r="A541" s="1"/>
      <c r="B541" s="30" t="s">
        <v>385</v>
      </c>
      <c r="C541" s="16" t="s">
        <v>386</v>
      </c>
      <c r="D541" s="16" t="s">
        <v>13</v>
      </c>
      <c r="E541" s="64" t="n">
        <v>1</v>
      </c>
      <c r="F541" s="25" t="s">
        <v>179</v>
      </c>
      <c r="G541" s="17" t="n">
        <v>1.99</v>
      </c>
      <c r="H541" s="17" t="n">
        <v>1.99</v>
      </c>
      <c r="I541" s="62" t="n">
        <f aca="false">IF(OR(E541="",G541=""),"",ROUND(E541*G541,2))</f>
        <v>1.99</v>
      </c>
      <c r="J541" s="25" t="str">
        <f aca="false">IF(OR(H541="",I541=""),"",IF(ABS(H541-I541)&lt;=0.02,"OK","≠"))</f>
        <v>OK</v>
      </c>
      <c r="K541" s="16"/>
      <c r="L541" s="1"/>
    </row>
    <row r="542" customFormat="false" ht="15" hidden="false" customHeight="false" outlineLevel="0" collapsed="false">
      <c r="A542" s="1"/>
      <c r="B542" s="32" t="s">
        <v>387</v>
      </c>
      <c r="C542" s="19" t="s">
        <v>388</v>
      </c>
      <c r="D542" s="19" t="s">
        <v>12</v>
      </c>
      <c r="E542" s="65" t="n">
        <v>1</v>
      </c>
      <c r="F542" s="27" t="s">
        <v>179</v>
      </c>
      <c r="G542" s="20" t="n">
        <v>3.49</v>
      </c>
      <c r="H542" s="20" t="n">
        <v>3.49</v>
      </c>
      <c r="I542" s="62" t="n">
        <f aca="false">IF(OR(E542="",G542=""),"",ROUND(E542*G542,2))</f>
        <v>3.49</v>
      </c>
      <c r="J542" s="25" t="str">
        <f aca="false">IF(OR(H542="",I542=""),"",IF(ABS(H542-I542)&lt;=0.02,"OK","≠"))</f>
        <v>OK</v>
      </c>
      <c r="K542" s="16"/>
      <c r="L542" s="1"/>
    </row>
    <row r="543" customFormat="false" ht="15" hidden="false" customHeight="false" outlineLevel="0" collapsed="false">
      <c r="A543" s="1"/>
      <c r="B543" s="30" t="s">
        <v>245</v>
      </c>
      <c r="C543" s="16" t="s">
        <v>246</v>
      </c>
      <c r="D543" s="16" t="s">
        <v>12</v>
      </c>
      <c r="E543" s="64" t="n">
        <v>1</v>
      </c>
      <c r="F543" s="25" t="s">
        <v>179</v>
      </c>
      <c r="G543" s="17" t="n">
        <v>2.9</v>
      </c>
      <c r="H543" s="17" t="n">
        <v>2.9</v>
      </c>
      <c r="I543" s="62" t="n">
        <f aca="false">IF(OR(E543="",G543=""),"",ROUND(E543*G543,2))</f>
        <v>2.9</v>
      </c>
      <c r="J543" s="25" t="str">
        <f aca="false">IF(OR(H543="",I543=""),"",IF(ABS(H543-I543)&lt;=0.02,"OK","≠"))</f>
        <v>OK</v>
      </c>
      <c r="K543" s="16"/>
      <c r="L543" s="1"/>
    </row>
    <row r="544" customFormat="false" ht="15" hidden="false" customHeight="false" outlineLevel="0" collapsed="false">
      <c r="A544" s="1"/>
      <c r="B544" s="32" t="s">
        <v>245</v>
      </c>
      <c r="C544" s="19" t="s">
        <v>246</v>
      </c>
      <c r="D544" s="19" t="s">
        <v>12</v>
      </c>
      <c r="E544" s="65" t="n">
        <v>1</v>
      </c>
      <c r="F544" s="27" t="s">
        <v>179</v>
      </c>
      <c r="G544" s="20" t="n">
        <v>2.9</v>
      </c>
      <c r="H544" s="20" t="n">
        <v>2.9</v>
      </c>
      <c r="I544" s="62" t="n">
        <f aca="false">IF(OR(E544="",G544=""),"",ROUND(E544*G544,2))</f>
        <v>2.9</v>
      </c>
      <c r="J544" s="25" t="str">
        <f aca="false">IF(OR(H544="",I544=""),"",IF(ABS(H544-I544)&lt;=0.02,"OK","≠"))</f>
        <v>OK</v>
      </c>
      <c r="K544" s="16"/>
      <c r="L544" s="1"/>
    </row>
    <row r="545" customFormat="false" ht="15" hidden="false" customHeight="false" outlineLevel="0" collapsed="false">
      <c r="A545" s="1"/>
      <c r="B545" s="30" t="s">
        <v>404</v>
      </c>
      <c r="C545" s="16" t="s">
        <v>405</v>
      </c>
      <c r="D545" s="16" t="s">
        <v>12</v>
      </c>
      <c r="E545" s="64" t="n">
        <v>1</v>
      </c>
      <c r="F545" s="25" t="s">
        <v>179</v>
      </c>
      <c r="G545" s="17" t="n">
        <v>3.9</v>
      </c>
      <c r="H545" s="17" t="n">
        <v>3.9</v>
      </c>
      <c r="I545" s="62" t="n">
        <f aca="false">IF(OR(E545="",G545=""),"",ROUND(E545*G545,2))</f>
        <v>3.9</v>
      </c>
      <c r="J545" s="25" t="str">
        <f aca="false">IF(OR(H545="",I545=""),"",IF(ABS(H545-I545)&lt;=0.02,"OK","≠"))</f>
        <v>OK</v>
      </c>
      <c r="K545" s="16"/>
      <c r="L545" s="1"/>
    </row>
    <row r="546" customFormat="false" ht="15" hidden="false" customHeight="false" outlineLevel="0" collapsed="false">
      <c r="A546" s="1"/>
      <c r="B546" s="32" t="s">
        <v>559</v>
      </c>
      <c r="C546" s="19" t="s">
        <v>560</v>
      </c>
      <c r="D546" s="19" t="s">
        <v>12</v>
      </c>
      <c r="E546" s="65" t="n">
        <v>1</v>
      </c>
      <c r="F546" s="27" t="s">
        <v>179</v>
      </c>
      <c r="G546" s="20" t="n">
        <v>5.8</v>
      </c>
      <c r="H546" s="20" t="n">
        <v>5.8</v>
      </c>
      <c r="I546" s="62" t="n">
        <f aca="false">IF(OR(E546="",G546=""),"",ROUND(E546*G546,2))</f>
        <v>5.8</v>
      </c>
      <c r="J546" s="25" t="str">
        <f aca="false">IF(OR(H546="",I546=""),"",IF(ABS(H546-I546)&lt;=0.02,"OK","≠"))</f>
        <v>OK</v>
      </c>
      <c r="K546" s="16"/>
      <c r="L546" s="1"/>
    </row>
    <row r="547" customFormat="false" ht="15" hidden="false" customHeight="false" outlineLevel="0" collapsed="false">
      <c r="A547" s="1"/>
      <c r="B547" s="30" t="s">
        <v>561</v>
      </c>
      <c r="C547" s="16" t="s">
        <v>403</v>
      </c>
      <c r="D547" s="16" t="s">
        <v>12</v>
      </c>
      <c r="E547" s="64" t="n">
        <v>1</v>
      </c>
      <c r="F547" s="25" t="s">
        <v>179</v>
      </c>
      <c r="G547" s="17" t="n">
        <v>5.9</v>
      </c>
      <c r="H547" s="17" t="n">
        <v>5.9</v>
      </c>
      <c r="I547" s="62" t="n">
        <f aca="false">IF(OR(E547="",G547=""),"",ROUND(E547*G547,2))</f>
        <v>5.9</v>
      </c>
      <c r="J547" s="25" t="str">
        <f aca="false">IF(OR(H547="",I547=""),"",IF(ABS(H547-I547)&lt;=0.02,"OK","≠"))</f>
        <v>OK</v>
      </c>
      <c r="K547" s="16"/>
      <c r="L547" s="1"/>
    </row>
    <row r="548" customFormat="false" ht="15" hidden="false" customHeight="false" outlineLevel="0" collapsed="false">
      <c r="A548" s="1"/>
      <c r="B548" s="32" t="s">
        <v>562</v>
      </c>
      <c r="C548" s="19" t="s">
        <v>563</v>
      </c>
      <c r="D548" s="19" t="s">
        <v>12</v>
      </c>
      <c r="E548" s="65" t="n">
        <v>1</v>
      </c>
      <c r="F548" s="27" t="s">
        <v>179</v>
      </c>
      <c r="G548" s="20" t="n">
        <v>4.65</v>
      </c>
      <c r="H548" s="20" t="n">
        <v>4.65</v>
      </c>
      <c r="I548" s="62" t="n">
        <f aca="false">IF(OR(E548="",G548=""),"",ROUND(E548*G548,2))</f>
        <v>4.65</v>
      </c>
      <c r="J548" s="25" t="str">
        <f aca="false">IF(OR(H548="",I548=""),"",IF(ABS(H548-I548)&lt;=0.02,"OK","≠"))</f>
        <v>OK</v>
      </c>
      <c r="K548" s="16"/>
      <c r="L548" s="1"/>
    </row>
    <row r="549" customFormat="false" ht="15" hidden="false" customHeight="false" outlineLevel="0" collapsed="false">
      <c r="A549" s="1"/>
      <c r="B549" s="30" t="s">
        <v>399</v>
      </c>
      <c r="C549" s="16" t="s">
        <v>261</v>
      </c>
      <c r="D549" s="16" t="s">
        <v>12</v>
      </c>
      <c r="E549" s="64" t="n">
        <v>1</v>
      </c>
      <c r="F549" s="25" t="s">
        <v>179</v>
      </c>
      <c r="G549" s="17" t="n">
        <v>10.2</v>
      </c>
      <c r="H549" s="17" t="n">
        <v>10.2</v>
      </c>
      <c r="I549" s="62" t="n">
        <f aca="false">IF(OR(E549="",G549=""),"",ROUND(E549*G549,2))</f>
        <v>10.2</v>
      </c>
      <c r="J549" s="25" t="str">
        <f aca="false">IF(OR(H549="",I549=""),"",IF(ABS(H549-I549)&lt;=0.02,"OK","≠"))</f>
        <v>OK</v>
      </c>
      <c r="K549" s="16"/>
      <c r="L549" s="1"/>
    </row>
    <row r="550" customFormat="false" ht="15" hidden="false" customHeight="false" outlineLevel="0" collapsed="false">
      <c r="A550" s="1"/>
      <c r="B550" s="32" t="s">
        <v>564</v>
      </c>
      <c r="C550" s="19" t="s">
        <v>276</v>
      </c>
      <c r="D550" s="19" t="s">
        <v>19</v>
      </c>
      <c r="E550" s="65" t="n">
        <v>1</v>
      </c>
      <c r="F550" s="27" t="s">
        <v>179</v>
      </c>
      <c r="G550" s="20" t="n">
        <v>7.45</v>
      </c>
      <c r="H550" s="20" t="n">
        <v>7.45</v>
      </c>
      <c r="I550" s="62" t="n">
        <f aca="false">IF(OR(E550="",G550=""),"",ROUND(E550*G550,2))</f>
        <v>7.45</v>
      </c>
      <c r="J550" s="25" t="str">
        <f aca="false">IF(OR(H550="",I550=""),"",IF(ABS(H550-I550)&lt;=0.02,"OK","≠"))</f>
        <v>OK</v>
      </c>
      <c r="K550" s="16"/>
      <c r="L550" s="1"/>
    </row>
    <row r="551" customFormat="false" ht="15" hidden="false" customHeight="false" outlineLevel="0" collapsed="false">
      <c r="A551" s="1"/>
      <c r="B551" s="30" t="s">
        <v>565</v>
      </c>
      <c r="C551" s="16" t="s">
        <v>566</v>
      </c>
      <c r="D551" s="16" t="s">
        <v>12</v>
      </c>
      <c r="E551" s="64" t="n">
        <v>1</v>
      </c>
      <c r="F551" s="25" t="s">
        <v>179</v>
      </c>
      <c r="G551" s="17" t="n">
        <v>29.99</v>
      </c>
      <c r="H551" s="17" t="n">
        <v>29.99</v>
      </c>
      <c r="I551" s="62" t="n">
        <f aca="false">IF(OR(E551="",G551=""),"",ROUND(E551*G551,2))</f>
        <v>29.99</v>
      </c>
      <c r="J551" s="25" t="str">
        <f aca="false">IF(OR(H551="",I551=""),"",IF(ABS(H551-I551)&lt;=0.02,"OK","≠"))</f>
        <v>OK</v>
      </c>
      <c r="K551" s="16"/>
      <c r="L551" s="1"/>
    </row>
    <row r="552" customFormat="false" ht="15" hidden="false" customHeight="false" outlineLevel="0" collapsed="false">
      <c r="A552" s="1"/>
      <c r="B552" s="32" t="s">
        <v>277</v>
      </c>
      <c r="C552" s="19" t="s">
        <v>278</v>
      </c>
      <c r="D552" s="19" t="s">
        <v>19</v>
      </c>
      <c r="E552" s="65" t="n">
        <v>1</v>
      </c>
      <c r="F552" s="27" t="s">
        <v>179</v>
      </c>
      <c r="G552" s="20" t="n">
        <v>15.9</v>
      </c>
      <c r="H552" s="20" t="n">
        <v>15.9</v>
      </c>
      <c r="I552" s="62" t="n">
        <f aca="false">IF(OR(E552="",G552=""),"",ROUND(E552*G552,2))</f>
        <v>15.9</v>
      </c>
      <c r="J552" s="25" t="str">
        <f aca="false">IF(OR(H552="",I552=""),"",IF(ABS(H552-I552)&lt;=0.02,"OK","≠"))</f>
        <v>OK</v>
      </c>
      <c r="K552" s="16"/>
      <c r="L552" s="1"/>
    </row>
    <row r="553" customFormat="false" ht="15" hidden="false" customHeight="false" outlineLevel="0" collapsed="false">
      <c r="A553" s="1"/>
      <c r="B553" s="30" t="s">
        <v>196</v>
      </c>
      <c r="C553" s="16" t="s">
        <v>398</v>
      </c>
      <c r="D553" s="16" t="s">
        <v>14</v>
      </c>
      <c r="E553" s="64" t="n">
        <v>0.552</v>
      </c>
      <c r="F553" s="25" t="s">
        <v>176</v>
      </c>
      <c r="G553" s="17" t="n">
        <v>14.9</v>
      </c>
      <c r="H553" s="17" t="n">
        <v>8.22</v>
      </c>
      <c r="I553" s="62" t="n">
        <f aca="false">IF(OR(E553="",G553=""),"",ROUND(E553*G553,2))</f>
        <v>8.22</v>
      </c>
      <c r="J553" s="25" t="str">
        <f aca="false">IF(OR(H553="",I553=""),"",IF(ABS(H553-I553)&lt;=0.02,"OK","≠"))</f>
        <v>OK</v>
      </c>
      <c r="K553" s="16"/>
      <c r="L553" s="1"/>
    </row>
    <row r="554" customFormat="false" ht="15" hidden="false" customHeight="false" outlineLevel="0" collapsed="false">
      <c r="A554" s="1"/>
      <c r="B554" s="32" t="s">
        <v>567</v>
      </c>
      <c r="C554" s="19" t="s">
        <v>568</v>
      </c>
      <c r="D554" s="19" t="s">
        <v>18</v>
      </c>
      <c r="E554" s="65" t="n">
        <v>1</v>
      </c>
      <c r="F554" s="27" t="s">
        <v>179</v>
      </c>
      <c r="G554" s="20" t="n">
        <v>3.99</v>
      </c>
      <c r="H554" s="20" t="n">
        <v>3.99</v>
      </c>
      <c r="I554" s="62" t="n">
        <f aca="false">IF(OR(E554="",G554=""),"",ROUND(E554*G554,2))</f>
        <v>3.99</v>
      </c>
      <c r="J554" s="25" t="str">
        <f aca="false">IF(OR(H554="",I554=""),"",IF(ABS(H554-I554)&lt;=0.02,"OK","≠"))</f>
        <v>OK</v>
      </c>
      <c r="K554" s="16"/>
      <c r="L554" s="1"/>
    </row>
    <row r="555" customFormat="false" ht="15" hidden="false" customHeight="false" outlineLevel="0" collapsed="false">
      <c r="A555" s="1"/>
      <c r="B555" s="30" t="s">
        <v>569</v>
      </c>
      <c r="C555" s="16" t="s">
        <v>570</v>
      </c>
      <c r="D555" s="16" t="s">
        <v>19</v>
      </c>
      <c r="E555" s="64" t="n">
        <v>1</v>
      </c>
      <c r="F555" s="25" t="s">
        <v>179</v>
      </c>
      <c r="G555" s="17" t="n">
        <v>6.99</v>
      </c>
      <c r="H555" s="17" t="n">
        <v>6.99</v>
      </c>
      <c r="I555" s="62" t="n">
        <f aca="false">IF(OR(E555="",G555=""),"",ROUND(E555*G555,2))</f>
        <v>6.99</v>
      </c>
      <c r="J555" s="25" t="str">
        <f aca="false">IF(OR(H555="",I555=""),"",IF(ABS(H555-I555)&lt;=0.02,"OK","≠"))</f>
        <v>OK</v>
      </c>
      <c r="K555" s="16"/>
      <c r="L555" s="1"/>
    </row>
    <row r="556" customFormat="false" ht="15" hidden="false" customHeight="false" outlineLevel="0" collapsed="false">
      <c r="A556" s="1"/>
      <c r="B556" s="32" t="s">
        <v>571</v>
      </c>
      <c r="C556" s="19" t="s">
        <v>572</v>
      </c>
      <c r="D556" s="19" t="s">
        <v>18</v>
      </c>
      <c r="E556" s="65" t="n">
        <v>1</v>
      </c>
      <c r="F556" s="27" t="s">
        <v>179</v>
      </c>
      <c r="G556" s="20" t="n">
        <v>4.49</v>
      </c>
      <c r="H556" s="20" t="n">
        <v>4.49</v>
      </c>
      <c r="I556" s="62" t="n">
        <f aca="false">IF(OR(E556="",G556=""),"",ROUND(E556*G556,2))</f>
        <v>4.49</v>
      </c>
      <c r="J556" s="25" t="str">
        <f aca="false">IF(OR(H556="",I556=""),"",IF(ABS(H556-I556)&lt;=0.02,"OK","≠"))</f>
        <v>OK</v>
      </c>
      <c r="K556" s="16"/>
      <c r="L556" s="1"/>
    </row>
    <row r="557" customFormat="false" ht="15" hidden="false" customHeight="false" outlineLevel="0" collapsed="false">
      <c r="A557" s="1"/>
      <c r="B557" s="30" t="s">
        <v>196</v>
      </c>
      <c r="C557" s="16" t="s">
        <v>398</v>
      </c>
      <c r="D557" s="16" t="s">
        <v>14</v>
      </c>
      <c r="E557" s="64" t="n">
        <v>0.136</v>
      </c>
      <c r="F557" s="25" t="s">
        <v>176</v>
      </c>
      <c r="G557" s="17" t="n">
        <v>14.9</v>
      </c>
      <c r="H557" s="17" t="n">
        <v>2.03</v>
      </c>
      <c r="I557" s="62" t="n">
        <f aca="false">IF(OR(E557="",G557=""),"",ROUND(E557*G557,2))</f>
        <v>2.03</v>
      </c>
      <c r="J557" s="25" t="str">
        <f aca="false">IF(OR(H557="",I557=""),"",IF(ABS(H557-I557)&lt;=0.02,"OK","≠"))</f>
        <v>OK</v>
      </c>
      <c r="K557" s="16"/>
      <c r="L557" s="1"/>
    </row>
    <row r="558" customFormat="false" ht="15" hidden="false" customHeight="false" outlineLevel="0" collapsed="false">
      <c r="A558" s="1"/>
      <c r="B558" s="32" t="s">
        <v>573</v>
      </c>
      <c r="C558" s="19" t="s">
        <v>421</v>
      </c>
      <c r="D558" s="19" t="s">
        <v>18</v>
      </c>
      <c r="E558" s="65" t="n">
        <v>1</v>
      </c>
      <c r="F558" s="27" t="s">
        <v>179</v>
      </c>
      <c r="G558" s="20" t="n">
        <v>15.6</v>
      </c>
      <c r="H558" s="20" t="n">
        <v>15.6</v>
      </c>
      <c r="I558" s="62" t="n">
        <f aca="false">IF(OR(E558="",G558=""),"",ROUND(E558*G558,2))</f>
        <v>15.6</v>
      </c>
      <c r="J558" s="25" t="str">
        <f aca="false">IF(OR(H558="",I558=""),"",IF(ABS(H558-I558)&lt;=0.02,"OK","≠"))</f>
        <v>OK</v>
      </c>
      <c r="K558" s="16"/>
      <c r="L558" s="1"/>
    </row>
    <row r="559" customFormat="false" ht="15" hidden="false" customHeight="false" outlineLevel="0" collapsed="false">
      <c r="A559" s="1"/>
      <c r="B559" s="30" t="s">
        <v>214</v>
      </c>
      <c r="C559" s="16" t="s">
        <v>227</v>
      </c>
      <c r="D559" s="16" t="s">
        <v>13</v>
      </c>
      <c r="E559" s="64" t="n">
        <v>1</v>
      </c>
      <c r="F559" s="25" t="s">
        <v>179</v>
      </c>
      <c r="G559" s="17" t="n">
        <v>18.2</v>
      </c>
      <c r="H559" s="17" t="n">
        <v>18.2</v>
      </c>
      <c r="I559" s="62" t="n">
        <f aca="false">IF(OR(E559="",G559=""),"",ROUND(E559*G559,2))</f>
        <v>18.2</v>
      </c>
      <c r="J559" s="25" t="str">
        <f aca="false">IF(OR(H559="",I559=""),"",IF(ABS(H559-I559)&lt;=0.02,"OK","≠"))</f>
        <v>OK</v>
      </c>
      <c r="K559" s="16"/>
      <c r="L559" s="1"/>
    </row>
    <row r="560" customFormat="false" ht="15" hidden="false" customHeight="false" outlineLevel="0" collapsed="false">
      <c r="A560" s="1"/>
      <c r="B560" s="32" t="s">
        <v>230</v>
      </c>
      <c r="C560" s="19" t="s">
        <v>574</v>
      </c>
      <c r="D560" s="19" t="s">
        <v>13</v>
      </c>
      <c r="E560" s="65" t="n">
        <v>1</v>
      </c>
      <c r="F560" s="27" t="s">
        <v>179</v>
      </c>
      <c r="G560" s="20" t="n">
        <v>6.65</v>
      </c>
      <c r="H560" s="20" t="n">
        <v>6.65</v>
      </c>
      <c r="I560" s="62" t="n">
        <f aca="false">IF(OR(E560="",G560=""),"",ROUND(E560*G560,2))</f>
        <v>6.65</v>
      </c>
      <c r="J560" s="25" t="str">
        <f aca="false">IF(OR(H560="",I560=""),"",IF(ABS(H560-I560)&lt;=0.02,"OK","≠"))</f>
        <v>OK</v>
      </c>
      <c r="K560" s="16"/>
      <c r="L560" s="1"/>
    </row>
    <row r="561" customFormat="false" ht="15" hidden="false" customHeight="false" outlineLevel="0" collapsed="false">
      <c r="A561" s="1"/>
      <c r="B561" s="1"/>
      <c r="C561" s="1"/>
      <c r="D561" s="1"/>
      <c r="E561" s="1"/>
      <c r="F561" s="1"/>
      <c r="G561" s="1"/>
      <c r="H561" s="1"/>
      <c r="I561" s="1"/>
      <c r="J561" s="1"/>
      <c r="K561" s="1"/>
      <c r="L561" s="1"/>
    </row>
    <row r="562" customFormat="false" ht="19.5" hidden="false" customHeight="true" outlineLevel="0" collapsed="false">
      <c r="A562" s="1"/>
      <c r="B562" s="63" t="s">
        <v>575</v>
      </c>
      <c r="C562" s="63"/>
      <c r="D562" s="63"/>
      <c r="E562" s="63"/>
      <c r="F562" s="63"/>
      <c r="G562" s="63"/>
      <c r="H562" s="63"/>
      <c r="I562" s="63"/>
      <c r="J562" s="63"/>
      <c r="K562" s="63"/>
      <c r="L562" s="1"/>
    </row>
    <row r="563" customFormat="false" ht="15" hidden="false" customHeight="false" outlineLevel="0" collapsed="false">
      <c r="A563" s="1"/>
      <c r="B563" s="50" t="s">
        <v>34</v>
      </c>
      <c r="C563" s="45" t="s">
        <v>38</v>
      </c>
      <c r="D563" s="45"/>
      <c r="E563" s="50" t="s">
        <v>157</v>
      </c>
      <c r="F563" s="50"/>
      <c r="G563" s="45" t="s">
        <v>576</v>
      </c>
      <c r="H563" s="45"/>
      <c r="I563" s="45"/>
      <c r="J563" s="45"/>
      <c r="K563" s="45"/>
      <c r="L563" s="1"/>
    </row>
    <row r="564" customFormat="false" ht="15" hidden="false" customHeight="false" outlineLevel="0" collapsed="false">
      <c r="A564" s="1"/>
      <c r="B564" s="50" t="s">
        <v>78</v>
      </c>
      <c r="C564" s="39" t="n">
        <v>46173</v>
      </c>
      <c r="D564" s="39"/>
      <c r="E564" s="50" t="s">
        <v>80</v>
      </c>
      <c r="F564" s="50"/>
      <c r="G564" s="45" t="s">
        <v>173</v>
      </c>
      <c r="H564" s="45"/>
      <c r="I564" s="45"/>
      <c r="J564" s="45"/>
      <c r="K564" s="45"/>
      <c r="L564" s="1"/>
    </row>
    <row r="565" customFormat="false" ht="15" hidden="false" customHeight="false" outlineLevel="0" collapsed="false">
      <c r="A565" s="1"/>
      <c r="B565" s="50" t="s">
        <v>158</v>
      </c>
      <c r="C565" s="55" t="n">
        <v>4</v>
      </c>
      <c r="D565" s="55"/>
      <c r="E565" s="50" t="s">
        <v>159</v>
      </c>
      <c r="F565" s="50"/>
      <c r="G565" s="56" t="n">
        <v>23.9</v>
      </c>
      <c r="H565" s="56"/>
      <c r="I565" s="56"/>
      <c r="J565" s="56"/>
      <c r="K565" s="56"/>
      <c r="L565" s="1"/>
    </row>
    <row r="566" customFormat="false" ht="15" hidden="false" customHeight="false" outlineLevel="0" collapsed="false">
      <c r="A566" s="1"/>
      <c r="B566" s="50" t="s">
        <v>160</v>
      </c>
      <c r="C566" s="55" t="n">
        <f aca="false">COUNT(H570:H573)</f>
        <v>4</v>
      </c>
      <c r="D566" s="55"/>
      <c r="E566" s="50" t="s">
        <v>161</v>
      </c>
      <c r="F566" s="50"/>
      <c r="G566" s="56" t="n">
        <f aca="false">ROUND(SUM(H570:H573),2)</f>
        <v>23.9</v>
      </c>
      <c r="H566" s="56"/>
      <c r="I566" s="56"/>
      <c r="J566" s="56"/>
      <c r="K566" s="56"/>
      <c r="L566" s="1"/>
    </row>
    <row r="567" customFormat="false" ht="15" hidden="false" customHeight="false" outlineLevel="0" collapsed="false">
      <c r="A567" s="1"/>
      <c r="B567" s="50" t="s">
        <v>162</v>
      </c>
      <c r="C567" s="55" t="n">
        <f aca="false">ROUND(SUMPRODUCT(((F570:F573="KG")+(F570:F573="G"))*1)+SUMPRODUCT((F570:F573&lt;&gt;"KG")*(F570:F573&lt;&gt;"G")*E570:E573),0)</f>
        <v>4</v>
      </c>
      <c r="D567" s="55"/>
      <c r="E567" s="50" t="s">
        <v>163</v>
      </c>
      <c r="F567" s="50"/>
      <c r="G567" s="56" t="n">
        <f aca="false">IF(G565="","",ROUND(G565-G566,2))</f>
        <v>0</v>
      </c>
      <c r="H567" s="56"/>
      <c r="I567" s="56"/>
      <c r="J567" s="56"/>
      <c r="K567" s="56"/>
      <c r="L567" s="1"/>
    </row>
    <row r="568" customFormat="false" ht="15" hidden="false" customHeight="false" outlineLevel="0" collapsed="false">
      <c r="A568" s="1"/>
      <c r="B568" s="50" t="s">
        <v>84</v>
      </c>
      <c r="C568" s="57" t="str">
        <f aca="false">IF(C566=0,"— aguardando lançamento",IF(G565="","SEM TOTAL OFICIAL — informe o total do cupom",IF(AND(OR(C565="",C565=C566,C565=C567),ABS(G567)&lt;=0.05),"FECHADO — itens e valor conferem",IF(ABS(G567)&lt;=0.05,"REVISAR — qtd. de itens não bate","REVISAR — diferença de R$ "&amp;ABS(G567)))))</f>
        <v>FECHADO — itens e valor conferem</v>
      </c>
      <c r="D568" s="57"/>
      <c r="E568" s="57"/>
      <c r="F568" s="57"/>
      <c r="G568" s="50" t="s">
        <v>164</v>
      </c>
      <c r="H568" s="30"/>
      <c r="I568" s="30"/>
      <c r="J568" s="30"/>
      <c r="K568" s="30"/>
      <c r="L568" s="1"/>
    </row>
    <row r="569" customFormat="false" ht="15" hidden="false" customHeight="false" outlineLevel="0" collapsed="false">
      <c r="A569" s="1"/>
      <c r="B569" s="15" t="s">
        <v>165</v>
      </c>
      <c r="C569" s="15" t="s">
        <v>52</v>
      </c>
      <c r="D569" s="15" t="s">
        <v>9</v>
      </c>
      <c r="E569" s="15" t="s">
        <v>166</v>
      </c>
      <c r="F569" s="15" t="s">
        <v>167</v>
      </c>
      <c r="G569" s="15" t="s">
        <v>168</v>
      </c>
      <c r="H569" s="15" t="s">
        <v>10</v>
      </c>
      <c r="I569" s="15" t="s">
        <v>169</v>
      </c>
      <c r="J569" s="15" t="s">
        <v>170</v>
      </c>
      <c r="K569" s="15"/>
      <c r="L569" s="1"/>
    </row>
    <row r="570" customFormat="false" ht="15" hidden="false" customHeight="false" outlineLevel="0" collapsed="false">
      <c r="A570" s="1"/>
      <c r="B570" s="30" t="s">
        <v>577</v>
      </c>
      <c r="C570" s="16" t="s">
        <v>430</v>
      </c>
      <c r="D570" s="16" t="s">
        <v>15</v>
      </c>
      <c r="E570" s="64" t="n">
        <v>1</v>
      </c>
      <c r="F570" s="25" t="s">
        <v>179</v>
      </c>
      <c r="G570" s="17" t="n">
        <v>6</v>
      </c>
      <c r="H570" s="17" t="n">
        <v>6</v>
      </c>
      <c r="I570" s="62" t="n">
        <f aca="false">IF(OR(E570="",G570=""),"",ROUND(E570*G570,2))</f>
        <v>6</v>
      </c>
      <c r="J570" s="25" t="str">
        <f aca="false">IF(OR(H570="",I570=""),"",IF(ABS(H570-I570)&lt;=0.02,"OK","≠"))</f>
        <v>OK</v>
      </c>
      <c r="K570" s="16"/>
      <c r="L570" s="1"/>
    </row>
    <row r="571" customFormat="false" ht="15" hidden="false" customHeight="false" outlineLevel="0" collapsed="false">
      <c r="A571" s="1"/>
      <c r="B571" s="32" t="s">
        <v>482</v>
      </c>
      <c r="C571" s="19" t="s">
        <v>483</v>
      </c>
      <c r="D571" s="19" t="s">
        <v>15</v>
      </c>
      <c r="E571" s="65" t="n">
        <v>0.712</v>
      </c>
      <c r="F571" s="27" t="s">
        <v>176</v>
      </c>
      <c r="G571" s="20" t="n">
        <v>2.68</v>
      </c>
      <c r="H571" s="20" t="n">
        <v>1.91</v>
      </c>
      <c r="I571" s="62" t="n">
        <f aca="false">IF(OR(E571="",G571=""),"",ROUND(E571*G571,2))</f>
        <v>1.91</v>
      </c>
      <c r="J571" s="25" t="str">
        <f aca="false">IF(OR(H571="",I571=""),"",IF(ABS(H571-I571)&lt;=0.02,"OK","≠"))</f>
        <v>OK</v>
      </c>
      <c r="K571" s="16"/>
      <c r="L571" s="1"/>
    </row>
    <row r="572" customFormat="false" ht="15" hidden="false" customHeight="false" outlineLevel="0" collapsed="false">
      <c r="A572" s="1"/>
      <c r="B572" s="30" t="s">
        <v>578</v>
      </c>
      <c r="C572" s="16" t="s">
        <v>579</v>
      </c>
      <c r="D572" s="16" t="s">
        <v>12</v>
      </c>
      <c r="E572" s="64" t="n">
        <v>1</v>
      </c>
      <c r="F572" s="25" t="s">
        <v>179</v>
      </c>
      <c r="G572" s="17" t="n">
        <v>8.9</v>
      </c>
      <c r="H572" s="17" t="n">
        <v>8.9</v>
      </c>
      <c r="I572" s="62" t="n">
        <f aca="false">IF(OR(E572="",G572=""),"",ROUND(E572*G572,2))</f>
        <v>8.9</v>
      </c>
      <c r="J572" s="25" t="str">
        <f aca="false">IF(OR(H572="",I572=""),"",IF(ABS(H572-I572)&lt;=0.02,"OK","≠"))</f>
        <v>OK</v>
      </c>
      <c r="K572" s="16"/>
      <c r="L572" s="1"/>
    </row>
    <row r="573" customFormat="false" ht="15" hidden="false" customHeight="false" outlineLevel="0" collapsed="false">
      <c r="A573" s="1"/>
      <c r="B573" s="32" t="s">
        <v>283</v>
      </c>
      <c r="C573" s="19" t="s">
        <v>284</v>
      </c>
      <c r="D573" s="19" t="s">
        <v>15</v>
      </c>
      <c r="E573" s="65" t="n">
        <v>1.424</v>
      </c>
      <c r="F573" s="27" t="s">
        <v>176</v>
      </c>
      <c r="G573" s="20" t="n">
        <v>4.98</v>
      </c>
      <c r="H573" s="20" t="n">
        <v>7.09</v>
      </c>
      <c r="I573" s="62" t="n">
        <f aca="false">IF(OR(E573="",G573=""),"",ROUND(E573*G573,2))</f>
        <v>7.09</v>
      </c>
      <c r="J573" s="25" t="str">
        <f aca="false">IF(OR(H573="",I573=""),"",IF(ABS(H573-I573)&lt;=0.02,"OK","≠"))</f>
        <v>OK</v>
      </c>
      <c r="K573" s="16"/>
      <c r="L573" s="1"/>
    </row>
    <row r="574" customFormat="false" ht="15" hidden="false" customHeight="false" outlineLevel="0" collapsed="false">
      <c r="A574" s="1"/>
      <c r="B574" s="1"/>
      <c r="C574" s="1"/>
      <c r="D574" s="1"/>
      <c r="E574" s="1"/>
      <c r="F574" s="1"/>
      <c r="G574" s="1"/>
      <c r="H574" s="1"/>
      <c r="I574" s="1"/>
      <c r="J574" s="1"/>
      <c r="K574" s="1"/>
      <c r="L574" s="1"/>
    </row>
    <row r="575" customFormat="false" ht="19.5" hidden="false" customHeight="true" outlineLevel="0" collapsed="false">
      <c r="A575" s="1"/>
      <c r="B575" s="63" t="s">
        <v>580</v>
      </c>
      <c r="C575" s="63"/>
      <c r="D575" s="63"/>
      <c r="E575" s="63"/>
      <c r="F575" s="63"/>
      <c r="G575" s="63"/>
      <c r="H575" s="63"/>
      <c r="I575" s="63"/>
      <c r="J575" s="63"/>
      <c r="K575" s="63"/>
      <c r="L575" s="1"/>
    </row>
    <row r="576" customFormat="false" ht="15" hidden="false" customHeight="false" outlineLevel="0" collapsed="false">
      <c r="A576" s="1"/>
      <c r="B576" s="50" t="s">
        <v>34</v>
      </c>
      <c r="C576" s="45" t="s">
        <v>38</v>
      </c>
      <c r="D576" s="45"/>
      <c r="E576" s="50" t="s">
        <v>157</v>
      </c>
      <c r="F576" s="50"/>
      <c r="G576" s="45" t="s">
        <v>581</v>
      </c>
      <c r="H576" s="45"/>
      <c r="I576" s="45"/>
      <c r="J576" s="45"/>
      <c r="K576" s="45"/>
      <c r="L576" s="1"/>
    </row>
    <row r="577" customFormat="false" ht="15" hidden="false" customHeight="false" outlineLevel="0" collapsed="false">
      <c r="A577" s="1"/>
      <c r="B577" s="50" t="s">
        <v>78</v>
      </c>
      <c r="C577" s="39" t="n">
        <v>46176</v>
      </c>
      <c r="D577" s="39"/>
      <c r="E577" s="50" t="s">
        <v>80</v>
      </c>
      <c r="F577" s="50"/>
      <c r="G577" s="45" t="s">
        <v>173</v>
      </c>
      <c r="H577" s="45"/>
      <c r="I577" s="45"/>
      <c r="J577" s="45"/>
      <c r="K577" s="45"/>
      <c r="L577" s="1"/>
    </row>
    <row r="578" customFormat="false" ht="15" hidden="false" customHeight="false" outlineLevel="0" collapsed="false">
      <c r="A578" s="1"/>
      <c r="B578" s="50" t="s">
        <v>158</v>
      </c>
      <c r="C578" s="55" t="n">
        <v>13</v>
      </c>
      <c r="D578" s="55"/>
      <c r="E578" s="50" t="s">
        <v>159</v>
      </c>
      <c r="F578" s="50"/>
      <c r="G578" s="56" t="n">
        <v>78.38</v>
      </c>
      <c r="H578" s="56"/>
      <c r="I578" s="56"/>
      <c r="J578" s="56"/>
      <c r="K578" s="56"/>
      <c r="L578" s="1"/>
    </row>
    <row r="579" customFormat="false" ht="15" hidden="false" customHeight="false" outlineLevel="0" collapsed="false">
      <c r="A579" s="1"/>
      <c r="B579" s="50" t="s">
        <v>160</v>
      </c>
      <c r="C579" s="55" t="n">
        <f aca="false">COUNT(H583:H595)</f>
        <v>13</v>
      </c>
      <c r="D579" s="55"/>
      <c r="E579" s="50" t="s">
        <v>161</v>
      </c>
      <c r="F579" s="50"/>
      <c r="G579" s="56" t="n">
        <f aca="false">ROUND(SUM(H583:H595),2)</f>
        <v>78.38</v>
      </c>
      <c r="H579" s="56"/>
      <c r="I579" s="56"/>
      <c r="J579" s="56"/>
      <c r="K579" s="56"/>
      <c r="L579" s="1"/>
    </row>
    <row r="580" customFormat="false" ht="15" hidden="false" customHeight="false" outlineLevel="0" collapsed="false">
      <c r="A580" s="1"/>
      <c r="B580" s="50" t="s">
        <v>162</v>
      </c>
      <c r="C580" s="55" t="n">
        <f aca="false">ROUND(SUMPRODUCT(((F583:F595="KG")+(F583:F595="G"))*1)+SUMPRODUCT((F583:F595&lt;&gt;"KG")*(F583:F595&lt;&gt;"G")*E583:E595),0)</f>
        <v>13</v>
      </c>
      <c r="D580" s="55"/>
      <c r="E580" s="50" t="s">
        <v>163</v>
      </c>
      <c r="F580" s="50"/>
      <c r="G580" s="56" t="n">
        <f aca="false">IF(G578="","",ROUND(G578-G579,2))</f>
        <v>0</v>
      </c>
      <c r="H580" s="56"/>
      <c r="I580" s="56"/>
      <c r="J580" s="56"/>
      <c r="K580" s="56"/>
      <c r="L580" s="1"/>
    </row>
    <row r="581" customFormat="false" ht="15" hidden="false" customHeight="false" outlineLevel="0" collapsed="false">
      <c r="A581" s="1"/>
      <c r="B581" s="50" t="s">
        <v>84</v>
      </c>
      <c r="C581" s="57" t="str">
        <f aca="false">IF(C579=0,"— aguardando lançamento",IF(G578="","SEM TOTAL OFICIAL — informe o total do cupom",IF(AND(OR(C578="",C578=C579,C578=C580),ABS(G580)&lt;=0.05),"FECHADO — itens e valor conferem",IF(ABS(G580)&lt;=0.05,"REVISAR — qtd. de itens não bate","REVISAR — diferença de R$ "&amp;ABS(G580)))))</f>
        <v>FECHADO — itens e valor conferem</v>
      </c>
      <c r="D581" s="57"/>
      <c r="E581" s="57"/>
      <c r="F581" s="57"/>
      <c r="G581" s="50" t="s">
        <v>164</v>
      </c>
      <c r="H581" s="30"/>
      <c r="I581" s="30"/>
      <c r="J581" s="30"/>
      <c r="K581" s="30"/>
      <c r="L581" s="1"/>
    </row>
    <row r="582" customFormat="false" ht="15" hidden="false" customHeight="false" outlineLevel="0" collapsed="false">
      <c r="A582" s="1"/>
      <c r="B582" s="15" t="s">
        <v>165</v>
      </c>
      <c r="C582" s="15" t="s">
        <v>52</v>
      </c>
      <c r="D582" s="15" t="s">
        <v>9</v>
      </c>
      <c r="E582" s="15" t="s">
        <v>166</v>
      </c>
      <c r="F582" s="15" t="s">
        <v>167</v>
      </c>
      <c r="G582" s="15" t="s">
        <v>168</v>
      </c>
      <c r="H582" s="15" t="s">
        <v>10</v>
      </c>
      <c r="I582" s="15" t="s">
        <v>169</v>
      </c>
      <c r="J582" s="15" t="s">
        <v>170</v>
      </c>
      <c r="K582" s="15"/>
      <c r="L582" s="1"/>
    </row>
    <row r="583" customFormat="false" ht="15" hidden="false" customHeight="false" outlineLevel="0" collapsed="false">
      <c r="A583" s="1"/>
      <c r="B583" s="30" t="s">
        <v>480</v>
      </c>
      <c r="C583" s="16" t="s">
        <v>481</v>
      </c>
      <c r="D583" s="16" t="s">
        <v>15</v>
      </c>
      <c r="E583" s="64" t="n">
        <v>0.966</v>
      </c>
      <c r="F583" s="25" t="s">
        <v>176</v>
      </c>
      <c r="G583" s="17" t="n">
        <v>10.58</v>
      </c>
      <c r="H583" s="17" t="n">
        <v>10.22</v>
      </c>
      <c r="I583" s="62" t="n">
        <f aca="false">IF(OR(E583="",G583=""),"",ROUND(E583*G583,2))</f>
        <v>10.22</v>
      </c>
      <c r="J583" s="25" t="str">
        <f aca="false">IF(OR(H583="",I583=""),"",IF(ABS(H583-I583)&lt;=0.02,"OK","≠"))</f>
        <v>OK</v>
      </c>
      <c r="K583" s="16"/>
      <c r="L583" s="1"/>
    </row>
    <row r="584" customFormat="false" ht="15" hidden="false" customHeight="false" outlineLevel="0" collapsed="false">
      <c r="A584" s="1"/>
      <c r="B584" s="32" t="s">
        <v>582</v>
      </c>
      <c r="C584" s="19" t="s">
        <v>583</v>
      </c>
      <c r="D584" s="19" t="s">
        <v>15</v>
      </c>
      <c r="E584" s="65" t="n">
        <v>0.41</v>
      </c>
      <c r="F584" s="27" t="s">
        <v>176</v>
      </c>
      <c r="G584" s="20" t="n">
        <v>15.48</v>
      </c>
      <c r="H584" s="20" t="n">
        <v>6.35</v>
      </c>
      <c r="I584" s="62" t="n">
        <f aca="false">IF(OR(E584="",G584=""),"",ROUND(E584*G584,2))</f>
        <v>6.35</v>
      </c>
      <c r="J584" s="25" t="str">
        <f aca="false">IF(OR(H584="",I584=""),"",IF(ABS(H584-I584)&lt;=0.02,"OK","≠"))</f>
        <v>OK</v>
      </c>
      <c r="K584" s="16"/>
      <c r="L584" s="1"/>
    </row>
    <row r="585" customFormat="false" ht="15" hidden="false" customHeight="false" outlineLevel="0" collapsed="false">
      <c r="A585" s="1"/>
      <c r="B585" s="30" t="s">
        <v>283</v>
      </c>
      <c r="C585" s="16" t="s">
        <v>284</v>
      </c>
      <c r="D585" s="16" t="s">
        <v>15</v>
      </c>
      <c r="E585" s="64" t="n">
        <v>1.186</v>
      </c>
      <c r="F585" s="25" t="s">
        <v>176</v>
      </c>
      <c r="G585" s="17" t="n">
        <v>4.98</v>
      </c>
      <c r="H585" s="17" t="n">
        <v>5.91</v>
      </c>
      <c r="I585" s="62" t="n">
        <f aca="false">IF(OR(E585="",G585=""),"",ROUND(E585*G585,2))</f>
        <v>5.91</v>
      </c>
      <c r="J585" s="25" t="str">
        <f aca="false">IF(OR(H585="",I585=""),"",IF(ABS(H585-I585)&lt;=0.02,"OK","≠"))</f>
        <v>OK</v>
      </c>
      <c r="K585" s="16"/>
      <c r="L585" s="1"/>
    </row>
    <row r="586" customFormat="false" ht="15" hidden="false" customHeight="false" outlineLevel="0" collapsed="false">
      <c r="A586" s="1"/>
      <c r="B586" s="32" t="s">
        <v>285</v>
      </c>
      <c r="C586" s="19" t="s">
        <v>286</v>
      </c>
      <c r="D586" s="19" t="s">
        <v>15</v>
      </c>
      <c r="E586" s="65" t="n">
        <v>0.89</v>
      </c>
      <c r="F586" s="27" t="s">
        <v>176</v>
      </c>
      <c r="G586" s="20" t="n">
        <v>11.68</v>
      </c>
      <c r="H586" s="20" t="n">
        <v>10.4</v>
      </c>
      <c r="I586" s="62" t="n">
        <f aca="false">IF(OR(E586="",G586=""),"",ROUND(E586*G586,2))</f>
        <v>10.4</v>
      </c>
      <c r="J586" s="25" t="str">
        <f aca="false">IF(OR(H586="",I586=""),"",IF(ABS(H586-I586)&lt;=0.02,"OK","≠"))</f>
        <v>OK</v>
      </c>
      <c r="K586" s="16"/>
      <c r="L586" s="1"/>
    </row>
    <row r="587" customFormat="false" ht="15" hidden="false" customHeight="false" outlineLevel="0" collapsed="false">
      <c r="A587" s="1"/>
      <c r="B587" s="30" t="s">
        <v>478</v>
      </c>
      <c r="C587" s="16" t="s">
        <v>479</v>
      </c>
      <c r="D587" s="16" t="s">
        <v>15</v>
      </c>
      <c r="E587" s="64" t="n">
        <v>0.73</v>
      </c>
      <c r="F587" s="25" t="s">
        <v>176</v>
      </c>
      <c r="G587" s="17" t="n">
        <v>11.28</v>
      </c>
      <c r="H587" s="17" t="n">
        <v>8.23</v>
      </c>
      <c r="I587" s="62" t="n">
        <f aca="false">IF(OR(E587="",G587=""),"",ROUND(E587*G587,2))</f>
        <v>8.23</v>
      </c>
      <c r="J587" s="25" t="str">
        <f aca="false">IF(OR(H587="",I587=""),"",IF(ABS(H587-I587)&lt;=0.02,"OK","≠"))</f>
        <v>OK</v>
      </c>
      <c r="K587" s="16"/>
      <c r="L587" s="1"/>
    </row>
    <row r="588" customFormat="false" ht="15" hidden="false" customHeight="false" outlineLevel="0" collapsed="false">
      <c r="A588" s="1"/>
      <c r="B588" s="32" t="s">
        <v>584</v>
      </c>
      <c r="C588" s="19" t="s">
        <v>585</v>
      </c>
      <c r="D588" s="19" t="s">
        <v>15</v>
      </c>
      <c r="E588" s="65" t="n">
        <v>0.528</v>
      </c>
      <c r="F588" s="27" t="s">
        <v>176</v>
      </c>
      <c r="G588" s="20" t="n">
        <v>7.98</v>
      </c>
      <c r="H588" s="20" t="n">
        <v>4.21</v>
      </c>
      <c r="I588" s="62" t="n">
        <f aca="false">IF(OR(E588="",G588=""),"",ROUND(E588*G588,2))</f>
        <v>4.21</v>
      </c>
      <c r="J588" s="25" t="str">
        <f aca="false">IF(OR(H588="",I588=""),"",IF(ABS(H588-I588)&lt;=0.02,"OK","≠"))</f>
        <v>OK</v>
      </c>
      <c r="K588" s="16"/>
      <c r="L588" s="1"/>
    </row>
    <row r="589" customFormat="false" ht="15" hidden="false" customHeight="false" outlineLevel="0" collapsed="false">
      <c r="A589" s="1"/>
      <c r="B589" s="30" t="s">
        <v>586</v>
      </c>
      <c r="C589" s="16" t="s">
        <v>587</v>
      </c>
      <c r="D589" s="16" t="s">
        <v>15</v>
      </c>
      <c r="E589" s="64" t="n">
        <v>0.372</v>
      </c>
      <c r="F589" s="25" t="s">
        <v>176</v>
      </c>
      <c r="G589" s="17" t="n">
        <v>8.58</v>
      </c>
      <c r="H589" s="17" t="n">
        <v>3.19</v>
      </c>
      <c r="I589" s="62" t="n">
        <f aca="false">IF(OR(E589="",G589=""),"",ROUND(E589*G589,2))</f>
        <v>3.19</v>
      </c>
      <c r="J589" s="25" t="str">
        <f aca="false">IF(OR(H589="",I589=""),"",IF(ABS(H589-I589)&lt;=0.02,"OK","≠"))</f>
        <v>OK</v>
      </c>
      <c r="K589" s="16"/>
      <c r="L589" s="1"/>
    </row>
    <row r="590" customFormat="false" ht="15" hidden="false" customHeight="false" outlineLevel="0" collapsed="false">
      <c r="A590" s="1"/>
      <c r="B590" s="32" t="s">
        <v>281</v>
      </c>
      <c r="C590" s="19" t="s">
        <v>282</v>
      </c>
      <c r="D590" s="19" t="s">
        <v>15</v>
      </c>
      <c r="E590" s="65" t="n">
        <v>0.624</v>
      </c>
      <c r="F590" s="27" t="s">
        <v>176</v>
      </c>
      <c r="G590" s="20" t="n">
        <v>3.48</v>
      </c>
      <c r="H590" s="20" t="n">
        <v>2.17</v>
      </c>
      <c r="I590" s="62" t="n">
        <f aca="false">IF(OR(E590="",G590=""),"",ROUND(E590*G590,2))</f>
        <v>2.17</v>
      </c>
      <c r="J590" s="25" t="str">
        <f aca="false">IF(OR(H590="",I590=""),"",IF(ABS(H590-I590)&lt;=0.02,"OK","≠"))</f>
        <v>OK</v>
      </c>
      <c r="K590" s="16"/>
      <c r="L590" s="1"/>
    </row>
    <row r="591" customFormat="false" ht="15" hidden="false" customHeight="false" outlineLevel="0" collapsed="false">
      <c r="A591" s="1"/>
      <c r="B591" s="30" t="s">
        <v>588</v>
      </c>
      <c r="C591" s="16" t="s">
        <v>589</v>
      </c>
      <c r="D591" s="16" t="s">
        <v>15</v>
      </c>
      <c r="E591" s="64" t="n">
        <v>0.188</v>
      </c>
      <c r="F591" s="25" t="s">
        <v>176</v>
      </c>
      <c r="G591" s="17" t="n">
        <v>28</v>
      </c>
      <c r="H591" s="17" t="n">
        <v>5.26</v>
      </c>
      <c r="I591" s="62" t="n">
        <f aca="false">IF(OR(E591="",G591=""),"",ROUND(E591*G591,2))</f>
        <v>5.26</v>
      </c>
      <c r="J591" s="25" t="str">
        <f aca="false">IF(OR(H591="",I591=""),"",IF(ABS(H591-I591)&lt;=0.02,"OK","≠"))</f>
        <v>OK</v>
      </c>
      <c r="K591" s="16"/>
      <c r="L591" s="1"/>
    </row>
    <row r="592" customFormat="false" ht="15" hidden="false" customHeight="false" outlineLevel="0" collapsed="false">
      <c r="A592" s="1"/>
      <c r="B592" s="32" t="s">
        <v>590</v>
      </c>
      <c r="C592" s="19" t="s">
        <v>591</v>
      </c>
      <c r="D592" s="19" t="s">
        <v>15</v>
      </c>
      <c r="E592" s="65" t="n">
        <v>0.546</v>
      </c>
      <c r="F592" s="27" t="s">
        <v>176</v>
      </c>
      <c r="G592" s="20" t="n">
        <v>11.98</v>
      </c>
      <c r="H592" s="20" t="n">
        <v>6.54</v>
      </c>
      <c r="I592" s="62" t="n">
        <f aca="false">IF(OR(E592="",G592=""),"",ROUND(E592*G592,2))</f>
        <v>6.54</v>
      </c>
      <c r="J592" s="25" t="str">
        <f aca="false">IF(OR(H592="",I592=""),"",IF(ABS(H592-I592)&lt;=0.02,"OK","≠"))</f>
        <v>OK</v>
      </c>
      <c r="K592" s="16"/>
      <c r="L592" s="1"/>
    </row>
    <row r="593" customFormat="false" ht="15" hidden="false" customHeight="false" outlineLevel="0" collapsed="false">
      <c r="A593" s="1"/>
      <c r="B593" s="30" t="s">
        <v>476</v>
      </c>
      <c r="C593" s="16" t="s">
        <v>477</v>
      </c>
      <c r="D593" s="16" t="s">
        <v>15</v>
      </c>
      <c r="E593" s="64" t="n">
        <v>1</v>
      </c>
      <c r="F593" s="25" t="s">
        <v>179</v>
      </c>
      <c r="G593" s="17" t="n">
        <v>3.9</v>
      </c>
      <c r="H593" s="17" t="n">
        <v>3.9</v>
      </c>
      <c r="I593" s="62" t="n">
        <f aca="false">IF(OR(E593="",G593=""),"",ROUND(E593*G593,2))</f>
        <v>3.9</v>
      </c>
      <c r="J593" s="25" t="str">
        <f aca="false">IF(OR(H593="",I593=""),"",IF(ABS(H593-I593)&lt;=0.02,"OK","≠"))</f>
        <v>OK</v>
      </c>
      <c r="K593" s="16"/>
      <c r="L593" s="1"/>
    </row>
    <row r="594" customFormat="false" ht="15" hidden="false" customHeight="false" outlineLevel="0" collapsed="false">
      <c r="A594" s="1"/>
      <c r="B594" s="32" t="s">
        <v>592</v>
      </c>
      <c r="C594" s="19" t="s">
        <v>593</v>
      </c>
      <c r="D594" s="19" t="s">
        <v>15</v>
      </c>
      <c r="E594" s="65" t="n">
        <v>1</v>
      </c>
      <c r="F594" s="27" t="s">
        <v>179</v>
      </c>
      <c r="G594" s="20" t="n">
        <v>6</v>
      </c>
      <c r="H594" s="20" t="n">
        <v>6</v>
      </c>
      <c r="I594" s="62" t="n">
        <f aca="false">IF(OR(E594="",G594=""),"",ROUND(E594*G594,2))</f>
        <v>6</v>
      </c>
      <c r="J594" s="25" t="str">
        <f aca="false">IF(OR(H594="",I594=""),"",IF(ABS(H594-I594)&lt;=0.02,"OK","≠"))</f>
        <v>OK</v>
      </c>
      <c r="K594" s="16"/>
      <c r="L594" s="1"/>
    </row>
    <row r="595" customFormat="false" ht="15" hidden="false" customHeight="false" outlineLevel="0" collapsed="false">
      <c r="A595" s="1"/>
      <c r="B595" s="30" t="s">
        <v>594</v>
      </c>
      <c r="C595" s="16" t="s">
        <v>595</v>
      </c>
      <c r="D595" s="16" t="s">
        <v>15</v>
      </c>
      <c r="E595" s="64" t="n">
        <v>1</v>
      </c>
      <c r="F595" s="25" t="s">
        <v>179</v>
      </c>
      <c r="G595" s="17" t="n">
        <v>6</v>
      </c>
      <c r="H595" s="17" t="n">
        <v>6</v>
      </c>
      <c r="I595" s="62" t="n">
        <f aca="false">IF(OR(E595="",G595=""),"",ROUND(E595*G595,2))</f>
        <v>6</v>
      </c>
      <c r="J595" s="25" t="str">
        <f aca="false">IF(OR(H595="",I595=""),"",IF(ABS(H595-I595)&lt;=0.02,"OK","≠"))</f>
        <v>OK</v>
      </c>
      <c r="K595" s="16"/>
      <c r="L595" s="1"/>
    </row>
    <row r="596" customFormat="false" ht="15" hidden="false" customHeight="false" outlineLevel="0" collapsed="false">
      <c r="A596" s="1"/>
      <c r="B596" s="1"/>
      <c r="C596" s="1"/>
      <c r="D596" s="1"/>
      <c r="E596" s="1"/>
      <c r="F596" s="1"/>
      <c r="G596" s="1"/>
      <c r="H596" s="1"/>
      <c r="I596" s="1"/>
      <c r="J596" s="1"/>
      <c r="K596" s="1"/>
      <c r="L596" s="1"/>
    </row>
    <row r="597" customFormat="false" ht="19.5" hidden="false" customHeight="true" outlineLevel="0" collapsed="false">
      <c r="A597" s="1"/>
      <c r="B597" s="63" t="s">
        <v>596</v>
      </c>
      <c r="C597" s="63"/>
      <c r="D597" s="63"/>
      <c r="E597" s="63"/>
      <c r="F597" s="63"/>
      <c r="G597" s="63"/>
      <c r="H597" s="63"/>
      <c r="I597" s="63"/>
      <c r="J597" s="63"/>
      <c r="K597" s="63"/>
      <c r="L597" s="1"/>
    </row>
    <row r="598" customFormat="false" ht="15" hidden="false" customHeight="false" outlineLevel="0" collapsed="false">
      <c r="A598" s="1"/>
      <c r="B598" s="50" t="s">
        <v>34</v>
      </c>
      <c r="C598" s="45" t="s">
        <v>36</v>
      </c>
      <c r="D598" s="45"/>
      <c r="E598" s="50" t="s">
        <v>157</v>
      </c>
      <c r="F598" s="50"/>
      <c r="G598" s="45" t="s">
        <v>597</v>
      </c>
      <c r="H598" s="45"/>
      <c r="I598" s="45"/>
      <c r="J598" s="45"/>
      <c r="K598" s="45"/>
      <c r="L598" s="1"/>
    </row>
    <row r="599" customFormat="false" ht="15" hidden="false" customHeight="false" outlineLevel="0" collapsed="false">
      <c r="A599" s="1"/>
      <c r="B599" s="50" t="s">
        <v>78</v>
      </c>
      <c r="C599" s="39" t="n">
        <v>46176</v>
      </c>
      <c r="D599" s="39"/>
      <c r="E599" s="50" t="s">
        <v>80</v>
      </c>
      <c r="F599" s="50"/>
      <c r="G599" s="45" t="s">
        <v>173</v>
      </c>
      <c r="H599" s="45"/>
      <c r="I599" s="45"/>
      <c r="J599" s="45"/>
      <c r="K599" s="45"/>
      <c r="L599" s="1"/>
    </row>
    <row r="600" customFormat="false" ht="15" hidden="false" customHeight="false" outlineLevel="0" collapsed="false">
      <c r="A600" s="1"/>
      <c r="B600" s="50" t="s">
        <v>158</v>
      </c>
      <c r="C600" s="55" t="n">
        <v>47</v>
      </c>
      <c r="D600" s="55"/>
      <c r="E600" s="50" t="s">
        <v>159</v>
      </c>
      <c r="F600" s="50"/>
      <c r="G600" s="56" t="n">
        <v>336.92</v>
      </c>
      <c r="H600" s="56"/>
      <c r="I600" s="56"/>
      <c r="J600" s="56"/>
      <c r="K600" s="56"/>
      <c r="L600" s="1"/>
    </row>
    <row r="601" customFormat="false" ht="15" hidden="false" customHeight="false" outlineLevel="0" collapsed="false">
      <c r="A601" s="1"/>
      <c r="B601" s="50" t="s">
        <v>160</v>
      </c>
      <c r="C601" s="55" t="n">
        <f aca="false">COUNT(H605:H651)</f>
        <v>47</v>
      </c>
      <c r="D601" s="55"/>
      <c r="E601" s="50" t="s">
        <v>161</v>
      </c>
      <c r="F601" s="50"/>
      <c r="G601" s="56" t="n">
        <f aca="false">ROUND(SUM(H605:H651),2)</f>
        <v>336.92</v>
      </c>
      <c r="H601" s="56"/>
      <c r="I601" s="56"/>
      <c r="J601" s="56"/>
      <c r="K601" s="56"/>
      <c r="L601" s="1"/>
    </row>
    <row r="602" customFormat="false" ht="15" hidden="false" customHeight="false" outlineLevel="0" collapsed="false">
      <c r="A602" s="1"/>
      <c r="B602" s="50" t="s">
        <v>162</v>
      </c>
      <c r="C602" s="55" t="n">
        <f aca="false">ROUND(SUMPRODUCT(((F605:F651="KG")+(F605:F651="G"))*1)+SUMPRODUCT((F605:F651&lt;&gt;"KG")*(F605:F651&lt;&gt;"G")*E605:E651),0)</f>
        <v>47</v>
      </c>
      <c r="D602" s="55"/>
      <c r="E602" s="50" t="s">
        <v>163</v>
      </c>
      <c r="F602" s="50"/>
      <c r="G602" s="56" t="n">
        <f aca="false">IF(G600="","",ROUND(G600-G601,2))</f>
        <v>0</v>
      </c>
      <c r="H602" s="56"/>
      <c r="I602" s="56"/>
      <c r="J602" s="56"/>
      <c r="K602" s="56"/>
      <c r="L602" s="1"/>
    </row>
    <row r="603" customFormat="false" ht="15" hidden="false" customHeight="false" outlineLevel="0" collapsed="false">
      <c r="A603" s="1"/>
      <c r="B603" s="50" t="s">
        <v>84</v>
      </c>
      <c r="C603" s="57" t="str">
        <f aca="false">IF(C601=0,"— aguardando lançamento",IF(G600="","SEM TOTAL OFICIAL — informe o total do cupom",IF(AND(OR(C600="",C600=C601,C600=C602),ABS(G602)&lt;=0.05),"FECHADO — itens e valor conferem",IF(ABS(G602)&lt;=0.05,"REVISAR — qtd. de itens não bate","REVISAR — diferença de R$ "&amp;ABS(G602)))))</f>
        <v>FECHADO — itens e valor conferem</v>
      </c>
      <c r="D603" s="57"/>
      <c r="E603" s="57"/>
      <c r="F603" s="57"/>
      <c r="G603" s="50" t="s">
        <v>164</v>
      </c>
      <c r="H603" s="30"/>
      <c r="I603" s="30"/>
      <c r="J603" s="30"/>
      <c r="K603" s="30"/>
      <c r="L603" s="1"/>
    </row>
    <row r="604" customFormat="false" ht="15" hidden="false" customHeight="false" outlineLevel="0" collapsed="false">
      <c r="A604" s="1"/>
      <c r="B604" s="15" t="s">
        <v>165</v>
      </c>
      <c r="C604" s="15" t="s">
        <v>52</v>
      </c>
      <c r="D604" s="15" t="s">
        <v>9</v>
      </c>
      <c r="E604" s="15" t="s">
        <v>166</v>
      </c>
      <c r="F604" s="15" t="s">
        <v>167</v>
      </c>
      <c r="G604" s="15" t="s">
        <v>168</v>
      </c>
      <c r="H604" s="15" t="s">
        <v>10</v>
      </c>
      <c r="I604" s="15" t="s">
        <v>169</v>
      </c>
      <c r="J604" s="15" t="s">
        <v>170</v>
      </c>
      <c r="K604" s="15"/>
      <c r="L604" s="1"/>
    </row>
    <row r="605" customFormat="false" ht="15" hidden="false" customHeight="false" outlineLevel="0" collapsed="false">
      <c r="A605" s="1"/>
      <c r="B605" s="30" t="s">
        <v>314</v>
      </c>
      <c r="C605" s="16" t="s">
        <v>598</v>
      </c>
      <c r="D605" s="16" t="s">
        <v>16</v>
      </c>
      <c r="E605" s="64" t="n">
        <v>1</v>
      </c>
      <c r="F605" s="25" t="s">
        <v>179</v>
      </c>
      <c r="G605" s="17" t="n">
        <v>9.2</v>
      </c>
      <c r="H605" s="17" t="n">
        <v>9.2</v>
      </c>
      <c r="I605" s="62" t="n">
        <f aca="false">IF(OR(E605="",G605=""),"",ROUND(E605*G605,2))</f>
        <v>9.2</v>
      </c>
      <c r="J605" s="25" t="str">
        <f aca="false">IF(OR(H605="",I605=""),"",IF(ABS(H605-I605)&lt;=0.02,"OK","≠"))</f>
        <v>OK</v>
      </c>
      <c r="K605" s="16"/>
      <c r="L605" s="1"/>
    </row>
    <row r="606" customFormat="false" ht="15" hidden="false" customHeight="false" outlineLevel="0" collapsed="false">
      <c r="A606" s="1"/>
      <c r="B606" s="32" t="s">
        <v>314</v>
      </c>
      <c r="C606" s="19" t="s">
        <v>598</v>
      </c>
      <c r="D606" s="19" t="s">
        <v>16</v>
      </c>
      <c r="E606" s="65" t="n">
        <v>1</v>
      </c>
      <c r="F606" s="27" t="s">
        <v>179</v>
      </c>
      <c r="G606" s="20" t="n">
        <v>9.2</v>
      </c>
      <c r="H606" s="20" t="n">
        <v>9.2</v>
      </c>
      <c r="I606" s="62" t="n">
        <f aca="false">IF(OR(E606="",G606=""),"",ROUND(E606*G606,2))</f>
        <v>9.2</v>
      </c>
      <c r="J606" s="25" t="str">
        <f aca="false">IF(OR(H606="",I606=""),"",IF(ABS(H606-I606)&lt;=0.02,"OK","≠"))</f>
        <v>OK</v>
      </c>
      <c r="K606" s="16"/>
      <c r="L606" s="1"/>
    </row>
    <row r="607" customFormat="false" ht="15" hidden="false" customHeight="false" outlineLevel="0" collapsed="false">
      <c r="A607" s="1"/>
      <c r="B607" s="30" t="s">
        <v>599</v>
      </c>
      <c r="C607" s="16" t="s">
        <v>600</v>
      </c>
      <c r="D607" s="16" t="s">
        <v>13</v>
      </c>
      <c r="E607" s="64" t="n">
        <v>0.422</v>
      </c>
      <c r="F607" s="25" t="s">
        <v>176</v>
      </c>
      <c r="G607" s="17" t="n">
        <v>38.99</v>
      </c>
      <c r="H607" s="17" t="n">
        <v>16.45</v>
      </c>
      <c r="I607" s="62" t="n">
        <f aca="false">IF(OR(E607="",G607=""),"",ROUND(E607*G607,2))</f>
        <v>16.45</v>
      </c>
      <c r="J607" s="25" t="str">
        <f aca="false">IF(OR(H607="",I607=""),"",IF(ABS(H607-I607)&lt;=0.02,"OK","≠"))</f>
        <v>OK</v>
      </c>
      <c r="K607" s="16"/>
      <c r="L607" s="1"/>
    </row>
    <row r="608" customFormat="false" ht="15" hidden="false" customHeight="false" outlineLevel="0" collapsed="false">
      <c r="A608" s="1"/>
      <c r="B608" s="32" t="s">
        <v>599</v>
      </c>
      <c r="C608" s="19" t="s">
        <v>600</v>
      </c>
      <c r="D608" s="19" t="s">
        <v>13</v>
      </c>
      <c r="E608" s="65" t="n">
        <v>0.47</v>
      </c>
      <c r="F608" s="27" t="s">
        <v>176</v>
      </c>
      <c r="G608" s="20" t="n">
        <v>38.99</v>
      </c>
      <c r="H608" s="20" t="n">
        <v>18.33</v>
      </c>
      <c r="I608" s="62" t="n">
        <f aca="false">IF(OR(E608="",G608=""),"",ROUND(E608*G608,2))</f>
        <v>18.33</v>
      </c>
      <c r="J608" s="25" t="str">
        <f aca="false">IF(OR(H608="",I608=""),"",IF(ABS(H608-I608)&lt;=0.02,"OK","≠"))</f>
        <v>OK</v>
      </c>
      <c r="K608" s="16"/>
      <c r="L608" s="1"/>
    </row>
    <row r="609" customFormat="false" ht="15" hidden="false" customHeight="false" outlineLevel="0" collapsed="false">
      <c r="A609" s="1"/>
      <c r="B609" s="30" t="s">
        <v>599</v>
      </c>
      <c r="C609" s="16" t="s">
        <v>600</v>
      </c>
      <c r="D609" s="16" t="s">
        <v>13</v>
      </c>
      <c r="E609" s="64" t="n">
        <v>0.494</v>
      </c>
      <c r="F609" s="25" t="s">
        <v>176</v>
      </c>
      <c r="G609" s="17" t="n">
        <v>38.99</v>
      </c>
      <c r="H609" s="17" t="n">
        <v>19.26</v>
      </c>
      <c r="I609" s="62" t="n">
        <f aca="false">IF(OR(E609="",G609=""),"",ROUND(E609*G609,2))</f>
        <v>19.26</v>
      </c>
      <c r="J609" s="25" t="str">
        <f aca="false">IF(OR(H609="",I609=""),"",IF(ABS(H609-I609)&lt;=0.02,"OK","≠"))</f>
        <v>OK</v>
      </c>
      <c r="K609" s="16"/>
      <c r="L609" s="1"/>
    </row>
    <row r="610" customFormat="false" ht="15" hidden="false" customHeight="false" outlineLevel="0" collapsed="false">
      <c r="A610" s="1"/>
      <c r="B610" s="32" t="s">
        <v>601</v>
      </c>
      <c r="C610" s="19" t="s">
        <v>602</v>
      </c>
      <c r="D610" s="19" t="s">
        <v>13</v>
      </c>
      <c r="E610" s="65" t="n">
        <v>1</v>
      </c>
      <c r="F610" s="27" t="s">
        <v>179</v>
      </c>
      <c r="G610" s="20" t="n">
        <v>6.85</v>
      </c>
      <c r="H610" s="20" t="n">
        <v>6.85</v>
      </c>
      <c r="I610" s="62" t="n">
        <f aca="false">IF(OR(E610="",G610=""),"",ROUND(E610*G610,2))</f>
        <v>6.85</v>
      </c>
      <c r="J610" s="25" t="str">
        <f aca="false">IF(OR(H610="",I610=""),"",IF(ABS(H610-I610)&lt;=0.02,"OK","≠"))</f>
        <v>OK</v>
      </c>
      <c r="K610" s="16"/>
      <c r="L610" s="1"/>
    </row>
    <row r="611" customFormat="false" ht="15" hidden="false" customHeight="false" outlineLevel="0" collapsed="false">
      <c r="A611" s="1"/>
      <c r="B611" s="30" t="s">
        <v>601</v>
      </c>
      <c r="C611" s="16" t="s">
        <v>602</v>
      </c>
      <c r="D611" s="16" t="s">
        <v>13</v>
      </c>
      <c r="E611" s="64" t="n">
        <v>1</v>
      </c>
      <c r="F611" s="25" t="s">
        <v>179</v>
      </c>
      <c r="G611" s="17" t="n">
        <v>6.85</v>
      </c>
      <c r="H611" s="17" t="n">
        <v>6.85</v>
      </c>
      <c r="I611" s="62" t="n">
        <f aca="false">IF(OR(E611="",G611=""),"",ROUND(E611*G611,2))</f>
        <v>6.85</v>
      </c>
      <c r="J611" s="25" t="str">
        <f aca="false">IF(OR(H611="",I611=""),"",IF(ABS(H611-I611)&lt;=0.02,"OK","≠"))</f>
        <v>OK</v>
      </c>
      <c r="K611" s="16"/>
      <c r="L611" s="1"/>
    </row>
    <row r="612" customFormat="false" ht="15" hidden="false" customHeight="false" outlineLevel="0" collapsed="false">
      <c r="A612" s="1"/>
      <c r="B612" s="32" t="s">
        <v>601</v>
      </c>
      <c r="C612" s="19" t="s">
        <v>602</v>
      </c>
      <c r="D612" s="19" t="s">
        <v>13</v>
      </c>
      <c r="E612" s="65" t="n">
        <v>1</v>
      </c>
      <c r="F612" s="27" t="s">
        <v>179</v>
      </c>
      <c r="G612" s="20" t="n">
        <v>6.85</v>
      </c>
      <c r="H612" s="20" t="n">
        <v>6.85</v>
      </c>
      <c r="I612" s="62" t="n">
        <f aca="false">IF(OR(E612="",G612=""),"",ROUND(E612*G612,2))</f>
        <v>6.85</v>
      </c>
      <c r="J612" s="25" t="str">
        <f aca="false">IF(OR(H612="",I612=""),"",IF(ABS(H612-I612)&lt;=0.02,"OK","≠"))</f>
        <v>OK</v>
      </c>
      <c r="K612" s="16"/>
      <c r="L612" s="1"/>
    </row>
    <row r="613" customFormat="false" ht="15" hidden="false" customHeight="false" outlineLevel="0" collapsed="false">
      <c r="A613" s="1"/>
      <c r="B613" s="30" t="s">
        <v>214</v>
      </c>
      <c r="C613" s="16" t="s">
        <v>227</v>
      </c>
      <c r="D613" s="16" t="s">
        <v>13</v>
      </c>
      <c r="E613" s="64" t="n">
        <v>1</v>
      </c>
      <c r="F613" s="25" t="s">
        <v>179</v>
      </c>
      <c r="G613" s="17" t="n">
        <v>18.2</v>
      </c>
      <c r="H613" s="17" t="n">
        <v>18.2</v>
      </c>
      <c r="I613" s="62" t="n">
        <f aca="false">IF(OR(E613="",G613=""),"",ROUND(E613*G613,2))</f>
        <v>18.2</v>
      </c>
      <c r="J613" s="25" t="str">
        <f aca="false">IF(OR(H613="",I613=""),"",IF(ABS(H613-I613)&lt;=0.02,"OK","≠"))</f>
        <v>OK</v>
      </c>
      <c r="K613" s="16"/>
      <c r="L613" s="1"/>
    </row>
    <row r="614" customFormat="false" ht="15" hidden="false" customHeight="false" outlineLevel="0" collapsed="false">
      <c r="A614" s="1"/>
      <c r="B614" s="32" t="s">
        <v>230</v>
      </c>
      <c r="C614" s="19" t="s">
        <v>231</v>
      </c>
      <c r="D614" s="19" t="s">
        <v>13</v>
      </c>
      <c r="E614" s="65" t="n">
        <v>1</v>
      </c>
      <c r="F614" s="27" t="s">
        <v>179</v>
      </c>
      <c r="G614" s="20" t="n">
        <v>6.65</v>
      </c>
      <c r="H614" s="20" t="n">
        <v>6.65</v>
      </c>
      <c r="I614" s="62" t="n">
        <f aca="false">IF(OR(E614="",G614=""),"",ROUND(E614*G614,2))</f>
        <v>6.65</v>
      </c>
      <c r="J614" s="25" t="str">
        <f aca="false">IF(OR(H614="",I614=""),"",IF(ABS(H614-I614)&lt;=0.02,"OK","≠"))</f>
        <v>OK</v>
      </c>
      <c r="K614" s="16"/>
      <c r="L614" s="1"/>
    </row>
    <row r="615" customFormat="false" ht="15" hidden="false" customHeight="false" outlineLevel="0" collapsed="false">
      <c r="A615" s="1"/>
      <c r="B615" s="30" t="s">
        <v>439</v>
      </c>
      <c r="C615" s="16" t="s">
        <v>440</v>
      </c>
      <c r="D615" s="16" t="s">
        <v>16</v>
      </c>
      <c r="E615" s="64" t="n">
        <v>1</v>
      </c>
      <c r="F615" s="25" t="s">
        <v>179</v>
      </c>
      <c r="G615" s="17" t="n">
        <v>1.65</v>
      </c>
      <c r="H615" s="17" t="n">
        <v>1.65</v>
      </c>
      <c r="I615" s="62" t="n">
        <f aca="false">IF(OR(E615="",G615=""),"",ROUND(E615*G615,2))</f>
        <v>1.65</v>
      </c>
      <c r="J615" s="25" t="str">
        <f aca="false">IF(OR(H615="",I615=""),"",IF(ABS(H615-I615)&lt;=0.02,"OK","≠"))</f>
        <v>OK</v>
      </c>
      <c r="K615" s="16"/>
      <c r="L615" s="1"/>
    </row>
    <row r="616" customFormat="false" ht="15" hidden="false" customHeight="false" outlineLevel="0" collapsed="false">
      <c r="A616" s="1"/>
      <c r="B616" s="32" t="s">
        <v>439</v>
      </c>
      <c r="C616" s="19" t="s">
        <v>440</v>
      </c>
      <c r="D616" s="19" t="s">
        <v>16</v>
      </c>
      <c r="E616" s="65" t="n">
        <v>1</v>
      </c>
      <c r="F616" s="27" t="s">
        <v>179</v>
      </c>
      <c r="G616" s="20" t="n">
        <v>1.65</v>
      </c>
      <c r="H616" s="20" t="n">
        <v>1.65</v>
      </c>
      <c r="I616" s="62" t="n">
        <f aca="false">IF(OR(E616="",G616=""),"",ROUND(E616*G616,2))</f>
        <v>1.65</v>
      </c>
      <c r="J616" s="25" t="str">
        <f aca="false">IF(OR(H616="",I616=""),"",IF(ABS(H616-I616)&lt;=0.02,"OK","≠"))</f>
        <v>OK</v>
      </c>
      <c r="K616" s="16"/>
      <c r="L616" s="1"/>
    </row>
    <row r="617" customFormat="false" ht="15" hidden="false" customHeight="false" outlineLevel="0" collapsed="false">
      <c r="A617" s="1"/>
      <c r="B617" s="30" t="s">
        <v>230</v>
      </c>
      <c r="C617" s="16" t="s">
        <v>231</v>
      </c>
      <c r="D617" s="16" t="s">
        <v>13</v>
      </c>
      <c r="E617" s="64" t="n">
        <v>1</v>
      </c>
      <c r="F617" s="25" t="s">
        <v>179</v>
      </c>
      <c r="G617" s="17" t="n">
        <v>6.65</v>
      </c>
      <c r="H617" s="17" t="n">
        <v>6.65</v>
      </c>
      <c r="I617" s="62" t="n">
        <f aca="false">IF(OR(E617="",G617=""),"",ROUND(E617*G617,2))</f>
        <v>6.65</v>
      </c>
      <c r="J617" s="25" t="str">
        <f aca="false">IF(OR(H617="",I617=""),"",IF(ABS(H617-I617)&lt;=0.02,"OK","≠"))</f>
        <v>OK</v>
      </c>
      <c r="K617" s="16"/>
      <c r="L617" s="1"/>
    </row>
    <row r="618" customFormat="false" ht="15" hidden="false" customHeight="false" outlineLevel="0" collapsed="false">
      <c r="A618" s="1"/>
      <c r="B618" s="32" t="s">
        <v>439</v>
      </c>
      <c r="C618" s="19" t="s">
        <v>440</v>
      </c>
      <c r="D618" s="19" t="s">
        <v>16</v>
      </c>
      <c r="E618" s="65" t="n">
        <v>1</v>
      </c>
      <c r="F618" s="27" t="s">
        <v>179</v>
      </c>
      <c r="G618" s="20" t="n">
        <v>1.65</v>
      </c>
      <c r="H618" s="20" t="n">
        <v>1.65</v>
      </c>
      <c r="I618" s="62" t="n">
        <f aca="false">IF(OR(E618="",G618=""),"",ROUND(E618*G618,2))</f>
        <v>1.65</v>
      </c>
      <c r="J618" s="25" t="str">
        <f aca="false">IF(OR(H618="",I618=""),"",IF(ABS(H618-I618)&lt;=0.02,"OK","≠"))</f>
        <v>OK</v>
      </c>
      <c r="K618" s="16"/>
      <c r="L618" s="1"/>
    </row>
    <row r="619" customFormat="false" ht="15" hidden="false" customHeight="false" outlineLevel="0" collapsed="false">
      <c r="A619" s="1"/>
      <c r="B619" s="30" t="s">
        <v>439</v>
      </c>
      <c r="C619" s="16" t="s">
        <v>440</v>
      </c>
      <c r="D619" s="16" t="s">
        <v>16</v>
      </c>
      <c r="E619" s="64" t="n">
        <v>1</v>
      </c>
      <c r="F619" s="25" t="s">
        <v>179</v>
      </c>
      <c r="G619" s="17" t="n">
        <v>1.65</v>
      </c>
      <c r="H619" s="17" t="n">
        <v>1.65</v>
      </c>
      <c r="I619" s="62" t="n">
        <f aca="false">IF(OR(E619="",G619=""),"",ROUND(E619*G619,2))</f>
        <v>1.65</v>
      </c>
      <c r="J619" s="25" t="str">
        <f aca="false">IF(OR(H619="",I619=""),"",IF(ABS(H619-I619)&lt;=0.02,"OK","≠"))</f>
        <v>OK</v>
      </c>
      <c r="K619" s="16"/>
      <c r="L619" s="1"/>
    </row>
    <row r="620" customFormat="false" ht="15" hidden="false" customHeight="false" outlineLevel="0" collapsed="false">
      <c r="A620" s="1"/>
      <c r="B620" s="32" t="s">
        <v>439</v>
      </c>
      <c r="C620" s="19" t="s">
        <v>440</v>
      </c>
      <c r="D620" s="19" t="s">
        <v>16</v>
      </c>
      <c r="E620" s="65" t="n">
        <v>1</v>
      </c>
      <c r="F620" s="27" t="s">
        <v>179</v>
      </c>
      <c r="G620" s="20" t="n">
        <v>1.65</v>
      </c>
      <c r="H620" s="20" t="n">
        <v>1.65</v>
      </c>
      <c r="I620" s="62" t="n">
        <f aca="false">IF(OR(E620="",G620=""),"",ROUND(E620*G620,2))</f>
        <v>1.65</v>
      </c>
      <c r="J620" s="25" t="str">
        <f aca="false">IF(OR(H620="",I620=""),"",IF(ABS(H620-I620)&lt;=0.02,"OK","≠"))</f>
        <v>OK</v>
      </c>
      <c r="K620" s="16"/>
      <c r="L620" s="1"/>
    </row>
    <row r="621" customFormat="false" ht="15" hidden="false" customHeight="false" outlineLevel="0" collapsed="false">
      <c r="A621" s="1"/>
      <c r="B621" s="30" t="s">
        <v>439</v>
      </c>
      <c r="C621" s="16" t="s">
        <v>440</v>
      </c>
      <c r="D621" s="16" t="s">
        <v>16</v>
      </c>
      <c r="E621" s="64" t="n">
        <v>1</v>
      </c>
      <c r="F621" s="25" t="s">
        <v>179</v>
      </c>
      <c r="G621" s="17" t="n">
        <v>1.65</v>
      </c>
      <c r="H621" s="17" t="n">
        <v>1.65</v>
      </c>
      <c r="I621" s="62" t="n">
        <f aca="false">IF(OR(E621="",G621=""),"",ROUND(E621*G621,2))</f>
        <v>1.65</v>
      </c>
      <c r="J621" s="25" t="str">
        <f aca="false">IF(OR(H621="",I621=""),"",IF(ABS(H621-I621)&lt;=0.02,"OK","≠"))</f>
        <v>OK</v>
      </c>
      <c r="K621" s="16"/>
      <c r="L621" s="1"/>
    </row>
    <row r="622" customFormat="false" ht="15" hidden="false" customHeight="false" outlineLevel="0" collapsed="false">
      <c r="A622" s="1"/>
      <c r="B622" s="32" t="s">
        <v>603</v>
      </c>
      <c r="C622" s="19" t="s">
        <v>604</v>
      </c>
      <c r="D622" s="19" t="s">
        <v>13</v>
      </c>
      <c r="E622" s="65" t="n">
        <v>0.326</v>
      </c>
      <c r="F622" s="27" t="s">
        <v>176</v>
      </c>
      <c r="G622" s="20" t="n">
        <v>24.9</v>
      </c>
      <c r="H622" s="20" t="n">
        <v>8.12</v>
      </c>
      <c r="I622" s="62" t="n">
        <f aca="false">IF(OR(E622="",G622=""),"",ROUND(E622*G622,2))</f>
        <v>8.12</v>
      </c>
      <c r="J622" s="25" t="str">
        <f aca="false">IF(OR(H622="",I622=""),"",IF(ABS(H622-I622)&lt;=0.02,"OK","≠"))</f>
        <v>OK</v>
      </c>
      <c r="K622" s="16"/>
      <c r="L622" s="1"/>
    </row>
    <row r="623" customFormat="false" ht="15" hidden="false" customHeight="false" outlineLevel="0" collapsed="false">
      <c r="A623" s="1"/>
      <c r="B623" s="30" t="s">
        <v>605</v>
      </c>
      <c r="C623" s="16" t="s">
        <v>606</v>
      </c>
      <c r="D623" s="16" t="s">
        <v>16</v>
      </c>
      <c r="E623" s="64" t="n">
        <v>1</v>
      </c>
      <c r="F623" s="25" t="s">
        <v>179</v>
      </c>
      <c r="G623" s="17" t="n">
        <v>3.45</v>
      </c>
      <c r="H623" s="17" t="n">
        <v>3.45</v>
      </c>
      <c r="I623" s="62" t="n">
        <f aca="false">IF(OR(E623="",G623=""),"",ROUND(E623*G623,2))</f>
        <v>3.45</v>
      </c>
      <c r="J623" s="25" t="str">
        <f aca="false">IF(OR(H623="",I623=""),"",IF(ABS(H623-I623)&lt;=0.02,"OK","≠"))</f>
        <v>OK</v>
      </c>
      <c r="K623" s="16"/>
      <c r="L623" s="1"/>
    </row>
    <row r="624" customFormat="false" ht="15" hidden="false" customHeight="false" outlineLevel="0" collapsed="false">
      <c r="A624" s="1"/>
      <c r="B624" s="32" t="s">
        <v>605</v>
      </c>
      <c r="C624" s="19" t="s">
        <v>606</v>
      </c>
      <c r="D624" s="19" t="s">
        <v>16</v>
      </c>
      <c r="E624" s="65" t="n">
        <v>1</v>
      </c>
      <c r="F624" s="27" t="s">
        <v>179</v>
      </c>
      <c r="G624" s="20" t="n">
        <v>3.45</v>
      </c>
      <c r="H624" s="20" t="n">
        <v>3.45</v>
      </c>
      <c r="I624" s="62" t="n">
        <f aca="false">IF(OR(E624="",G624=""),"",ROUND(E624*G624,2))</f>
        <v>3.45</v>
      </c>
      <c r="J624" s="25" t="str">
        <f aca="false">IF(OR(H624="",I624=""),"",IF(ABS(H624-I624)&lt;=0.02,"OK","≠"))</f>
        <v>OK</v>
      </c>
      <c r="K624" s="16"/>
      <c r="L624" s="1"/>
    </row>
    <row r="625" customFormat="false" ht="15" hidden="false" customHeight="false" outlineLevel="0" collapsed="false">
      <c r="A625" s="1"/>
      <c r="B625" s="30" t="s">
        <v>605</v>
      </c>
      <c r="C625" s="16" t="s">
        <v>606</v>
      </c>
      <c r="D625" s="16" t="s">
        <v>16</v>
      </c>
      <c r="E625" s="64" t="n">
        <v>1</v>
      </c>
      <c r="F625" s="25" t="s">
        <v>179</v>
      </c>
      <c r="G625" s="17" t="n">
        <v>3.45</v>
      </c>
      <c r="H625" s="17" t="n">
        <v>3.45</v>
      </c>
      <c r="I625" s="62" t="n">
        <f aca="false">IF(OR(E625="",G625=""),"",ROUND(E625*G625,2))</f>
        <v>3.45</v>
      </c>
      <c r="J625" s="25" t="str">
        <f aca="false">IF(OR(H625="",I625=""),"",IF(ABS(H625-I625)&lt;=0.02,"OK","≠"))</f>
        <v>OK</v>
      </c>
      <c r="K625" s="16"/>
      <c r="L625" s="1"/>
    </row>
    <row r="626" customFormat="false" ht="15" hidden="false" customHeight="false" outlineLevel="0" collapsed="false">
      <c r="A626" s="1"/>
      <c r="B626" s="32" t="s">
        <v>607</v>
      </c>
      <c r="C626" s="19" t="s">
        <v>386</v>
      </c>
      <c r="D626" s="19" t="s">
        <v>13</v>
      </c>
      <c r="E626" s="65" t="n">
        <v>1</v>
      </c>
      <c r="F626" s="27" t="s">
        <v>179</v>
      </c>
      <c r="G626" s="20" t="n">
        <v>1.99</v>
      </c>
      <c r="H626" s="20" t="n">
        <v>1.99</v>
      </c>
      <c r="I626" s="62" t="n">
        <f aca="false">IF(OR(E626="",G626=""),"",ROUND(E626*G626,2))</f>
        <v>1.99</v>
      </c>
      <c r="J626" s="25" t="str">
        <f aca="false">IF(OR(H626="",I626=""),"",IF(ABS(H626-I626)&lt;=0.02,"OK","≠"))</f>
        <v>OK</v>
      </c>
      <c r="K626" s="16"/>
      <c r="L626" s="1"/>
    </row>
    <row r="627" customFormat="false" ht="15" hidden="false" customHeight="false" outlineLevel="0" collapsed="false">
      <c r="A627" s="1"/>
      <c r="B627" s="30" t="s">
        <v>607</v>
      </c>
      <c r="C627" s="16" t="s">
        <v>386</v>
      </c>
      <c r="D627" s="16" t="s">
        <v>13</v>
      </c>
      <c r="E627" s="64" t="n">
        <v>1</v>
      </c>
      <c r="F627" s="25" t="s">
        <v>179</v>
      </c>
      <c r="G627" s="17" t="n">
        <v>1.99</v>
      </c>
      <c r="H627" s="17" t="n">
        <v>1.99</v>
      </c>
      <c r="I627" s="62" t="n">
        <f aca="false">IF(OR(E627="",G627=""),"",ROUND(E627*G627,2))</f>
        <v>1.99</v>
      </c>
      <c r="J627" s="25" t="str">
        <f aca="false">IF(OR(H627="",I627=""),"",IF(ABS(H627-I627)&lt;=0.02,"OK","≠"))</f>
        <v>OK</v>
      </c>
      <c r="K627" s="16"/>
      <c r="L627" s="1"/>
    </row>
    <row r="628" customFormat="false" ht="15" hidden="false" customHeight="false" outlineLevel="0" collapsed="false">
      <c r="A628" s="1"/>
      <c r="B628" s="32" t="s">
        <v>608</v>
      </c>
      <c r="C628" s="19" t="s">
        <v>386</v>
      </c>
      <c r="D628" s="19" t="s">
        <v>13</v>
      </c>
      <c r="E628" s="65" t="n">
        <v>1</v>
      </c>
      <c r="F628" s="27" t="s">
        <v>179</v>
      </c>
      <c r="G628" s="20" t="n">
        <v>1.99</v>
      </c>
      <c r="H628" s="20" t="n">
        <v>1.99</v>
      </c>
      <c r="I628" s="62" t="n">
        <f aca="false">IF(OR(E628="",G628=""),"",ROUND(E628*G628,2))</f>
        <v>1.99</v>
      </c>
      <c r="J628" s="25" t="str">
        <f aca="false">IF(OR(H628="",I628=""),"",IF(ABS(H628-I628)&lt;=0.02,"OK","≠"))</f>
        <v>OK</v>
      </c>
      <c r="K628" s="16"/>
      <c r="L628" s="1"/>
    </row>
    <row r="629" customFormat="false" ht="15" hidden="false" customHeight="false" outlineLevel="0" collapsed="false">
      <c r="A629" s="1"/>
      <c r="B629" s="30" t="s">
        <v>445</v>
      </c>
      <c r="C629" s="16" t="s">
        <v>446</v>
      </c>
      <c r="D629" s="16" t="s">
        <v>12</v>
      </c>
      <c r="E629" s="64" t="n">
        <v>1</v>
      </c>
      <c r="F629" s="25" t="s">
        <v>179</v>
      </c>
      <c r="G629" s="17" t="n">
        <v>11.99</v>
      </c>
      <c r="H629" s="17" t="n">
        <v>11.99</v>
      </c>
      <c r="I629" s="62" t="n">
        <f aca="false">IF(OR(E629="",G629=""),"",ROUND(E629*G629,2))</f>
        <v>11.99</v>
      </c>
      <c r="J629" s="25" t="str">
        <f aca="false">IF(OR(H629="",I629=""),"",IF(ABS(H629-I629)&lt;=0.02,"OK","≠"))</f>
        <v>OK</v>
      </c>
      <c r="K629" s="16"/>
      <c r="L629" s="1"/>
    </row>
    <row r="630" customFormat="false" ht="15" hidden="false" customHeight="false" outlineLevel="0" collapsed="false">
      <c r="A630" s="1"/>
      <c r="B630" s="32" t="s">
        <v>445</v>
      </c>
      <c r="C630" s="19" t="s">
        <v>446</v>
      </c>
      <c r="D630" s="19" t="s">
        <v>12</v>
      </c>
      <c r="E630" s="65" t="n">
        <v>1</v>
      </c>
      <c r="F630" s="27" t="s">
        <v>179</v>
      </c>
      <c r="G630" s="20" t="n">
        <v>11.99</v>
      </c>
      <c r="H630" s="20" t="n">
        <v>11.99</v>
      </c>
      <c r="I630" s="62" t="n">
        <f aca="false">IF(OR(E630="",G630=""),"",ROUND(E630*G630,2))</f>
        <v>11.99</v>
      </c>
      <c r="J630" s="25" t="str">
        <f aca="false">IF(OR(H630="",I630=""),"",IF(ABS(H630-I630)&lt;=0.02,"OK","≠"))</f>
        <v>OK</v>
      </c>
      <c r="K630" s="16"/>
      <c r="L630" s="1"/>
    </row>
    <row r="631" customFormat="false" ht="15" hidden="false" customHeight="false" outlineLevel="0" collapsed="false">
      <c r="A631" s="1"/>
      <c r="B631" s="30" t="s">
        <v>609</v>
      </c>
      <c r="C631" s="16" t="s">
        <v>610</v>
      </c>
      <c r="D631" s="16" t="s">
        <v>12</v>
      </c>
      <c r="E631" s="64" t="n">
        <v>1</v>
      </c>
      <c r="F631" s="25" t="s">
        <v>179</v>
      </c>
      <c r="G631" s="17" t="n">
        <v>11.95</v>
      </c>
      <c r="H631" s="17" t="n">
        <v>11.95</v>
      </c>
      <c r="I631" s="62" t="n">
        <f aca="false">IF(OR(E631="",G631=""),"",ROUND(E631*G631,2))</f>
        <v>11.95</v>
      </c>
      <c r="J631" s="25" t="str">
        <f aca="false">IF(OR(H631="",I631=""),"",IF(ABS(H631-I631)&lt;=0.02,"OK","≠"))</f>
        <v>OK</v>
      </c>
      <c r="K631" s="16"/>
      <c r="L631" s="1"/>
    </row>
    <row r="632" customFormat="false" ht="15" hidden="false" customHeight="false" outlineLevel="0" collapsed="false">
      <c r="A632" s="1"/>
      <c r="B632" s="32" t="s">
        <v>609</v>
      </c>
      <c r="C632" s="19" t="s">
        <v>610</v>
      </c>
      <c r="D632" s="19" t="s">
        <v>12</v>
      </c>
      <c r="E632" s="65" t="n">
        <v>1</v>
      </c>
      <c r="F632" s="27" t="s">
        <v>179</v>
      </c>
      <c r="G632" s="20" t="n">
        <v>11.95</v>
      </c>
      <c r="H632" s="20" t="n">
        <v>11.95</v>
      </c>
      <c r="I632" s="62" t="n">
        <f aca="false">IF(OR(E632="",G632=""),"",ROUND(E632*G632,2))</f>
        <v>11.95</v>
      </c>
      <c r="J632" s="25" t="str">
        <f aca="false">IF(OR(H632="",I632=""),"",IF(ABS(H632-I632)&lt;=0.02,"OK","≠"))</f>
        <v>OK</v>
      </c>
      <c r="K632" s="16"/>
      <c r="L632" s="1"/>
    </row>
    <row r="633" customFormat="false" ht="15" hidden="false" customHeight="false" outlineLevel="0" collapsed="false">
      <c r="A633" s="1"/>
      <c r="B633" s="30" t="s">
        <v>611</v>
      </c>
      <c r="C633" s="16" t="s">
        <v>612</v>
      </c>
      <c r="D633" s="16" t="s">
        <v>12</v>
      </c>
      <c r="E633" s="64" t="n">
        <v>1</v>
      </c>
      <c r="F633" s="25" t="s">
        <v>179</v>
      </c>
      <c r="G633" s="17" t="n">
        <v>14.99</v>
      </c>
      <c r="H633" s="17" t="n">
        <v>14.99</v>
      </c>
      <c r="I633" s="62" t="n">
        <f aca="false">IF(OR(E633="",G633=""),"",ROUND(E633*G633,2))</f>
        <v>14.99</v>
      </c>
      <c r="J633" s="25" t="str">
        <f aca="false">IF(OR(H633="",I633=""),"",IF(ABS(H633-I633)&lt;=0.02,"OK","≠"))</f>
        <v>OK</v>
      </c>
      <c r="K633" s="16"/>
      <c r="L633" s="1"/>
    </row>
    <row r="634" customFormat="false" ht="15" hidden="false" customHeight="false" outlineLevel="0" collapsed="false">
      <c r="A634" s="1"/>
      <c r="B634" s="32" t="s">
        <v>613</v>
      </c>
      <c r="C634" s="19" t="s">
        <v>614</v>
      </c>
      <c r="D634" s="19" t="s">
        <v>12</v>
      </c>
      <c r="E634" s="65" t="n">
        <v>1</v>
      </c>
      <c r="F634" s="27" t="s">
        <v>179</v>
      </c>
      <c r="G634" s="20" t="n">
        <v>5.49</v>
      </c>
      <c r="H634" s="20" t="n">
        <v>5.49</v>
      </c>
      <c r="I634" s="62" t="n">
        <f aca="false">IF(OR(E634="",G634=""),"",ROUND(E634*G634,2))</f>
        <v>5.49</v>
      </c>
      <c r="J634" s="25" t="str">
        <f aca="false">IF(OR(H634="",I634=""),"",IF(ABS(H634-I634)&lt;=0.02,"OK","≠"))</f>
        <v>OK</v>
      </c>
      <c r="K634" s="16"/>
      <c r="L634" s="1"/>
    </row>
    <row r="635" customFormat="false" ht="15" hidden="false" customHeight="false" outlineLevel="0" collapsed="false">
      <c r="A635" s="1"/>
      <c r="B635" s="30" t="s">
        <v>184</v>
      </c>
      <c r="C635" s="16" t="s">
        <v>615</v>
      </c>
      <c r="D635" s="16" t="s">
        <v>12</v>
      </c>
      <c r="E635" s="64" t="n">
        <v>1</v>
      </c>
      <c r="F635" s="25" t="s">
        <v>179</v>
      </c>
      <c r="G635" s="17" t="n">
        <v>27</v>
      </c>
      <c r="H635" s="17" t="n">
        <v>27</v>
      </c>
      <c r="I635" s="62" t="n">
        <f aca="false">IF(OR(E635="",G635=""),"",ROUND(E635*G635,2))</f>
        <v>27</v>
      </c>
      <c r="J635" s="25" t="str">
        <f aca="false">IF(OR(H635="",I635=""),"",IF(ABS(H635-I635)&lt;=0.02,"OK","≠"))</f>
        <v>OK</v>
      </c>
      <c r="K635" s="16"/>
      <c r="L635" s="1"/>
    </row>
    <row r="636" customFormat="false" ht="15" hidden="false" customHeight="false" outlineLevel="0" collapsed="false">
      <c r="A636" s="1"/>
      <c r="B636" s="32" t="s">
        <v>198</v>
      </c>
      <c r="C636" s="19" t="s">
        <v>242</v>
      </c>
      <c r="D636" s="19" t="s">
        <v>12</v>
      </c>
      <c r="E636" s="65" t="n">
        <v>1</v>
      </c>
      <c r="F636" s="27" t="s">
        <v>179</v>
      </c>
      <c r="G636" s="20" t="n">
        <v>3.7</v>
      </c>
      <c r="H636" s="20" t="n">
        <v>3.7</v>
      </c>
      <c r="I636" s="62" t="n">
        <f aca="false">IF(OR(E636="",G636=""),"",ROUND(E636*G636,2))</f>
        <v>3.7</v>
      </c>
      <c r="J636" s="25" t="str">
        <f aca="false">IF(OR(H636="",I636=""),"",IF(ABS(H636-I636)&lt;=0.02,"OK","≠"))</f>
        <v>OK</v>
      </c>
      <c r="K636" s="16"/>
      <c r="L636" s="1"/>
    </row>
    <row r="637" customFormat="false" ht="15" hidden="false" customHeight="false" outlineLevel="0" collapsed="false">
      <c r="A637" s="1"/>
      <c r="B637" s="30" t="s">
        <v>198</v>
      </c>
      <c r="C637" s="16" t="s">
        <v>242</v>
      </c>
      <c r="D637" s="16" t="s">
        <v>12</v>
      </c>
      <c r="E637" s="64" t="n">
        <v>1</v>
      </c>
      <c r="F637" s="25" t="s">
        <v>179</v>
      </c>
      <c r="G637" s="17" t="n">
        <v>3.7</v>
      </c>
      <c r="H637" s="17" t="n">
        <v>3.7</v>
      </c>
      <c r="I637" s="62" t="n">
        <f aca="false">IF(OR(E637="",G637=""),"",ROUND(E637*G637,2))</f>
        <v>3.7</v>
      </c>
      <c r="J637" s="25" t="str">
        <f aca="false">IF(OR(H637="",I637=""),"",IF(ABS(H637-I637)&lt;=0.02,"OK","≠"))</f>
        <v>OK</v>
      </c>
      <c r="K637" s="16"/>
      <c r="L637" s="1"/>
    </row>
    <row r="638" customFormat="false" ht="15" hidden="false" customHeight="false" outlineLevel="0" collapsed="false">
      <c r="A638" s="1"/>
      <c r="B638" s="32" t="s">
        <v>616</v>
      </c>
      <c r="C638" s="19" t="s">
        <v>617</v>
      </c>
      <c r="D638" s="19" t="s">
        <v>12</v>
      </c>
      <c r="E638" s="65" t="n">
        <v>1</v>
      </c>
      <c r="F638" s="27" t="s">
        <v>179</v>
      </c>
      <c r="G638" s="20" t="n">
        <v>4.65</v>
      </c>
      <c r="H638" s="20" t="n">
        <v>4.65</v>
      </c>
      <c r="I638" s="62" t="n">
        <f aca="false">IF(OR(E638="",G638=""),"",ROUND(E638*G638,2))</f>
        <v>4.65</v>
      </c>
      <c r="J638" s="25" t="str">
        <f aca="false">IF(OR(H638="",I638=""),"",IF(ABS(H638-I638)&lt;=0.02,"OK","≠"))</f>
        <v>OK</v>
      </c>
      <c r="K638" s="16"/>
      <c r="L638" s="1"/>
    </row>
    <row r="639" customFormat="false" ht="15" hidden="false" customHeight="false" outlineLevel="0" collapsed="false">
      <c r="A639" s="1"/>
      <c r="B639" s="30" t="s">
        <v>616</v>
      </c>
      <c r="C639" s="16" t="s">
        <v>617</v>
      </c>
      <c r="D639" s="16" t="s">
        <v>12</v>
      </c>
      <c r="E639" s="64" t="n">
        <v>1</v>
      </c>
      <c r="F639" s="25" t="s">
        <v>179</v>
      </c>
      <c r="G639" s="17" t="n">
        <v>4.65</v>
      </c>
      <c r="H639" s="17" t="n">
        <v>4.65</v>
      </c>
      <c r="I639" s="62" t="n">
        <f aca="false">IF(OR(E639="",G639=""),"",ROUND(E639*G639,2))</f>
        <v>4.65</v>
      </c>
      <c r="J639" s="25" t="str">
        <f aca="false">IF(OR(H639="",I639=""),"",IF(ABS(H639-I639)&lt;=0.02,"OK","≠"))</f>
        <v>OK</v>
      </c>
      <c r="K639" s="16"/>
      <c r="L639" s="1"/>
    </row>
    <row r="640" customFormat="false" ht="15" hidden="false" customHeight="false" outlineLevel="0" collapsed="false">
      <c r="A640" s="1"/>
      <c r="B640" s="32" t="s">
        <v>240</v>
      </c>
      <c r="C640" s="19" t="s">
        <v>241</v>
      </c>
      <c r="D640" s="19" t="s">
        <v>12</v>
      </c>
      <c r="E640" s="65" t="n">
        <v>1</v>
      </c>
      <c r="F640" s="27" t="s">
        <v>179</v>
      </c>
      <c r="G640" s="20" t="n">
        <v>1.8</v>
      </c>
      <c r="H640" s="20" t="n">
        <v>1.8</v>
      </c>
      <c r="I640" s="62" t="n">
        <f aca="false">IF(OR(E640="",G640=""),"",ROUND(E640*G640,2))</f>
        <v>1.8</v>
      </c>
      <c r="J640" s="25" t="str">
        <f aca="false">IF(OR(H640="",I640=""),"",IF(ABS(H640-I640)&lt;=0.02,"OK","≠"))</f>
        <v>OK</v>
      </c>
      <c r="K640" s="16"/>
      <c r="L640" s="1"/>
    </row>
    <row r="641" customFormat="false" ht="15" hidden="false" customHeight="false" outlineLevel="0" collapsed="false">
      <c r="A641" s="1"/>
      <c r="B641" s="30" t="s">
        <v>240</v>
      </c>
      <c r="C641" s="16" t="s">
        <v>241</v>
      </c>
      <c r="D641" s="16" t="s">
        <v>12</v>
      </c>
      <c r="E641" s="64" t="n">
        <v>1</v>
      </c>
      <c r="F641" s="25" t="s">
        <v>179</v>
      </c>
      <c r="G641" s="17" t="n">
        <v>1.8</v>
      </c>
      <c r="H641" s="17" t="n">
        <v>1.8</v>
      </c>
      <c r="I641" s="62" t="n">
        <f aca="false">IF(OR(E641="",G641=""),"",ROUND(E641*G641,2))</f>
        <v>1.8</v>
      </c>
      <c r="J641" s="25" t="str">
        <f aca="false">IF(OR(H641="",I641=""),"",IF(ABS(H641-I641)&lt;=0.02,"OK","≠"))</f>
        <v>OK</v>
      </c>
      <c r="K641" s="16"/>
      <c r="L641" s="1"/>
    </row>
    <row r="642" customFormat="false" ht="15" hidden="false" customHeight="false" outlineLevel="0" collapsed="false">
      <c r="A642" s="1"/>
      <c r="B642" s="32" t="s">
        <v>240</v>
      </c>
      <c r="C642" s="19" t="s">
        <v>241</v>
      </c>
      <c r="D642" s="19" t="s">
        <v>12</v>
      </c>
      <c r="E642" s="65" t="n">
        <v>1</v>
      </c>
      <c r="F642" s="27" t="s">
        <v>179</v>
      </c>
      <c r="G642" s="20" t="n">
        <v>1.8</v>
      </c>
      <c r="H642" s="20" t="n">
        <v>1.8</v>
      </c>
      <c r="I642" s="62" t="n">
        <f aca="false">IF(OR(E642="",G642=""),"",ROUND(E642*G642,2))</f>
        <v>1.8</v>
      </c>
      <c r="J642" s="25" t="str">
        <f aca="false">IF(OR(H642="",I642=""),"",IF(ABS(H642-I642)&lt;=0.02,"OK","≠"))</f>
        <v>OK</v>
      </c>
      <c r="K642" s="16"/>
      <c r="L642" s="1"/>
    </row>
    <row r="643" customFormat="false" ht="15" hidden="false" customHeight="false" outlineLevel="0" collapsed="false">
      <c r="A643" s="1"/>
      <c r="B643" s="30" t="s">
        <v>251</v>
      </c>
      <c r="C643" s="16" t="s">
        <v>252</v>
      </c>
      <c r="D643" s="16" t="s">
        <v>14</v>
      </c>
      <c r="E643" s="64" t="n">
        <v>0.196</v>
      </c>
      <c r="F643" s="25" t="s">
        <v>176</v>
      </c>
      <c r="G643" s="17" t="n">
        <v>45</v>
      </c>
      <c r="H643" s="17" t="n">
        <v>8.82</v>
      </c>
      <c r="I643" s="62" t="n">
        <f aca="false">IF(OR(E643="",G643=""),"",ROUND(E643*G643,2))</f>
        <v>8.82</v>
      </c>
      <c r="J643" s="25" t="str">
        <f aca="false">IF(OR(H643="",I643=""),"",IF(ABS(H643-I643)&lt;=0.02,"OK","≠"))</f>
        <v>OK</v>
      </c>
      <c r="K643" s="16"/>
      <c r="L643" s="1"/>
    </row>
    <row r="644" customFormat="false" ht="15" hidden="false" customHeight="false" outlineLevel="0" collapsed="false">
      <c r="A644" s="1"/>
      <c r="B644" s="32" t="s">
        <v>618</v>
      </c>
      <c r="C644" s="19" t="s">
        <v>617</v>
      </c>
      <c r="D644" s="19" t="s">
        <v>12</v>
      </c>
      <c r="E644" s="65" t="n">
        <v>1</v>
      </c>
      <c r="F644" s="27" t="s">
        <v>179</v>
      </c>
      <c r="G644" s="20" t="n">
        <v>25.9</v>
      </c>
      <c r="H644" s="20" t="n">
        <v>25.9</v>
      </c>
      <c r="I644" s="62" t="n">
        <f aca="false">IF(OR(E644="",G644=""),"",ROUND(E644*G644,2))</f>
        <v>25.9</v>
      </c>
      <c r="J644" s="25" t="str">
        <f aca="false">IF(OR(H644="",I644=""),"",IF(ABS(H644-I644)&lt;=0.02,"OK","≠"))</f>
        <v>OK</v>
      </c>
      <c r="K644" s="16"/>
      <c r="L644" s="1"/>
    </row>
    <row r="645" customFormat="false" ht="15" hidden="false" customHeight="false" outlineLevel="0" collapsed="false">
      <c r="A645" s="1"/>
      <c r="B645" s="30" t="s">
        <v>196</v>
      </c>
      <c r="C645" s="16" t="s">
        <v>398</v>
      </c>
      <c r="D645" s="16" t="s">
        <v>14</v>
      </c>
      <c r="E645" s="64" t="n">
        <v>0.508</v>
      </c>
      <c r="F645" s="25" t="s">
        <v>176</v>
      </c>
      <c r="G645" s="17" t="n">
        <v>14.9</v>
      </c>
      <c r="H645" s="17" t="n">
        <v>7.57</v>
      </c>
      <c r="I645" s="62" t="n">
        <f aca="false">IF(OR(E645="",G645=""),"",ROUND(E645*G645,2))</f>
        <v>7.57</v>
      </c>
      <c r="J645" s="25" t="str">
        <f aca="false">IF(OR(H645="",I645=""),"",IF(ABS(H645-I645)&lt;=0.02,"OK","≠"))</f>
        <v>OK</v>
      </c>
      <c r="K645" s="16"/>
      <c r="L645" s="1"/>
    </row>
    <row r="646" customFormat="false" ht="15" hidden="false" customHeight="false" outlineLevel="0" collapsed="false">
      <c r="A646" s="1"/>
      <c r="B646" s="32" t="s">
        <v>619</v>
      </c>
      <c r="C646" s="19" t="s">
        <v>620</v>
      </c>
      <c r="D646" s="19" t="s">
        <v>14</v>
      </c>
      <c r="E646" s="65" t="n">
        <v>1</v>
      </c>
      <c r="F646" s="27" t="s">
        <v>179</v>
      </c>
      <c r="G646" s="20" t="n">
        <v>1.69</v>
      </c>
      <c r="H646" s="20" t="n">
        <v>1.69</v>
      </c>
      <c r="I646" s="62" t="n">
        <f aca="false">IF(OR(E646="",G646=""),"",ROUND(E646*G646,2))</f>
        <v>1.69</v>
      </c>
      <c r="J646" s="25" t="str">
        <f aca="false">IF(OR(H646="",I646=""),"",IF(ABS(H646-I646)&lt;=0.02,"OK","≠"))</f>
        <v>OK</v>
      </c>
      <c r="K646" s="16"/>
      <c r="L646" s="1"/>
    </row>
    <row r="647" customFormat="false" ht="15" hidden="false" customHeight="false" outlineLevel="0" collapsed="false">
      <c r="A647" s="1"/>
      <c r="B647" s="30" t="s">
        <v>619</v>
      </c>
      <c r="C647" s="16" t="s">
        <v>620</v>
      </c>
      <c r="D647" s="16" t="s">
        <v>14</v>
      </c>
      <c r="E647" s="64" t="n">
        <v>1</v>
      </c>
      <c r="F647" s="25" t="s">
        <v>179</v>
      </c>
      <c r="G647" s="17" t="n">
        <v>1.69</v>
      </c>
      <c r="H647" s="17" t="n">
        <v>1.69</v>
      </c>
      <c r="I647" s="62" t="n">
        <f aca="false">IF(OR(E647="",G647=""),"",ROUND(E647*G647,2))</f>
        <v>1.69</v>
      </c>
      <c r="J647" s="25" t="str">
        <f aca="false">IF(OR(H647="",I647=""),"",IF(ABS(H647-I647)&lt;=0.02,"OK","≠"))</f>
        <v>OK</v>
      </c>
      <c r="K647" s="16"/>
      <c r="L647" s="1"/>
    </row>
    <row r="648" customFormat="false" ht="15" hidden="false" customHeight="false" outlineLevel="0" collapsed="false">
      <c r="A648" s="1"/>
      <c r="B648" s="32" t="s">
        <v>619</v>
      </c>
      <c r="C648" s="19" t="s">
        <v>620</v>
      </c>
      <c r="D648" s="19" t="s">
        <v>14</v>
      </c>
      <c r="E648" s="65" t="n">
        <v>1</v>
      </c>
      <c r="F648" s="27" t="s">
        <v>179</v>
      </c>
      <c r="G648" s="20" t="n">
        <v>1.69</v>
      </c>
      <c r="H648" s="20" t="n">
        <v>1.69</v>
      </c>
      <c r="I648" s="62" t="n">
        <f aca="false">IF(OR(E648="",G648=""),"",ROUND(E648*G648,2))</f>
        <v>1.69</v>
      </c>
      <c r="J648" s="25" t="str">
        <f aca="false">IF(OR(H648="",I648=""),"",IF(ABS(H648-I648)&lt;=0.02,"OK","≠"))</f>
        <v>OK</v>
      </c>
      <c r="K648" s="16"/>
      <c r="L648" s="1"/>
    </row>
    <row r="649" customFormat="false" ht="15" hidden="false" customHeight="false" outlineLevel="0" collapsed="false">
      <c r="A649" s="1"/>
      <c r="B649" s="30" t="s">
        <v>619</v>
      </c>
      <c r="C649" s="16" t="s">
        <v>620</v>
      </c>
      <c r="D649" s="16" t="s">
        <v>14</v>
      </c>
      <c r="E649" s="64" t="n">
        <v>1</v>
      </c>
      <c r="F649" s="25" t="s">
        <v>179</v>
      </c>
      <c r="G649" s="17" t="n">
        <v>1.69</v>
      </c>
      <c r="H649" s="17" t="n">
        <v>1.69</v>
      </c>
      <c r="I649" s="62" t="n">
        <f aca="false">IF(OR(E649="",G649=""),"",ROUND(E649*G649,2))</f>
        <v>1.69</v>
      </c>
      <c r="J649" s="25" t="str">
        <f aca="false">IF(OR(H649="",I649=""),"",IF(ABS(H649-I649)&lt;=0.02,"OK","≠"))</f>
        <v>OK</v>
      </c>
      <c r="K649" s="16"/>
      <c r="L649" s="1"/>
    </row>
    <row r="650" customFormat="false" ht="15" hidden="false" customHeight="false" outlineLevel="0" collapsed="false">
      <c r="A650" s="1"/>
      <c r="B650" s="32" t="s">
        <v>206</v>
      </c>
      <c r="C650" s="19" t="s">
        <v>393</v>
      </c>
      <c r="D650" s="19" t="s">
        <v>14</v>
      </c>
      <c r="E650" s="65" t="n">
        <v>1</v>
      </c>
      <c r="F650" s="27" t="s">
        <v>179</v>
      </c>
      <c r="G650" s="20" t="n">
        <v>5.59</v>
      </c>
      <c r="H650" s="20" t="n">
        <v>5.59</v>
      </c>
      <c r="I650" s="62" t="n">
        <f aca="false">IF(OR(E650="",G650=""),"",ROUND(E650*G650,2))</f>
        <v>5.59</v>
      </c>
      <c r="J650" s="25" t="str">
        <f aca="false">IF(OR(H650="",I650=""),"",IF(ABS(H650-I650)&lt;=0.02,"OK","≠"))</f>
        <v>OK</v>
      </c>
      <c r="K650" s="16"/>
      <c r="L650" s="1"/>
    </row>
    <row r="651" customFormat="false" ht="15" hidden="false" customHeight="false" outlineLevel="0" collapsed="false">
      <c r="A651" s="1"/>
      <c r="B651" s="30" t="s">
        <v>391</v>
      </c>
      <c r="C651" s="16" t="s">
        <v>392</v>
      </c>
      <c r="D651" s="16" t="s">
        <v>14</v>
      </c>
      <c r="E651" s="64" t="n">
        <v>1</v>
      </c>
      <c r="F651" s="25" t="s">
        <v>179</v>
      </c>
      <c r="G651" s="17" t="n">
        <v>5.99</v>
      </c>
      <c r="H651" s="17" t="n">
        <v>5.99</v>
      </c>
      <c r="I651" s="62" t="n">
        <f aca="false">IF(OR(E651="",G651=""),"",ROUND(E651*G651,2))</f>
        <v>5.99</v>
      </c>
      <c r="J651" s="25" t="str">
        <f aca="false">IF(OR(H651="",I651=""),"",IF(ABS(H651-I651)&lt;=0.02,"OK","≠"))</f>
        <v>OK</v>
      </c>
      <c r="K651" s="16"/>
      <c r="L651" s="1"/>
    </row>
    <row r="652" customFormat="false" ht="15" hidden="false" customHeight="false" outlineLevel="0" collapsed="false">
      <c r="A652" s="1"/>
      <c r="B652" s="1"/>
      <c r="C652" s="1"/>
      <c r="D652" s="1"/>
      <c r="E652" s="1"/>
      <c r="F652" s="1"/>
      <c r="G652" s="1"/>
      <c r="H652" s="1"/>
      <c r="I652" s="1"/>
      <c r="J652" s="1"/>
      <c r="K652" s="1"/>
      <c r="L652" s="1"/>
    </row>
    <row r="653" customFormat="false" ht="19.5" hidden="false" customHeight="true" outlineLevel="0" collapsed="false">
      <c r="A653" s="1"/>
      <c r="B653" s="63" t="s">
        <v>621</v>
      </c>
      <c r="C653" s="63"/>
      <c r="D653" s="63"/>
      <c r="E653" s="63"/>
      <c r="F653" s="63"/>
      <c r="G653" s="63"/>
      <c r="H653" s="63"/>
      <c r="I653" s="63"/>
      <c r="J653" s="63"/>
      <c r="K653" s="63"/>
      <c r="L653" s="1"/>
    </row>
    <row r="654" customFormat="false" ht="15" hidden="false" customHeight="false" outlineLevel="0" collapsed="false">
      <c r="A654" s="1"/>
      <c r="B654" s="50" t="s">
        <v>34</v>
      </c>
      <c r="C654" s="45" t="s">
        <v>37</v>
      </c>
      <c r="D654" s="45"/>
      <c r="E654" s="50" t="s">
        <v>157</v>
      </c>
      <c r="F654" s="50"/>
      <c r="G654" s="45" t="s">
        <v>622</v>
      </c>
      <c r="H654" s="45"/>
      <c r="I654" s="45"/>
      <c r="J654" s="45"/>
      <c r="K654" s="45"/>
      <c r="L654" s="1"/>
    </row>
    <row r="655" customFormat="false" ht="15" hidden="false" customHeight="false" outlineLevel="0" collapsed="false">
      <c r="A655" s="1"/>
      <c r="B655" s="50" t="s">
        <v>78</v>
      </c>
      <c r="C655" s="39" t="n">
        <v>46177</v>
      </c>
      <c r="D655" s="39"/>
      <c r="E655" s="50" t="s">
        <v>80</v>
      </c>
      <c r="F655" s="50"/>
      <c r="G655" s="45" t="s">
        <v>173</v>
      </c>
      <c r="H655" s="45"/>
      <c r="I655" s="45"/>
      <c r="J655" s="45"/>
      <c r="K655" s="45"/>
      <c r="L655" s="1"/>
    </row>
    <row r="656" customFormat="false" ht="15" hidden="false" customHeight="false" outlineLevel="0" collapsed="false">
      <c r="A656" s="1"/>
      <c r="B656" s="50" t="s">
        <v>158</v>
      </c>
      <c r="C656" s="55" t="n">
        <v>5</v>
      </c>
      <c r="D656" s="55"/>
      <c r="E656" s="50" t="s">
        <v>159</v>
      </c>
      <c r="F656" s="50"/>
      <c r="G656" s="56" t="n">
        <v>26.73</v>
      </c>
      <c r="H656" s="56"/>
      <c r="I656" s="56"/>
      <c r="J656" s="56"/>
      <c r="K656" s="56"/>
      <c r="L656" s="1"/>
    </row>
    <row r="657" customFormat="false" ht="15" hidden="false" customHeight="false" outlineLevel="0" collapsed="false">
      <c r="A657" s="1"/>
      <c r="B657" s="50" t="s">
        <v>160</v>
      </c>
      <c r="C657" s="55" t="n">
        <f aca="false">COUNT(H661:H665)</f>
        <v>5</v>
      </c>
      <c r="D657" s="55"/>
      <c r="E657" s="50" t="s">
        <v>161</v>
      </c>
      <c r="F657" s="50"/>
      <c r="G657" s="56" t="n">
        <f aca="false">ROUND(SUM(H661:H665),2)</f>
        <v>26.73</v>
      </c>
      <c r="H657" s="56"/>
      <c r="I657" s="56"/>
      <c r="J657" s="56"/>
      <c r="K657" s="56"/>
      <c r="L657" s="1"/>
    </row>
    <row r="658" customFormat="false" ht="15" hidden="false" customHeight="false" outlineLevel="0" collapsed="false">
      <c r="A658" s="1"/>
      <c r="B658" s="50" t="s">
        <v>162</v>
      </c>
      <c r="C658" s="55" t="n">
        <f aca="false">ROUND(SUMPRODUCT(((F661:F665="KG")+(F661:F665="G"))*1)+SUMPRODUCT((F661:F665&lt;&gt;"KG")*(F661:F665&lt;&gt;"G")*E661:E665),0)</f>
        <v>5</v>
      </c>
      <c r="D658" s="55"/>
      <c r="E658" s="50" t="s">
        <v>163</v>
      </c>
      <c r="F658" s="50"/>
      <c r="G658" s="56" t="n">
        <f aca="false">IF(G656="","",ROUND(G656-G657,2))</f>
        <v>0</v>
      </c>
      <c r="H658" s="56"/>
      <c r="I658" s="56"/>
      <c r="J658" s="56"/>
      <c r="K658" s="56"/>
      <c r="L658" s="1"/>
    </row>
    <row r="659" customFormat="false" ht="15" hidden="false" customHeight="false" outlineLevel="0" collapsed="false">
      <c r="A659" s="1"/>
      <c r="B659" s="50" t="s">
        <v>84</v>
      </c>
      <c r="C659" s="57" t="str">
        <f aca="false">IF(C657=0,"— aguardando lançamento",IF(G656="","SEM TOTAL OFICIAL — informe o total do cupom",IF(AND(OR(C656="",C656=C657,C656=C658),ABS(G658)&lt;=0.05),"FECHADO — itens e valor conferem",IF(ABS(G658)&lt;=0.05,"REVISAR — qtd. de itens não bate","REVISAR — diferença de R$ "&amp;ABS(G658)))))</f>
        <v>FECHADO — itens e valor conferem</v>
      </c>
      <c r="D659" s="57"/>
      <c r="E659" s="57"/>
      <c r="F659" s="57"/>
      <c r="G659" s="50" t="s">
        <v>164</v>
      </c>
      <c r="H659" s="30" t="s">
        <v>455</v>
      </c>
      <c r="I659" s="30"/>
      <c r="J659" s="30"/>
      <c r="K659" s="30"/>
      <c r="L659" s="1"/>
    </row>
    <row r="660" customFormat="false" ht="15" hidden="false" customHeight="false" outlineLevel="0" collapsed="false">
      <c r="A660" s="1"/>
      <c r="B660" s="15" t="s">
        <v>165</v>
      </c>
      <c r="C660" s="15" t="s">
        <v>52</v>
      </c>
      <c r="D660" s="15" t="s">
        <v>9</v>
      </c>
      <c r="E660" s="15" t="s">
        <v>166</v>
      </c>
      <c r="F660" s="15" t="s">
        <v>167</v>
      </c>
      <c r="G660" s="15" t="s">
        <v>168</v>
      </c>
      <c r="H660" s="15" t="s">
        <v>10</v>
      </c>
      <c r="I660" s="15" t="s">
        <v>169</v>
      </c>
      <c r="J660" s="15" t="s">
        <v>170</v>
      </c>
      <c r="K660" s="15"/>
      <c r="L660" s="1"/>
    </row>
    <row r="661" customFormat="false" ht="15" hidden="false" customHeight="false" outlineLevel="0" collapsed="false">
      <c r="A661" s="1"/>
      <c r="B661" s="30" t="s">
        <v>623</v>
      </c>
      <c r="C661" s="16" t="s">
        <v>624</v>
      </c>
      <c r="D661" s="16" t="s">
        <v>14</v>
      </c>
      <c r="E661" s="64" t="n">
        <v>0.14</v>
      </c>
      <c r="F661" s="25" t="s">
        <v>176</v>
      </c>
      <c r="G661" s="17" t="n">
        <v>29.9</v>
      </c>
      <c r="H661" s="17" t="n">
        <v>4.19</v>
      </c>
      <c r="I661" s="62" t="n">
        <f aca="false">IF(OR(E661="",G661=""),"",ROUND(E661*G661,2))</f>
        <v>4.19</v>
      </c>
      <c r="J661" s="25" t="str">
        <f aca="false">IF(OR(H661="",I661=""),"",IF(ABS(H661-I661)&lt;=0.02,"OK","≠"))</f>
        <v>OK</v>
      </c>
      <c r="K661" s="16"/>
      <c r="L661" s="1"/>
    </row>
    <row r="662" customFormat="false" ht="15" hidden="false" customHeight="false" outlineLevel="0" collapsed="false">
      <c r="A662" s="1"/>
      <c r="B662" s="32" t="s">
        <v>458</v>
      </c>
      <c r="C662" s="19" t="s">
        <v>398</v>
      </c>
      <c r="D662" s="19" t="s">
        <v>14</v>
      </c>
      <c r="E662" s="65" t="n">
        <v>0.54</v>
      </c>
      <c r="F662" s="27" t="s">
        <v>176</v>
      </c>
      <c r="G662" s="20" t="n">
        <v>17.9</v>
      </c>
      <c r="H662" s="20" t="n">
        <v>9.67</v>
      </c>
      <c r="I662" s="62" t="n">
        <f aca="false">IF(OR(E662="",G662=""),"",ROUND(E662*G662,2))</f>
        <v>9.67</v>
      </c>
      <c r="J662" s="25" t="str">
        <f aca="false">IF(OR(H662="",I662=""),"",IF(ABS(H662-I662)&lt;=0.02,"OK","≠"))</f>
        <v>OK</v>
      </c>
      <c r="K662" s="16"/>
      <c r="L662" s="1"/>
    </row>
    <row r="663" customFormat="false" ht="15" hidden="false" customHeight="false" outlineLevel="0" collapsed="false">
      <c r="A663" s="1"/>
      <c r="B663" s="30" t="s">
        <v>625</v>
      </c>
      <c r="C663" s="16" t="s">
        <v>284</v>
      </c>
      <c r="D663" s="16" t="s">
        <v>15</v>
      </c>
      <c r="E663" s="64" t="n">
        <v>1.74</v>
      </c>
      <c r="F663" s="25" t="s">
        <v>176</v>
      </c>
      <c r="G663" s="17" t="n">
        <v>3.98</v>
      </c>
      <c r="H663" s="17" t="n">
        <v>6.93</v>
      </c>
      <c r="I663" s="62" t="n">
        <f aca="false">IF(OR(E663="",G663=""),"",ROUND(E663*G663,2))</f>
        <v>6.93</v>
      </c>
      <c r="J663" s="25" t="str">
        <f aca="false">IF(OR(H663="",I663=""),"",IF(ABS(H663-I663)&lt;=0.02,"OK","≠"))</f>
        <v>OK</v>
      </c>
      <c r="K663" s="16"/>
      <c r="L663" s="1"/>
    </row>
    <row r="664" customFormat="false" ht="15" hidden="false" customHeight="false" outlineLevel="0" collapsed="false">
      <c r="A664" s="1"/>
      <c r="B664" s="32" t="s">
        <v>289</v>
      </c>
      <c r="C664" s="19" t="s">
        <v>626</v>
      </c>
      <c r="D664" s="19" t="s">
        <v>15</v>
      </c>
      <c r="E664" s="65" t="n">
        <v>0.88</v>
      </c>
      <c r="F664" s="27" t="s">
        <v>176</v>
      </c>
      <c r="G664" s="20" t="n">
        <v>1.98</v>
      </c>
      <c r="H664" s="20" t="n">
        <v>1.74</v>
      </c>
      <c r="I664" s="62" t="n">
        <f aca="false">IF(OR(E664="",G664=""),"",ROUND(E664*G664,2))</f>
        <v>1.74</v>
      </c>
      <c r="J664" s="25" t="str">
        <f aca="false">IF(OR(H664="",I664=""),"",IF(ABS(H664-I664)&lt;=0.02,"OK","≠"))</f>
        <v>OK</v>
      </c>
      <c r="K664" s="16"/>
      <c r="L664" s="1"/>
    </row>
    <row r="665" customFormat="false" ht="15" hidden="false" customHeight="false" outlineLevel="0" collapsed="false">
      <c r="A665" s="1"/>
      <c r="B665" s="30" t="s">
        <v>627</v>
      </c>
      <c r="C665" s="16" t="s">
        <v>628</v>
      </c>
      <c r="D665" s="16" t="s">
        <v>15</v>
      </c>
      <c r="E665" s="64" t="n">
        <v>1.41</v>
      </c>
      <c r="F665" s="25" t="s">
        <v>176</v>
      </c>
      <c r="G665" s="17" t="n">
        <v>2.98</v>
      </c>
      <c r="H665" s="17" t="n">
        <v>4.2</v>
      </c>
      <c r="I665" s="62" t="n">
        <f aca="false">IF(OR(E665="",G665=""),"",ROUND(E665*G665,2))</f>
        <v>4.2</v>
      </c>
      <c r="J665" s="25" t="str">
        <f aca="false">IF(OR(H665="",I665=""),"",IF(ABS(H665-I665)&lt;=0.02,"OK","≠"))</f>
        <v>OK</v>
      </c>
      <c r="K665" s="16"/>
      <c r="L665" s="1"/>
    </row>
    <row r="666" customFormat="false" ht="15" hidden="false" customHeight="false" outlineLevel="0" collapsed="false">
      <c r="A666" s="1"/>
      <c r="B666" s="1"/>
      <c r="C666" s="1"/>
      <c r="D666" s="1"/>
      <c r="E666" s="1"/>
      <c r="F666" s="1"/>
      <c r="G666" s="1"/>
      <c r="H666" s="1"/>
      <c r="I666" s="1"/>
      <c r="J666" s="1"/>
      <c r="K666" s="1"/>
      <c r="L666" s="1"/>
    </row>
    <row r="667" customFormat="false" ht="19.5" hidden="false" customHeight="true" outlineLevel="0" collapsed="false">
      <c r="A667" s="1"/>
      <c r="B667" s="63" t="s">
        <v>629</v>
      </c>
      <c r="C667" s="63"/>
      <c r="D667" s="63"/>
      <c r="E667" s="63"/>
      <c r="F667" s="63"/>
      <c r="G667" s="63"/>
      <c r="H667" s="63"/>
      <c r="I667" s="63"/>
      <c r="J667" s="63"/>
      <c r="K667" s="63"/>
      <c r="L667" s="1"/>
    </row>
    <row r="668" customFormat="false" ht="15" hidden="false" customHeight="false" outlineLevel="0" collapsed="false">
      <c r="A668" s="1"/>
      <c r="B668" s="50" t="s">
        <v>34</v>
      </c>
      <c r="C668" s="45" t="s">
        <v>36</v>
      </c>
      <c r="D668" s="45"/>
      <c r="E668" s="50" t="s">
        <v>157</v>
      </c>
      <c r="F668" s="50"/>
      <c r="G668" s="45" t="s">
        <v>630</v>
      </c>
      <c r="H668" s="45"/>
      <c r="I668" s="45"/>
      <c r="J668" s="45"/>
      <c r="K668" s="45"/>
      <c r="L668" s="1"/>
    </row>
    <row r="669" customFormat="false" ht="15" hidden="false" customHeight="false" outlineLevel="0" collapsed="false">
      <c r="A669" s="1"/>
      <c r="B669" s="50" t="s">
        <v>78</v>
      </c>
      <c r="C669" s="39" t="n">
        <v>46179</v>
      </c>
      <c r="D669" s="39"/>
      <c r="E669" s="50" t="s">
        <v>80</v>
      </c>
      <c r="F669" s="50"/>
      <c r="G669" s="45" t="s">
        <v>173</v>
      </c>
      <c r="H669" s="45"/>
      <c r="I669" s="45"/>
      <c r="J669" s="45"/>
      <c r="K669" s="45"/>
      <c r="L669" s="1"/>
    </row>
    <row r="670" customFormat="false" ht="15" hidden="false" customHeight="false" outlineLevel="0" collapsed="false">
      <c r="A670" s="1"/>
      <c r="B670" s="50" t="s">
        <v>158</v>
      </c>
      <c r="C670" s="55" t="n">
        <v>23</v>
      </c>
      <c r="D670" s="55"/>
      <c r="E670" s="50" t="s">
        <v>159</v>
      </c>
      <c r="F670" s="50"/>
      <c r="G670" s="56" t="n">
        <v>162.37</v>
      </c>
      <c r="H670" s="56"/>
      <c r="I670" s="56"/>
      <c r="J670" s="56"/>
      <c r="K670" s="56"/>
      <c r="L670" s="1"/>
    </row>
    <row r="671" customFormat="false" ht="15" hidden="false" customHeight="false" outlineLevel="0" collapsed="false">
      <c r="A671" s="1"/>
      <c r="B671" s="50" t="s">
        <v>160</v>
      </c>
      <c r="C671" s="55" t="n">
        <f aca="false">COUNT(H675:H690)</f>
        <v>16</v>
      </c>
      <c r="D671" s="55"/>
      <c r="E671" s="50" t="s">
        <v>161</v>
      </c>
      <c r="F671" s="50"/>
      <c r="G671" s="56" t="n">
        <f aca="false">ROUND(SUM(H675:H690),2)</f>
        <v>162.37</v>
      </c>
      <c r="H671" s="56"/>
      <c r="I671" s="56"/>
      <c r="J671" s="56"/>
      <c r="K671" s="56"/>
      <c r="L671" s="1"/>
    </row>
    <row r="672" customFormat="false" ht="15" hidden="false" customHeight="false" outlineLevel="0" collapsed="false">
      <c r="A672" s="1"/>
      <c r="B672" s="50" t="s">
        <v>162</v>
      </c>
      <c r="C672" s="55" t="n">
        <f aca="false">ROUND(SUMPRODUCT(((F675:F690="KG")+(F675:F690="G"))*1)+SUMPRODUCT((F675:F690&lt;&gt;"KG")*(F675:F690&lt;&gt;"G")*E675:E690),0)</f>
        <v>23</v>
      </c>
      <c r="D672" s="55"/>
      <c r="E672" s="50" t="s">
        <v>163</v>
      </c>
      <c r="F672" s="50"/>
      <c r="G672" s="56" t="n">
        <f aca="false">IF(G670="","",ROUND(G670-G671,2))</f>
        <v>0</v>
      </c>
      <c r="H672" s="56"/>
      <c r="I672" s="56"/>
      <c r="J672" s="56"/>
      <c r="K672" s="56"/>
      <c r="L672" s="1"/>
    </row>
    <row r="673" customFormat="false" ht="15" hidden="false" customHeight="false" outlineLevel="0" collapsed="false">
      <c r="A673" s="1"/>
      <c r="B673" s="50" t="s">
        <v>84</v>
      </c>
      <c r="C673" s="57" t="str">
        <f aca="false">IF(C671=0,"— aguardando lançamento",IF(G670="","SEM TOTAL OFICIAL — informe o total do cupom",IF(AND(OR(C670="",C670=C671,C670=C672),ABS(G672)&lt;=0.05),"FECHADO — itens e valor conferem",IF(ABS(G672)&lt;=0.05,"REVISAR — qtd. de itens não bate","REVISAR — diferença de R$ "&amp;ABS(G672)))))</f>
        <v>FECHADO — itens e valor conferem</v>
      </c>
      <c r="D673" s="57"/>
      <c r="E673" s="57"/>
      <c r="F673" s="57"/>
      <c r="G673" s="50" t="s">
        <v>164</v>
      </c>
      <c r="H673" s="30" t="s">
        <v>631</v>
      </c>
      <c r="I673" s="30"/>
      <c r="J673" s="30"/>
      <c r="K673" s="30"/>
      <c r="L673" s="1"/>
    </row>
    <row r="674" customFormat="false" ht="15" hidden="false" customHeight="false" outlineLevel="0" collapsed="false">
      <c r="A674" s="1"/>
      <c r="B674" s="15" t="s">
        <v>165</v>
      </c>
      <c r="C674" s="15" t="s">
        <v>52</v>
      </c>
      <c r="D674" s="15" t="s">
        <v>9</v>
      </c>
      <c r="E674" s="15" t="s">
        <v>166</v>
      </c>
      <c r="F674" s="15" t="s">
        <v>167</v>
      </c>
      <c r="G674" s="15" t="s">
        <v>168</v>
      </c>
      <c r="H674" s="15" t="s">
        <v>10</v>
      </c>
      <c r="I674" s="15" t="s">
        <v>169</v>
      </c>
      <c r="J674" s="15" t="s">
        <v>170</v>
      </c>
      <c r="K674" s="15"/>
      <c r="L674" s="1"/>
    </row>
    <row r="675" customFormat="false" ht="15" hidden="false" customHeight="false" outlineLevel="0" collapsed="false">
      <c r="A675" s="1"/>
      <c r="B675" s="30" t="s">
        <v>632</v>
      </c>
      <c r="C675" s="16" t="s">
        <v>633</v>
      </c>
      <c r="D675" s="16" t="s">
        <v>16</v>
      </c>
      <c r="E675" s="64" t="n">
        <v>6</v>
      </c>
      <c r="F675" s="25" t="s">
        <v>179</v>
      </c>
      <c r="G675" s="17" t="n">
        <v>1.39</v>
      </c>
      <c r="H675" s="17" t="n">
        <v>8.34</v>
      </c>
      <c r="I675" s="62" t="n">
        <f aca="false">IF(OR(E675="",G675=""),"",ROUND(E675*G675,2))</f>
        <v>8.34</v>
      </c>
      <c r="J675" s="25" t="str">
        <f aca="false">IF(OR(H675="",I675=""),"",IF(ABS(H675-I675)&lt;=0.02,"OK","≠"))</f>
        <v>OK</v>
      </c>
      <c r="K675" s="16"/>
      <c r="L675" s="1"/>
    </row>
    <row r="676" customFormat="false" ht="15" hidden="false" customHeight="false" outlineLevel="0" collapsed="false">
      <c r="A676" s="1"/>
      <c r="B676" s="32" t="s">
        <v>634</v>
      </c>
      <c r="C676" s="19" t="s">
        <v>635</v>
      </c>
      <c r="D676" s="19" t="s">
        <v>12</v>
      </c>
      <c r="E676" s="65" t="n">
        <v>1</v>
      </c>
      <c r="F676" s="27" t="s">
        <v>179</v>
      </c>
      <c r="G676" s="20" t="n">
        <v>7.6</v>
      </c>
      <c r="H676" s="20" t="n">
        <v>7.6</v>
      </c>
      <c r="I676" s="62" t="n">
        <f aca="false">IF(OR(E676="",G676=""),"",ROUND(E676*G676,2))</f>
        <v>7.6</v>
      </c>
      <c r="J676" s="25" t="str">
        <f aca="false">IF(OR(H676="",I676=""),"",IF(ABS(H676-I676)&lt;=0.02,"OK","≠"))</f>
        <v>OK</v>
      </c>
      <c r="K676" s="16"/>
      <c r="L676" s="1"/>
    </row>
    <row r="677" customFormat="false" ht="15" hidden="false" customHeight="false" outlineLevel="0" collapsed="false">
      <c r="A677" s="1"/>
      <c r="B677" s="30" t="s">
        <v>636</v>
      </c>
      <c r="C677" s="16" t="s">
        <v>353</v>
      </c>
      <c r="D677" s="16" t="s">
        <v>12</v>
      </c>
      <c r="E677" s="64" t="n">
        <v>1</v>
      </c>
      <c r="F677" s="25" t="s">
        <v>179</v>
      </c>
      <c r="G677" s="17" t="n">
        <v>9.2</v>
      </c>
      <c r="H677" s="17" t="n">
        <v>9.2</v>
      </c>
      <c r="I677" s="62" t="n">
        <f aca="false">IF(OR(E677="",G677=""),"",ROUND(E677*G677,2))</f>
        <v>9.2</v>
      </c>
      <c r="J677" s="25" t="str">
        <f aca="false">IF(OR(H677="",I677=""),"",IF(ABS(H677-I677)&lt;=0.02,"OK","≠"))</f>
        <v>OK</v>
      </c>
      <c r="K677" s="16"/>
      <c r="L677" s="1"/>
    </row>
    <row r="678" customFormat="false" ht="15" hidden="false" customHeight="false" outlineLevel="0" collapsed="false">
      <c r="A678" s="1"/>
      <c r="B678" s="32" t="s">
        <v>618</v>
      </c>
      <c r="C678" s="19" t="s">
        <v>617</v>
      </c>
      <c r="D678" s="19" t="s">
        <v>12</v>
      </c>
      <c r="E678" s="65" t="n">
        <v>1</v>
      </c>
      <c r="F678" s="27" t="s">
        <v>179</v>
      </c>
      <c r="G678" s="20" t="n">
        <v>28.3</v>
      </c>
      <c r="H678" s="20" t="n">
        <v>28.3</v>
      </c>
      <c r="I678" s="62" t="n">
        <f aca="false">IF(OR(E678="",G678=""),"",ROUND(E678*G678,2))</f>
        <v>28.3</v>
      </c>
      <c r="J678" s="25" t="str">
        <f aca="false">IF(OR(H678="",I678=""),"",IF(ABS(H678-I678)&lt;=0.02,"OK","≠"))</f>
        <v>OK</v>
      </c>
      <c r="K678" s="16"/>
      <c r="L678" s="1"/>
    </row>
    <row r="679" customFormat="false" ht="15" hidden="false" customHeight="false" outlineLevel="0" collapsed="false">
      <c r="A679" s="1"/>
      <c r="B679" s="30" t="s">
        <v>637</v>
      </c>
      <c r="C679" s="16" t="s">
        <v>638</v>
      </c>
      <c r="D679" s="16" t="s">
        <v>13</v>
      </c>
      <c r="E679" s="64" t="n">
        <v>1</v>
      </c>
      <c r="F679" s="25" t="s">
        <v>179</v>
      </c>
      <c r="G679" s="17" t="n">
        <v>6.6</v>
      </c>
      <c r="H679" s="17" t="n">
        <v>6.6</v>
      </c>
      <c r="I679" s="62" t="n">
        <f aca="false">IF(OR(E679="",G679=""),"",ROUND(E679*G679,2))</f>
        <v>6.6</v>
      </c>
      <c r="J679" s="25" t="str">
        <f aca="false">IF(OR(H679="",I679=""),"",IF(ABS(H679-I679)&lt;=0.02,"OK","≠"))</f>
        <v>OK</v>
      </c>
      <c r="K679" s="16"/>
      <c r="L679" s="1"/>
    </row>
    <row r="680" customFormat="false" ht="15" hidden="false" customHeight="false" outlineLevel="0" collapsed="false">
      <c r="A680" s="1"/>
      <c r="B680" s="32" t="s">
        <v>445</v>
      </c>
      <c r="C680" s="19" t="s">
        <v>446</v>
      </c>
      <c r="D680" s="19" t="s">
        <v>12</v>
      </c>
      <c r="E680" s="65" t="n">
        <v>1</v>
      </c>
      <c r="F680" s="27" t="s">
        <v>179</v>
      </c>
      <c r="G680" s="20" t="n">
        <v>11.99</v>
      </c>
      <c r="H680" s="20" t="n">
        <v>11.99</v>
      </c>
      <c r="I680" s="62" t="n">
        <f aca="false">IF(OR(E680="",G680=""),"",ROUND(E680*G680,2))</f>
        <v>11.99</v>
      </c>
      <c r="J680" s="25" t="str">
        <f aca="false">IF(OR(H680="",I680=""),"",IF(ABS(H680-I680)&lt;=0.02,"OK","≠"))</f>
        <v>OK</v>
      </c>
      <c r="K680" s="16"/>
      <c r="L680" s="1"/>
    </row>
    <row r="681" customFormat="false" ht="15" hidden="false" customHeight="false" outlineLevel="0" collapsed="false">
      <c r="A681" s="1"/>
      <c r="B681" s="30" t="s">
        <v>639</v>
      </c>
      <c r="C681" s="16" t="s">
        <v>640</v>
      </c>
      <c r="D681" s="16" t="s">
        <v>14</v>
      </c>
      <c r="E681" s="64" t="n">
        <v>1</v>
      </c>
      <c r="F681" s="25" t="s">
        <v>179</v>
      </c>
      <c r="G681" s="17" t="n">
        <v>13.9</v>
      </c>
      <c r="H681" s="17" t="n">
        <v>13.9</v>
      </c>
      <c r="I681" s="62" t="n">
        <f aca="false">IF(OR(E681="",G681=""),"",ROUND(E681*G681,2))</f>
        <v>13.9</v>
      </c>
      <c r="J681" s="25" t="str">
        <f aca="false">IF(OR(H681="",I681=""),"",IF(ABS(H681-I681)&lt;=0.02,"OK","≠"))</f>
        <v>OK</v>
      </c>
      <c r="K681" s="16"/>
      <c r="L681" s="1"/>
    </row>
    <row r="682" customFormat="false" ht="15" hidden="false" customHeight="false" outlineLevel="0" collapsed="false">
      <c r="A682" s="1"/>
      <c r="B682" s="32" t="s">
        <v>641</v>
      </c>
      <c r="C682" s="19" t="s">
        <v>642</v>
      </c>
      <c r="D682" s="19" t="s">
        <v>12</v>
      </c>
      <c r="E682" s="65" t="n">
        <v>1</v>
      </c>
      <c r="F682" s="27" t="s">
        <v>179</v>
      </c>
      <c r="G682" s="20" t="n">
        <v>4.55</v>
      </c>
      <c r="H682" s="20" t="n">
        <v>4.55</v>
      </c>
      <c r="I682" s="62" t="n">
        <f aca="false">IF(OR(E682="",G682=""),"",ROUND(E682*G682,2))</f>
        <v>4.55</v>
      </c>
      <c r="J682" s="25" t="str">
        <f aca="false">IF(OR(H682="",I682=""),"",IF(ABS(H682-I682)&lt;=0.02,"OK","≠"))</f>
        <v>OK</v>
      </c>
      <c r="K682" s="16"/>
      <c r="L682" s="1"/>
    </row>
    <row r="683" customFormat="false" ht="15" hidden="false" customHeight="false" outlineLevel="0" collapsed="false">
      <c r="A683" s="1"/>
      <c r="B683" s="30" t="s">
        <v>643</v>
      </c>
      <c r="C683" s="16" t="s">
        <v>644</v>
      </c>
      <c r="D683" s="16" t="s">
        <v>12</v>
      </c>
      <c r="E683" s="64" t="n">
        <v>1</v>
      </c>
      <c r="F683" s="25" t="s">
        <v>179</v>
      </c>
      <c r="G683" s="17" t="n">
        <v>8.6</v>
      </c>
      <c r="H683" s="17" t="n">
        <v>8.6</v>
      </c>
      <c r="I683" s="62" t="n">
        <f aca="false">IF(OR(E683="",G683=""),"",ROUND(E683*G683,2))</f>
        <v>8.6</v>
      </c>
      <c r="J683" s="25" t="str">
        <f aca="false">IF(OR(H683="",I683=""),"",IF(ABS(H683-I683)&lt;=0.02,"OK","≠"))</f>
        <v>OK</v>
      </c>
      <c r="K683" s="16"/>
      <c r="L683" s="1"/>
    </row>
    <row r="684" customFormat="false" ht="15" hidden="false" customHeight="false" outlineLevel="0" collapsed="false">
      <c r="A684" s="1"/>
      <c r="B684" s="32" t="s">
        <v>643</v>
      </c>
      <c r="C684" s="19" t="s">
        <v>644</v>
      </c>
      <c r="D684" s="19" t="s">
        <v>12</v>
      </c>
      <c r="E684" s="65" t="n">
        <v>1</v>
      </c>
      <c r="F684" s="27" t="s">
        <v>179</v>
      </c>
      <c r="G684" s="20" t="n">
        <v>8.6</v>
      </c>
      <c r="H684" s="20" t="n">
        <v>8.6</v>
      </c>
      <c r="I684" s="62" t="n">
        <f aca="false">IF(OR(E684="",G684=""),"",ROUND(E684*G684,2))</f>
        <v>8.6</v>
      </c>
      <c r="J684" s="25" t="str">
        <f aca="false">IF(OR(H684="",I684=""),"",IF(ABS(H684-I684)&lt;=0.02,"OK","≠"))</f>
        <v>OK</v>
      </c>
      <c r="K684" s="16"/>
      <c r="L684" s="1"/>
    </row>
    <row r="685" customFormat="false" ht="15" hidden="false" customHeight="false" outlineLevel="0" collapsed="false">
      <c r="A685" s="1"/>
      <c r="B685" s="30" t="s">
        <v>645</v>
      </c>
      <c r="C685" s="16" t="s">
        <v>644</v>
      </c>
      <c r="D685" s="16" t="s">
        <v>12</v>
      </c>
      <c r="E685" s="64" t="n">
        <v>1</v>
      </c>
      <c r="F685" s="25" t="s">
        <v>179</v>
      </c>
      <c r="G685" s="17" t="n">
        <v>8.6</v>
      </c>
      <c r="H685" s="17" t="n">
        <v>8.6</v>
      </c>
      <c r="I685" s="62" t="n">
        <f aca="false">IF(OR(E685="",G685=""),"",ROUND(E685*G685,2))</f>
        <v>8.6</v>
      </c>
      <c r="J685" s="25" t="str">
        <f aca="false">IF(OR(H685="",I685=""),"",IF(ABS(H685-I685)&lt;=0.02,"OK","≠"))</f>
        <v>OK</v>
      </c>
      <c r="K685" s="16"/>
      <c r="L685" s="1"/>
    </row>
    <row r="686" customFormat="false" ht="15" hidden="false" customHeight="false" outlineLevel="0" collapsed="false">
      <c r="A686" s="1"/>
      <c r="B686" s="32" t="s">
        <v>646</v>
      </c>
      <c r="C686" s="19" t="s">
        <v>644</v>
      </c>
      <c r="D686" s="19" t="s">
        <v>12</v>
      </c>
      <c r="E686" s="65" t="n">
        <v>1</v>
      </c>
      <c r="F686" s="27" t="s">
        <v>179</v>
      </c>
      <c r="G686" s="20" t="n">
        <v>8.6</v>
      </c>
      <c r="H686" s="20" t="n">
        <v>8.6</v>
      </c>
      <c r="I686" s="62" t="n">
        <f aca="false">IF(OR(E686="",G686=""),"",ROUND(E686*G686,2))</f>
        <v>8.6</v>
      </c>
      <c r="J686" s="25" t="str">
        <f aca="false">IF(OR(H686="",I686=""),"",IF(ABS(H686-I686)&lt;=0.02,"OK","≠"))</f>
        <v>OK</v>
      </c>
      <c r="K686" s="16"/>
      <c r="L686" s="1"/>
    </row>
    <row r="687" customFormat="false" ht="15" hidden="false" customHeight="false" outlineLevel="0" collapsed="false">
      <c r="A687" s="1"/>
      <c r="B687" s="30" t="s">
        <v>212</v>
      </c>
      <c r="C687" s="16" t="s">
        <v>647</v>
      </c>
      <c r="D687" s="16" t="s">
        <v>13</v>
      </c>
      <c r="E687" s="64" t="n">
        <v>1</v>
      </c>
      <c r="F687" s="25" t="s">
        <v>179</v>
      </c>
      <c r="G687" s="17" t="n">
        <v>5.09</v>
      </c>
      <c r="H687" s="17" t="n">
        <v>5.09</v>
      </c>
      <c r="I687" s="62" t="n">
        <f aca="false">IF(OR(E687="",G687=""),"",ROUND(E687*G687,2))</f>
        <v>5.09</v>
      </c>
      <c r="J687" s="25" t="str">
        <f aca="false">IF(OR(H687="",I687=""),"",IF(ABS(H687-I687)&lt;=0.02,"OK","≠"))</f>
        <v>OK</v>
      </c>
      <c r="K687" s="16"/>
      <c r="L687" s="1"/>
    </row>
    <row r="688" customFormat="false" ht="15" hidden="false" customHeight="false" outlineLevel="0" collapsed="false">
      <c r="A688" s="1"/>
      <c r="B688" s="32" t="s">
        <v>605</v>
      </c>
      <c r="C688" s="19" t="s">
        <v>606</v>
      </c>
      <c r="D688" s="19" t="s">
        <v>13</v>
      </c>
      <c r="E688" s="65" t="n">
        <v>1</v>
      </c>
      <c r="F688" s="27" t="s">
        <v>179</v>
      </c>
      <c r="G688" s="20" t="n">
        <v>3.45</v>
      </c>
      <c r="H688" s="20" t="n">
        <v>3.45</v>
      </c>
      <c r="I688" s="62" t="n">
        <f aca="false">IF(OR(E688="",G688=""),"",ROUND(E688*G688,2))</f>
        <v>3.45</v>
      </c>
      <c r="J688" s="25" t="str">
        <f aca="false">IF(OR(H688="",I688=""),"",IF(ABS(H688-I688)&lt;=0.02,"OK","≠"))</f>
        <v>OK</v>
      </c>
      <c r="K688" s="16"/>
      <c r="L688" s="1"/>
    </row>
    <row r="689" customFormat="false" ht="15" hidden="false" customHeight="false" outlineLevel="0" collapsed="false">
      <c r="A689" s="1"/>
      <c r="B689" s="30" t="s">
        <v>605</v>
      </c>
      <c r="C689" s="16" t="s">
        <v>606</v>
      </c>
      <c r="D689" s="16" t="s">
        <v>13</v>
      </c>
      <c r="E689" s="64" t="n">
        <v>1</v>
      </c>
      <c r="F689" s="25" t="s">
        <v>179</v>
      </c>
      <c r="G689" s="17" t="n">
        <v>3.45</v>
      </c>
      <c r="H689" s="17" t="n">
        <v>3.45</v>
      </c>
      <c r="I689" s="62" t="n">
        <f aca="false">IF(OR(E689="",G689=""),"",ROUND(E689*G689,2))</f>
        <v>3.45</v>
      </c>
      <c r="J689" s="25" t="str">
        <f aca="false">IF(OR(H689="",I689=""),"",IF(ABS(H689-I689)&lt;=0.02,"OK","≠"))</f>
        <v>OK</v>
      </c>
      <c r="K689" s="16"/>
      <c r="L689" s="1"/>
    </row>
    <row r="690" customFormat="false" ht="15" hidden="false" customHeight="false" outlineLevel="0" collapsed="false">
      <c r="A690" s="1"/>
      <c r="B690" s="32" t="s">
        <v>324</v>
      </c>
      <c r="C690" s="19" t="s">
        <v>325</v>
      </c>
      <c r="D690" s="19" t="s">
        <v>13</v>
      </c>
      <c r="E690" s="65" t="n">
        <v>3</v>
      </c>
      <c r="F690" s="27" t="s">
        <v>179</v>
      </c>
      <c r="G690" s="20" t="n">
        <v>8.5</v>
      </c>
      <c r="H690" s="20" t="n">
        <v>25.5</v>
      </c>
      <c r="I690" s="62" t="n">
        <f aca="false">IF(OR(E690="",G690=""),"",ROUND(E690*G690,2))</f>
        <v>25.5</v>
      </c>
      <c r="J690" s="25" t="str">
        <f aca="false">IF(OR(H690="",I690=""),"",IF(ABS(H690-I690)&lt;=0.02,"OK","≠"))</f>
        <v>OK</v>
      </c>
      <c r="K690" s="16"/>
      <c r="L690" s="1"/>
    </row>
    <row r="691" customFormat="false" ht="15" hidden="false" customHeight="false" outlineLevel="0" collapsed="false">
      <c r="A691" s="1"/>
      <c r="B691" s="1"/>
      <c r="C691" s="1"/>
      <c r="D691" s="1"/>
      <c r="E691" s="1"/>
      <c r="F691" s="1"/>
      <c r="G691" s="1"/>
      <c r="H691" s="1"/>
      <c r="I691" s="1"/>
      <c r="J691" s="1"/>
      <c r="K691" s="1"/>
      <c r="L691" s="1"/>
    </row>
    <row r="692" customFormat="false" ht="19.5" hidden="false" customHeight="true" outlineLevel="0" collapsed="false">
      <c r="A692" s="1"/>
      <c r="B692" s="63" t="s">
        <v>648</v>
      </c>
      <c r="C692" s="63"/>
      <c r="D692" s="63"/>
      <c r="E692" s="63"/>
      <c r="F692" s="63"/>
      <c r="G692" s="63"/>
      <c r="H692" s="63"/>
      <c r="I692" s="63"/>
      <c r="J692" s="63"/>
      <c r="K692" s="63"/>
      <c r="L692" s="1"/>
    </row>
    <row r="693" customFormat="false" ht="15" hidden="false" customHeight="false" outlineLevel="0" collapsed="false">
      <c r="A693" s="1"/>
      <c r="B693" s="50" t="s">
        <v>34</v>
      </c>
      <c r="C693" s="45" t="s">
        <v>37</v>
      </c>
      <c r="D693" s="45"/>
      <c r="E693" s="50" t="s">
        <v>157</v>
      </c>
      <c r="F693" s="50"/>
      <c r="G693" s="45" t="s">
        <v>649</v>
      </c>
      <c r="H693" s="45"/>
      <c r="I693" s="45"/>
      <c r="J693" s="45"/>
      <c r="K693" s="45"/>
      <c r="L693" s="1"/>
    </row>
    <row r="694" customFormat="false" ht="15" hidden="false" customHeight="false" outlineLevel="0" collapsed="false">
      <c r="A694" s="1"/>
      <c r="B694" s="50" t="s">
        <v>78</v>
      </c>
      <c r="C694" s="39" t="n">
        <v>46183</v>
      </c>
      <c r="D694" s="39"/>
      <c r="E694" s="50" t="s">
        <v>80</v>
      </c>
      <c r="F694" s="50"/>
      <c r="G694" s="45" t="s">
        <v>173</v>
      </c>
      <c r="H694" s="45"/>
      <c r="I694" s="45"/>
      <c r="J694" s="45"/>
      <c r="K694" s="45"/>
      <c r="L694" s="1"/>
    </row>
    <row r="695" customFormat="false" ht="15" hidden="false" customHeight="false" outlineLevel="0" collapsed="false">
      <c r="A695" s="1"/>
      <c r="B695" s="50" t="s">
        <v>158</v>
      </c>
      <c r="C695" s="55" t="n">
        <v>2</v>
      </c>
      <c r="D695" s="55"/>
      <c r="E695" s="50" t="s">
        <v>159</v>
      </c>
      <c r="F695" s="50"/>
      <c r="G695" s="56" t="n">
        <v>15.46</v>
      </c>
      <c r="H695" s="56"/>
      <c r="I695" s="56"/>
      <c r="J695" s="56"/>
      <c r="K695" s="56"/>
      <c r="L695" s="1"/>
    </row>
    <row r="696" customFormat="false" ht="15" hidden="false" customHeight="false" outlineLevel="0" collapsed="false">
      <c r="A696" s="1"/>
      <c r="B696" s="50" t="s">
        <v>160</v>
      </c>
      <c r="C696" s="55" t="n">
        <f aca="false">COUNT(H700:H701)</f>
        <v>2</v>
      </c>
      <c r="D696" s="55"/>
      <c r="E696" s="50" t="s">
        <v>161</v>
      </c>
      <c r="F696" s="50"/>
      <c r="G696" s="56" t="n">
        <f aca="false">ROUND(SUM(H700:H701),2)</f>
        <v>15.46</v>
      </c>
      <c r="H696" s="56"/>
      <c r="I696" s="56"/>
      <c r="J696" s="56"/>
      <c r="K696" s="56"/>
      <c r="L696" s="1"/>
    </row>
    <row r="697" customFormat="false" ht="15" hidden="false" customHeight="false" outlineLevel="0" collapsed="false">
      <c r="A697" s="1"/>
      <c r="B697" s="50" t="s">
        <v>162</v>
      </c>
      <c r="C697" s="55" t="n">
        <f aca="false">ROUND(SUMPRODUCT(((F700:F701="KG")+(F700:F701="G"))*1)+SUMPRODUCT((F700:F701&lt;&gt;"KG")*(F700:F701&lt;&gt;"G")*E700:E701),0)</f>
        <v>2</v>
      </c>
      <c r="D697" s="55"/>
      <c r="E697" s="50" t="s">
        <v>163</v>
      </c>
      <c r="F697" s="50"/>
      <c r="G697" s="56" t="n">
        <f aca="false">IF(G695="","",ROUND(G695-G696,2))</f>
        <v>0</v>
      </c>
      <c r="H697" s="56"/>
      <c r="I697" s="56"/>
      <c r="J697" s="56"/>
      <c r="K697" s="56"/>
      <c r="L697" s="1"/>
    </row>
    <row r="698" customFormat="false" ht="15" hidden="false" customHeight="false" outlineLevel="0" collapsed="false">
      <c r="A698" s="1"/>
      <c r="B698" s="50" t="s">
        <v>84</v>
      </c>
      <c r="C698" s="57" t="str">
        <f aca="false">IF(C696=0,"— aguardando lançamento",IF(G695="","SEM TOTAL OFICIAL — informe o total do cupom",IF(AND(OR(C695="",C695=C696,C695=C697),ABS(G697)&lt;=0.05),"FECHADO — itens e valor conferem",IF(ABS(G697)&lt;=0.05,"REVISAR — qtd. de itens não bate","REVISAR — diferença de R$ "&amp;ABS(G697)))))</f>
        <v>FECHADO — itens e valor conferem</v>
      </c>
      <c r="D698" s="57"/>
      <c r="E698" s="57"/>
      <c r="F698" s="57"/>
      <c r="G698" s="50" t="s">
        <v>164</v>
      </c>
      <c r="H698" s="30" t="s">
        <v>455</v>
      </c>
      <c r="I698" s="30"/>
      <c r="J698" s="30"/>
      <c r="K698" s="30"/>
      <c r="L698" s="1"/>
    </row>
    <row r="699" customFormat="false" ht="15" hidden="false" customHeight="false" outlineLevel="0" collapsed="false">
      <c r="A699" s="1"/>
      <c r="B699" s="15" t="s">
        <v>165</v>
      </c>
      <c r="C699" s="15" t="s">
        <v>52</v>
      </c>
      <c r="D699" s="15" t="s">
        <v>9</v>
      </c>
      <c r="E699" s="15" t="s">
        <v>166</v>
      </c>
      <c r="F699" s="15" t="s">
        <v>167</v>
      </c>
      <c r="G699" s="15" t="s">
        <v>168</v>
      </c>
      <c r="H699" s="15" t="s">
        <v>10</v>
      </c>
      <c r="I699" s="15" t="s">
        <v>169</v>
      </c>
      <c r="J699" s="15" t="s">
        <v>170</v>
      </c>
      <c r="K699" s="15"/>
      <c r="L699" s="1"/>
    </row>
    <row r="700" customFormat="false" ht="15" hidden="false" customHeight="false" outlineLevel="0" collapsed="false">
      <c r="A700" s="1"/>
      <c r="B700" s="30" t="s">
        <v>458</v>
      </c>
      <c r="C700" s="16" t="s">
        <v>181</v>
      </c>
      <c r="D700" s="16" t="s">
        <v>14</v>
      </c>
      <c r="E700" s="64" t="n">
        <v>0.49</v>
      </c>
      <c r="F700" s="25" t="s">
        <v>176</v>
      </c>
      <c r="G700" s="17" t="n">
        <v>17.9</v>
      </c>
      <c r="H700" s="17" t="n">
        <v>8.77</v>
      </c>
      <c r="I700" s="62" t="n">
        <f aca="false">IF(OR(E700="",G700=""),"",ROUND(E700*G700,2))</f>
        <v>8.77</v>
      </c>
      <c r="J700" s="25" t="str">
        <f aca="false">IF(OR(H700="",I700=""),"",IF(ABS(H700-I700)&lt;=0.02,"OK","≠"))</f>
        <v>OK</v>
      </c>
      <c r="K700" s="16"/>
      <c r="L700" s="1"/>
    </row>
    <row r="701" customFormat="false" ht="15" hidden="false" customHeight="false" outlineLevel="0" collapsed="false">
      <c r="A701" s="1"/>
      <c r="B701" s="32" t="s">
        <v>230</v>
      </c>
      <c r="C701" s="19" t="s">
        <v>650</v>
      </c>
      <c r="D701" s="19" t="s">
        <v>13</v>
      </c>
      <c r="E701" s="65" t="n">
        <v>1</v>
      </c>
      <c r="F701" s="27" t="s">
        <v>179</v>
      </c>
      <c r="G701" s="20" t="n">
        <v>6.69</v>
      </c>
      <c r="H701" s="20" t="n">
        <v>6.69</v>
      </c>
      <c r="I701" s="62" t="n">
        <f aca="false">IF(OR(E701="",G701=""),"",ROUND(E701*G701,2))</f>
        <v>6.69</v>
      </c>
      <c r="J701" s="25" t="str">
        <f aca="false">IF(OR(H701="",I701=""),"",IF(ABS(H701-I701)&lt;=0.02,"OK","≠"))</f>
        <v>OK</v>
      </c>
      <c r="K701" s="16"/>
      <c r="L701" s="1"/>
    </row>
    <row r="702" customFormat="false" ht="15" hidden="false" customHeight="false" outlineLevel="0" collapsed="false">
      <c r="A702" s="1"/>
      <c r="B702" s="1"/>
      <c r="C702" s="1"/>
      <c r="D702" s="1"/>
      <c r="E702" s="1"/>
      <c r="F702" s="1"/>
      <c r="G702" s="1"/>
      <c r="H702" s="1"/>
      <c r="I702" s="1"/>
      <c r="J702" s="1"/>
      <c r="K702" s="1"/>
      <c r="L702" s="1"/>
    </row>
    <row r="703" customFormat="false" ht="19.5" hidden="false" customHeight="true" outlineLevel="0" collapsed="false">
      <c r="A703" s="1"/>
      <c r="B703" s="63" t="s">
        <v>651</v>
      </c>
      <c r="C703" s="63"/>
      <c r="D703" s="63"/>
      <c r="E703" s="63"/>
      <c r="F703" s="63"/>
      <c r="G703" s="63"/>
      <c r="H703" s="63"/>
      <c r="I703" s="63"/>
      <c r="J703" s="63"/>
      <c r="K703" s="63"/>
      <c r="L703" s="1"/>
    </row>
    <row r="704" customFormat="false" ht="15" hidden="false" customHeight="false" outlineLevel="0" collapsed="false">
      <c r="A704" s="1"/>
      <c r="B704" s="50" t="s">
        <v>34</v>
      </c>
      <c r="C704" s="45" t="s">
        <v>42</v>
      </c>
      <c r="D704" s="45"/>
      <c r="E704" s="50" t="s">
        <v>157</v>
      </c>
      <c r="F704" s="50"/>
      <c r="G704" s="45" t="s">
        <v>652</v>
      </c>
      <c r="H704" s="45"/>
      <c r="I704" s="45"/>
      <c r="J704" s="45"/>
      <c r="K704" s="45"/>
      <c r="L704" s="1"/>
    </row>
    <row r="705" customFormat="false" ht="15" hidden="false" customHeight="false" outlineLevel="0" collapsed="false">
      <c r="A705" s="1"/>
      <c r="B705" s="50" t="s">
        <v>78</v>
      </c>
      <c r="C705" s="39" t="n">
        <v>46183</v>
      </c>
      <c r="D705" s="39"/>
      <c r="E705" s="50" t="s">
        <v>80</v>
      </c>
      <c r="F705" s="50"/>
      <c r="G705" s="45" t="s">
        <v>173</v>
      </c>
      <c r="H705" s="45"/>
      <c r="I705" s="45"/>
      <c r="J705" s="45"/>
      <c r="K705" s="45"/>
      <c r="L705" s="1"/>
    </row>
    <row r="706" customFormat="false" ht="15" hidden="false" customHeight="false" outlineLevel="0" collapsed="false">
      <c r="A706" s="1"/>
      <c r="B706" s="50" t="s">
        <v>158</v>
      </c>
      <c r="C706" s="55" t="n">
        <v>2</v>
      </c>
      <c r="D706" s="55"/>
      <c r="E706" s="50" t="s">
        <v>159</v>
      </c>
      <c r="F706" s="50"/>
      <c r="G706" s="56" t="n">
        <v>51.15</v>
      </c>
      <c r="H706" s="56"/>
      <c r="I706" s="56"/>
      <c r="J706" s="56"/>
      <c r="K706" s="56"/>
      <c r="L706" s="1"/>
    </row>
    <row r="707" customFormat="false" ht="15" hidden="false" customHeight="false" outlineLevel="0" collapsed="false">
      <c r="A707" s="1"/>
      <c r="B707" s="50" t="s">
        <v>160</v>
      </c>
      <c r="C707" s="55" t="n">
        <f aca="false">COUNT(H711:H712)</f>
        <v>2</v>
      </c>
      <c r="D707" s="55"/>
      <c r="E707" s="50" t="s">
        <v>161</v>
      </c>
      <c r="F707" s="50"/>
      <c r="G707" s="56" t="n">
        <f aca="false">ROUND(SUM(H711:H712),2)</f>
        <v>51.15</v>
      </c>
      <c r="H707" s="56"/>
      <c r="I707" s="56"/>
      <c r="J707" s="56"/>
      <c r="K707" s="56"/>
      <c r="L707" s="1"/>
    </row>
    <row r="708" customFormat="false" ht="15" hidden="false" customHeight="false" outlineLevel="0" collapsed="false">
      <c r="A708" s="1"/>
      <c r="B708" s="50" t="s">
        <v>162</v>
      </c>
      <c r="C708" s="55" t="n">
        <f aca="false">ROUND(SUMPRODUCT(((F711:F712="KG")+(F711:F712="G"))*1)+SUMPRODUCT((F711:F712&lt;&gt;"KG")*(F711:F712&lt;&gt;"G")*E711:E712),0)</f>
        <v>2</v>
      </c>
      <c r="D708" s="55"/>
      <c r="E708" s="50" t="s">
        <v>163</v>
      </c>
      <c r="F708" s="50"/>
      <c r="G708" s="56" t="n">
        <f aca="false">IF(G706="","",ROUND(G706-G707,2))</f>
        <v>0</v>
      </c>
      <c r="H708" s="56"/>
      <c r="I708" s="56"/>
      <c r="J708" s="56"/>
      <c r="K708" s="56"/>
      <c r="L708" s="1"/>
    </row>
    <row r="709" customFormat="false" ht="15" hidden="false" customHeight="false" outlineLevel="0" collapsed="false">
      <c r="A709" s="1"/>
      <c r="B709" s="50" t="s">
        <v>84</v>
      </c>
      <c r="C709" s="57" t="str">
        <f aca="false">IF(C707=0,"— aguardando lançamento",IF(G706="","SEM TOTAL OFICIAL — informe o total do cupom",IF(AND(OR(C706="",C706=C707,C706=C708),ABS(G708)&lt;=0.05),"FECHADO — itens e valor conferem",IF(ABS(G708)&lt;=0.05,"REVISAR — qtd. de itens não bate","REVISAR — diferença de R$ "&amp;ABS(G708)))))</f>
        <v>FECHADO — itens e valor conferem</v>
      </c>
      <c r="D709" s="57"/>
      <c r="E709" s="57"/>
      <c r="F709" s="57"/>
      <c r="G709" s="50" t="s">
        <v>164</v>
      </c>
      <c r="H709" s="30" t="s">
        <v>653</v>
      </c>
      <c r="I709" s="30"/>
      <c r="J709" s="30"/>
      <c r="K709" s="30"/>
      <c r="L709" s="1"/>
    </row>
    <row r="710" customFormat="false" ht="15" hidden="false" customHeight="false" outlineLevel="0" collapsed="false">
      <c r="A710" s="1"/>
      <c r="B710" s="15" t="s">
        <v>165</v>
      </c>
      <c r="C710" s="15" t="s">
        <v>52</v>
      </c>
      <c r="D710" s="15" t="s">
        <v>9</v>
      </c>
      <c r="E710" s="15" t="s">
        <v>166</v>
      </c>
      <c r="F710" s="15" t="s">
        <v>167</v>
      </c>
      <c r="G710" s="15" t="s">
        <v>168</v>
      </c>
      <c r="H710" s="15" t="s">
        <v>10</v>
      </c>
      <c r="I710" s="15" t="s">
        <v>169</v>
      </c>
      <c r="J710" s="15" t="s">
        <v>170</v>
      </c>
      <c r="K710" s="15"/>
      <c r="L710" s="1"/>
    </row>
    <row r="711" customFormat="false" ht="15" hidden="false" customHeight="false" outlineLevel="0" collapsed="false">
      <c r="A711" s="1"/>
      <c r="B711" s="30" t="s">
        <v>654</v>
      </c>
      <c r="C711" s="16" t="s">
        <v>655</v>
      </c>
      <c r="D711" s="16" t="s">
        <v>21</v>
      </c>
      <c r="E711" s="64" t="n">
        <v>1</v>
      </c>
      <c r="F711" s="25" t="s">
        <v>179</v>
      </c>
      <c r="G711" s="17" t="n">
        <v>34.56</v>
      </c>
      <c r="H711" s="17" t="n">
        <v>34.56</v>
      </c>
      <c r="I711" s="62" t="n">
        <f aca="false">IF(OR(E711="",G711=""),"",ROUND(E711*G711,2))</f>
        <v>34.56</v>
      </c>
      <c r="J711" s="25" t="str">
        <f aca="false">IF(OR(H711="",I711=""),"",IF(ABS(H711-I711)&lt;=0.02,"OK","≠"))</f>
        <v>OK</v>
      </c>
      <c r="K711" s="16"/>
      <c r="L711" s="1"/>
    </row>
    <row r="712" customFormat="false" ht="15" hidden="false" customHeight="false" outlineLevel="0" collapsed="false">
      <c r="A712" s="1"/>
      <c r="B712" s="32" t="s">
        <v>656</v>
      </c>
      <c r="C712" s="19" t="s">
        <v>657</v>
      </c>
      <c r="D712" s="19" t="s">
        <v>21</v>
      </c>
      <c r="E712" s="65" t="n">
        <v>1</v>
      </c>
      <c r="F712" s="27" t="s">
        <v>179</v>
      </c>
      <c r="G712" s="20" t="n">
        <v>16.59</v>
      </c>
      <c r="H712" s="20" t="n">
        <v>16.59</v>
      </c>
      <c r="I712" s="62" t="n">
        <f aca="false">IF(OR(E712="",G712=""),"",ROUND(E712*G712,2))</f>
        <v>16.59</v>
      </c>
      <c r="J712" s="25" t="str">
        <f aca="false">IF(OR(H712="",I712=""),"",IF(ABS(H712-I712)&lt;=0.02,"OK","≠"))</f>
        <v>OK</v>
      </c>
      <c r="K712" s="16"/>
      <c r="L712" s="1"/>
    </row>
    <row r="713" customFormat="false" ht="15" hidden="false" customHeight="false" outlineLevel="0" collapsed="false">
      <c r="A713" s="1"/>
      <c r="B713" s="1"/>
      <c r="C713" s="1"/>
      <c r="D713" s="1"/>
      <c r="E713" s="1"/>
      <c r="F713" s="1"/>
      <c r="G713" s="1"/>
      <c r="H713" s="1"/>
      <c r="I713" s="1"/>
      <c r="J713" s="1"/>
      <c r="K713" s="1"/>
      <c r="L713" s="1"/>
    </row>
    <row r="714" customFormat="false" ht="19.5" hidden="false" customHeight="true" outlineLevel="0" collapsed="false">
      <c r="A714" s="1"/>
      <c r="B714" s="63" t="s">
        <v>658</v>
      </c>
      <c r="C714" s="63"/>
      <c r="D714" s="63"/>
      <c r="E714" s="63"/>
      <c r="F714" s="63"/>
      <c r="G714" s="63"/>
      <c r="H714" s="63"/>
      <c r="I714" s="63"/>
      <c r="J714" s="63"/>
      <c r="K714" s="63"/>
      <c r="L714" s="1"/>
    </row>
    <row r="715" customFormat="false" ht="15" hidden="false" customHeight="false" outlineLevel="0" collapsed="false">
      <c r="A715" s="1"/>
      <c r="B715" s="50" t="s">
        <v>34</v>
      </c>
      <c r="C715" s="45" t="s">
        <v>36</v>
      </c>
      <c r="D715" s="45"/>
      <c r="E715" s="50" t="s">
        <v>157</v>
      </c>
      <c r="F715" s="50"/>
      <c r="G715" s="45" t="s">
        <v>659</v>
      </c>
      <c r="H715" s="45"/>
      <c r="I715" s="45"/>
      <c r="J715" s="45"/>
      <c r="K715" s="45"/>
      <c r="L715" s="1"/>
    </row>
    <row r="716" customFormat="false" ht="15" hidden="false" customHeight="false" outlineLevel="0" collapsed="false">
      <c r="A716" s="1"/>
      <c r="B716" s="50" t="s">
        <v>78</v>
      </c>
      <c r="C716" s="39" t="n">
        <v>46185</v>
      </c>
      <c r="D716" s="39"/>
      <c r="E716" s="50" t="s">
        <v>80</v>
      </c>
      <c r="F716" s="50"/>
      <c r="G716" s="45" t="s">
        <v>173</v>
      </c>
      <c r="H716" s="45"/>
      <c r="I716" s="45"/>
      <c r="J716" s="45"/>
      <c r="K716" s="45"/>
      <c r="L716" s="1"/>
    </row>
    <row r="717" customFormat="false" ht="15" hidden="false" customHeight="false" outlineLevel="0" collapsed="false">
      <c r="A717" s="1"/>
      <c r="B717" s="50" t="s">
        <v>158</v>
      </c>
      <c r="C717" s="55" t="n">
        <v>66</v>
      </c>
      <c r="D717" s="55"/>
      <c r="E717" s="50" t="s">
        <v>159</v>
      </c>
      <c r="F717" s="50"/>
      <c r="G717" s="56" t="n">
        <v>477.41</v>
      </c>
      <c r="H717" s="56"/>
      <c r="I717" s="56"/>
      <c r="J717" s="56"/>
      <c r="K717" s="56"/>
      <c r="L717" s="1"/>
    </row>
    <row r="718" customFormat="false" ht="15" hidden="false" customHeight="false" outlineLevel="0" collapsed="false">
      <c r="A718" s="1"/>
      <c r="B718" s="50" t="s">
        <v>160</v>
      </c>
      <c r="C718" s="55" t="n">
        <f aca="false">COUNT(H722:H784)</f>
        <v>63</v>
      </c>
      <c r="D718" s="55"/>
      <c r="E718" s="50" t="s">
        <v>161</v>
      </c>
      <c r="F718" s="50"/>
      <c r="G718" s="56" t="n">
        <f aca="false">ROUND(SUM(H722:H784),2)</f>
        <v>477.41</v>
      </c>
      <c r="H718" s="56"/>
      <c r="I718" s="56"/>
      <c r="J718" s="56"/>
      <c r="K718" s="56"/>
      <c r="L718" s="1"/>
    </row>
    <row r="719" customFormat="false" ht="15" hidden="false" customHeight="false" outlineLevel="0" collapsed="false">
      <c r="A719" s="1"/>
      <c r="B719" s="50" t="s">
        <v>162</v>
      </c>
      <c r="C719" s="55" t="n">
        <f aca="false">ROUND(SUMPRODUCT(((F722:F784="KG")+(F722:F784="G"))*1)+SUMPRODUCT((F722:F784&lt;&gt;"KG")*(F722:F784&lt;&gt;"G")*E722:E784),0)</f>
        <v>67</v>
      </c>
      <c r="D719" s="55"/>
      <c r="E719" s="50" t="s">
        <v>163</v>
      </c>
      <c r="F719" s="50"/>
      <c r="G719" s="56" t="n">
        <f aca="false">IF(G717="","",ROUND(G717-G718,2))</f>
        <v>0</v>
      </c>
      <c r="H719" s="56"/>
      <c r="I719" s="56"/>
      <c r="J719" s="56"/>
      <c r="K719" s="56"/>
      <c r="L719" s="1"/>
    </row>
    <row r="720" customFormat="false" ht="15" hidden="false" customHeight="false" outlineLevel="0" collapsed="false">
      <c r="A720" s="1"/>
      <c r="B720" s="50" t="s">
        <v>84</v>
      </c>
      <c r="C720" s="57" t="str">
        <f aca="false">IF(C718=0,"— aguardando lançamento",IF(G717="","SEM TOTAL OFICIAL — informe o total do cupom",IF(AND(OR(C717="",C717=C718,C717=C719),ABS(G719)&lt;=0.05),"FECHADO — itens e valor conferem",IF(ABS(G719)&lt;=0.05,"REVISAR — qtd. de itens não bate","REVISAR — diferença de R$ "&amp;ABS(G719)))))</f>
        <v>REVISAR — qtd. de itens não bate</v>
      </c>
      <c r="D720" s="57"/>
      <c r="E720" s="57"/>
      <c r="F720" s="57"/>
      <c r="G720" s="50" t="s">
        <v>164</v>
      </c>
      <c r="H720" s="30"/>
      <c r="I720" s="30"/>
      <c r="J720" s="30"/>
      <c r="K720" s="30"/>
      <c r="L720" s="1"/>
    </row>
    <row r="721" customFormat="false" ht="15" hidden="false" customHeight="false" outlineLevel="0" collapsed="false">
      <c r="A721" s="1"/>
      <c r="B721" s="15" t="s">
        <v>165</v>
      </c>
      <c r="C721" s="15" t="s">
        <v>52</v>
      </c>
      <c r="D721" s="15" t="s">
        <v>9</v>
      </c>
      <c r="E721" s="15" t="s">
        <v>166</v>
      </c>
      <c r="F721" s="15" t="s">
        <v>167</v>
      </c>
      <c r="G721" s="15" t="s">
        <v>168</v>
      </c>
      <c r="H721" s="15" t="s">
        <v>10</v>
      </c>
      <c r="I721" s="15" t="s">
        <v>169</v>
      </c>
      <c r="J721" s="15" t="s">
        <v>170</v>
      </c>
      <c r="K721" s="15"/>
      <c r="L721" s="1"/>
    </row>
    <row r="722" customFormat="false" ht="15" hidden="false" customHeight="false" outlineLevel="0" collapsed="false">
      <c r="A722" s="1"/>
      <c r="B722" s="30" t="s">
        <v>381</v>
      </c>
      <c r="C722" s="16" t="s">
        <v>382</v>
      </c>
      <c r="D722" s="16" t="s">
        <v>12</v>
      </c>
      <c r="E722" s="64" t="n">
        <v>1</v>
      </c>
      <c r="F722" s="25" t="s">
        <v>179</v>
      </c>
      <c r="G722" s="17" t="n">
        <v>7.7</v>
      </c>
      <c r="H722" s="17" t="n">
        <v>7.7</v>
      </c>
      <c r="I722" s="62" t="n">
        <f aca="false">IF(OR(E722="",G722=""),"",ROUND(E722*G722,2))</f>
        <v>7.7</v>
      </c>
      <c r="J722" s="25" t="str">
        <f aca="false">IF(OR(H722="",I722=""),"",IF(ABS(H722-I722)&lt;=0.02,"OK","≠"))</f>
        <v>OK</v>
      </c>
      <c r="K722" s="16"/>
      <c r="L722" s="1"/>
    </row>
    <row r="723" customFormat="false" ht="15" hidden="false" customHeight="false" outlineLevel="0" collapsed="false">
      <c r="A723" s="1"/>
      <c r="B723" s="32" t="s">
        <v>555</v>
      </c>
      <c r="C723" s="19" t="s">
        <v>354</v>
      </c>
      <c r="D723" s="19" t="s">
        <v>12</v>
      </c>
      <c r="E723" s="65" t="n">
        <v>1</v>
      </c>
      <c r="F723" s="27" t="s">
        <v>179</v>
      </c>
      <c r="G723" s="20" t="n">
        <v>9.45</v>
      </c>
      <c r="H723" s="20" t="n">
        <v>9.45</v>
      </c>
      <c r="I723" s="62" t="n">
        <f aca="false">IF(OR(E723="",G723=""),"",ROUND(E723*G723,2))</f>
        <v>9.45</v>
      </c>
      <c r="J723" s="25" t="str">
        <f aca="false">IF(OR(H723="",I723=""),"",IF(ABS(H723-I723)&lt;=0.02,"OK","≠"))</f>
        <v>OK</v>
      </c>
      <c r="K723" s="16"/>
      <c r="L723" s="1"/>
    </row>
    <row r="724" customFormat="false" ht="15" hidden="false" customHeight="false" outlineLevel="0" collapsed="false">
      <c r="A724" s="1"/>
      <c r="B724" s="30" t="s">
        <v>557</v>
      </c>
      <c r="C724" s="16" t="s">
        <v>558</v>
      </c>
      <c r="D724" s="16" t="s">
        <v>12</v>
      </c>
      <c r="E724" s="64" t="n">
        <v>1</v>
      </c>
      <c r="F724" s="25" t="s">
        <v>179</v>
      </c>
      <c r="G724" s="17" t="n">
        <v>11.7</v>
      </c>
      <c r="H724" s="17" t="n">
        <v>11.7</v>
      </c>
      <c r="I724" s="62" t="n">
        <f aca="false">IF(OR(E724="",G724=""),"",ROUND(E724*G724,2))</f>
        <v>11.7</v>
      </c>
      <c r="J724" s="25" t="str">
        <f aca="false">IF(OR(H724="",I724=""),"",IF(ABS(H724-I724)&lt;=0.02,"OK","≠"))</f>
        <v>OK</v>
      </c>
      <c r="K724" s="16"/>
      <c r="L724" s="1"/>
    </row>
    <row r="725" customFormat="false" ht="15" hidden="false" customHeight="false" outlineLevel="0" collapsed="false">
      <c r="A725" s="1"/>
      <c r="B725" s="32" t="s">
        <v>660</v>
      </c>
      <c r="C725" s="19" t="s">
        <v>378</v>
      </c>
      <c r="D725" s="19" t="s">
        <v>12</v>
      </c>
      <c r="E725" s="65" t="n">
        <v>1</v>
      </c>
      <c r="F725" s="27" t="s">
        <v>179</v>
      </c>
      <c r="G725" s="20" t="n">
        <v>12.2</v>
      </c>
      <c r="H725" s="20" t="n">
        <v>12.2</v>
      </c>
      <c r="I725" s="62" t="n">
        <f aca="false">IF(OR(E725="",G725=""),"",ROUND(E725*G725,2))</f>
        <v>12.2</v>
      </c>
      <c r="J725" s="25" t="str">
        <f aca="false">IF(OR(H725="",I725=""),"",IF(ABS(H725-I725)&lt;=0.02,"OK","≠"))</f>
        <v>OK</v>
      </c>
      <c r="K725" s="16"/>
      <c r="L725" s="1"/>
    </row>
    <row r="726" customFormat="false" ht="15" hidden="false" customHeight="false" outlineLevel="0" collapsed="false">
      <c r="A726" s="1"/>
      <c r="B726" s="30" t="s">
        <v>192</v>
      </c>
      <c r="C726" s="16" t="s">
        <v>375</v>
      </c>
      <c r="D726" s="16" t="s">
        <v>12</v>
      </c>
      <c r="E726" s="64" t="n">
        <v>1</v>
      </c>
      <c r="F726" s="25" t="s">
        <v>179</v>
      </c>
      <c r="G726" s="17" t="n">
        <v>4.99</v>
      </c>
      <c r="H726" s="17" t="n">
        <v>4.99</v>
      </c>
      <c r="I726" s="62" t="n">
        <f aca="false">IF(OR(E726="",G726=""),"",ROUND(E726*G726,2))</f>
        <v>4.99</v>
      </c>
      <c r="J726" s="25" t="str">
        <f aca="false">IF(OR(H726="",I726=""),"",IF(ABS(H726-I726)&lt;=0.02,"OK","≠"))</f>
        <v>OK</v>
      </c>
      <c r="K726" s="16"/>
      <c r="L726" s="1"/>
    </row>
    <row r="727" customFormat="false" ht="15" hidden="false" customHeight="false" outlineLevel="0" collapsed="false">
      <c r="A727" s="1"/>
      <c r="B727" s="32" t="s">
        <v>661</v>
      </c>
      <c r="C727" s="19" t="s">
        <v>662</v>
      </c>
      <c r="D727" s="19" t="s">
        <v>12</v>
      </c>
      <c r="E727" s="65" t="n">
        <v>1</v>
      </c>
      <c r="F727" s="27" t="s">
        <v>179</v>
      </c>
      <c r="G727" s="20" t="n">
        <v>7.75</v>
      </c>
      <c r="H727" s="20" t="n">
        <v>7.75</v>
      </c>
      <c r="I727" s="62" t="n">
        <f aca="false">IF(OR(E727="",G727=""),"",ROUND(E727*G727,2))</f>
        <v>7.75</v>
      </c>
      <c r="J727" s="25" t="str">
        <f aca="false">IF(OR(H727="",I727=""),"",IF(ABS(H727-I727)&lt;=0.02,"OK","≠"))</f>
        <v>OK</v>
      </c>
      <c r="K727" s="16"/>
      <c r="L727" s="1"/>
    </row>
    <row r="728" customFormat="false" ht="15" hidden="false" customHeight="false" outlineLevel="0" collapsed="false">
      <c r="A728" s="1"/>
      <c r="B728" s="30" t="s">
        <v>663</v>
      </c>
      <c r="C728" s="16" t="s">
        <v>664</v>
      </c>
      <c r="D728" s="16" t="s">
        <v>12</v>
      </c>
      <c r="E728" s="64" t="n">
        <v>1</v>
      </c>
      <c r="F728" s="25" t="s">
        <v>179</v>
      </c>
      <c r="G728" s="17" t="n">
        <v>30.99</v>
      </c>
      <c r="H728" s="17" t="n">
        <v>30.99</v>
      </c>
      <c r="I728" s="62" t="n">
        <f aca="false">IF(OR(E728="",G728=""),"",ROUND(E728*G728,2))</f>
        <v>30.99</v>
      </c>
      <c r="J728" s="25" t="str">
        <f aca="false">IF(OR(H728="",I728=""),"",IF(ABS(H728-I728)&lt;=0.02,"OK","≠"))</f>
        <v>OK</v>
      </c>
      <c r="K728" s="16"/>
      <c r="L728" s="1"/>
    </row>
    <row r="729" customFormat="false" ht="15" hidden="false" customHeight="false" outlineLevel="0" collapsed="false">
      <c r="A729" s="1"/>
      <c r="B729" s="32" t="s">
        <v>240</v>
      </c>
      <c r="C729" s="19" t="s">
        <v>241</v>
      </c>
      <c r="D729" s="19" t="s">
        <v>12</v>
      </c>
      <c r="E729" s="65" t="n">
        <v>1</v>
      </c>
      <c r="F729" s="27" t="s">
        <v>179</v>
      </c>
      <c r="G729" s="20" t="n">
        <v>1.8</v>
      </c>
      <c r="H729" s="20" t="n">
        <v>1.8</v>
      </c>
      <c r="I729" s="62" t="n">
        <f aca="false">IF(OR(E729="",G729=""),"",ROUND(E729*G729,2))</f>
        <v>1.8</v>
      </c>
      <c r="J729" s="25" t="str">
        <f aca="false">IF(OR(H729="",I729=""),"",IF(ABS(H729-I729)&lt;=0.02,"OK","≠"))</f>
        <v>OK</v>
      </c>
      <c r="K729" s="16"/>
      <c r="L729" s="1"/>
    </row>
    <row r="730" customFormat="false" ht="15" hidden="false" customHeight="false" outlineLevel="0" collapsed="false">
      <c r="A730" s="1"/>
      <c r="B730" s="30" t="s">
        <v>665</v>
      </c>
      <c r="C730" s="16" t="s">
        <v>666</v>
      </c>
      <c r="D730" s="16" t="s">
        <v>12</v>
      </c>
      <c r="E730" s="64" t="n">
        <v>1</v>
      </c>
      <c r="F730" s="25" t="s">
        <v>179</v>
      </c>
      <c r="G730" s="17" t="n">
        <v>2.35</v>
      </c>
      <c r="H730" s="17" t="n">
        <v>2.35</v>
      </c>
      <c r="I730" s="62" t="n">
        <f aca="false">IF(OR(E730="",G730=""),"",ROUND(E730*G730,2))</f>
        <v>2.35</v>
      </c>
      <c r="J730" s="25" t="str">
        <f aca="false">IF(OR(H730="",I730=""),"",IF(ABS(H730-I730)&lt;=0.02,"OK","≠"))</f>
        <v>OK</v>
      </c>
      <c r="K730" s="16"/>
      <c r="L730" s="1"/>
    </row>
    <row r="731" customFormat="false" ht="15" hidden="false" customHeight="false" outlineLevel="0" collapsed="false">
      <c r="A731" s="1"/>
      <c r="B731" s="32" t="s">
        <v>240</v>
      </c>
      <c r="C731" s="19" t="s">
        <v>241</v>
      </c>
      <c r="D731" s="19" t="s">
        <v>12</v>
      </c>
      <c r="E731" s="65" t="n">
        <v>1</v>
      </c>
      <c r="F731" s="27" t="s">
        <v>179</v>
      </c>
      <c r="G731" s="20" t="n">
        <v>1.8</v>
      </c>
      <c r="H731" s="20" t="n">
        <v>1.8</v>
      </c>
      <c r="I731" s="62" t="n">
        <f aca="false">IF(OR(E731="",G731=""),"",ROUND(E731*G731,2))</f>
        <v>1.8</v>
      </c>
      <c r="J731" s="25" t="str">
        <f aca="false">IF(OR(H731="",I731=""),"",IF(ABS(H731-I731)&lt;=0.02,"OK","≠"))</f>
        <v>OK</v>
      </c>
      <c r="K731" s="16"/>
      <c r="L731" s="1"/>
    </row>
    <row r="732" customFormat="false" ht="15" hidden="false" customHeight="false" outlineLevel="0" collapsed="false">
      <c r="A732" s="1"/>
      <c r="B732" s="30" t="s">
        <v>198</v>
      </c>
      <c r="C732" s="16" t="s">
        <v>242</v>
      </c>
      <c r="D732" s="16" t="s">
        <v>12</v>
      </c>
      <c r="E732" s="64" t="n">
        <v>1</v>
      </c>
      <c r="F732" s="25" t="s">
        <v>179</v>
      </c>
      <c r="G732" s="17" t="n">
        <v>3.95</v>
      </c>
      <c r="H732" s="17" t="n">
        <v>3.95</v>
      </c>
      <c r="I732" s="62" t="n">
        <f aca="false">IF(OR(E732="",G732=""),"",ROUND(E732*G732,2))</f>
        <v>3.95</v>
      </c>
      <c r="J732" s="25" t="str">
        <f aca="false">IF(OR(H732="",I732=""),"",IF(ABS(H732-I732)&lt;=0.02,"OK","≠"))</f>
        <v>OK</v>
      </c>
      <c r="K732" s="16"/>
      <c r="L732" s="1"/>
    </row>
    <row r="733" customFormat="false" ht="15" hidden="false" customHeight="false" outlineLevel="0" collapsed="false">
      <c r="A733" s="1"/>
      <c r="B733" s="32" t="s">
        <v>198</v>
      </c>
      <c r="C733" s="19" t="s">
        <v>242</v>
      </c>
      <c r="D733" s="19" t="s">
        <v>12</v>
      </c>
      <c r="E733" s="65" t="n">
        <v>1</v>
      </c>
      <c r="F733" s="27" t="s">
        <v>179</v>
      </c>
      <c r="G733" s="20" t="n">
        <v>3.95</v>
      </c>
      <c r="H733" s="20" t="n">
        <v>3.95</v>
      </c>
      <c r="I733" s="62" t="n">
        <f aca="false">IF(OR(E733="",G733=""),"",ROUND(E733*G733,2))</f>
        <v>3.95</v>
      </c>
      <c r="J733" s="25" t="str">
        <f aca="false">IF(OR(H733="",I733=""),"",IF(ABS(H733-I733)&lt;=0.02,"OK","≠"))</f>
        <v>OK</v>
      </c>
      <c r="K733" s="16"/>
      <c r="L733" s="1"/>
    </row>
    <row r="734" customFormat="false" ht="15" hidden="false" customHeight="false" outlineLevel="0" collapsed="false">
      <c r="A734" s="1"/>
      <c r="B734" s="30" t="s">
        <v>240</v>
      </c>
      <c r="C734" s="16" t="s">
        <v>241</v>
      </c>
      <c r="D734" s="16" t="s">
        <v>12</v>
      </c>
      <c r="E734" s="64" t="n">
        <v>1</v>
      </c>
      <c r="F734" s="25" t="s">
        <v>179</v>
      </c>
      <c r="G734" s="17" t="n">
        <v>1.8</v>
      </c>
      <c r="H734" s="17" t="n">
        <v>1.8</v>
      </c>
      <c r="I734" s="62" t="n">
        <f aca="false">IF(OR(E734="",G734=""),"",ROUND(E734*G734,2))</f>
        <v>1.8</v>
      </c>
      <c r="J734" s="25" t="str">
        <f aca="false">IF(OR(H734="",I734=""),"",IF(ABS(H734-I734)&lt;=0.02,"OK","≠"))</f>
        <v>OK</v>
      </c>
      <c r="K734" s="16"/>
      <c r="L734" s="1"/>
    </row>
    <row r="735" customFormat="false" ht="15" hidden="false" customHeight="false" outlineLevel="0" collapsed="false">
      <c r="A735" s="1"/>
      <c r="B735" s="32" t="s">
        <v>667</v>
      </c>
      <c r="C735" s="19" t="s">
        <v>666</v>
      </c>
      <c r="D735" s="19" t="s">
        <v>12</v>
      </c>
      <c r="E735" s="65" t="n">
        <v>1</v>
      </c>
      <c r="F735" s="27" t="s">
        <v>179</v>
      </c>
      <c r="G735" s="20" t="n">
        <v>2.35</v>
      </c>
      <c r="H735" s="20" t="n">
        <v>2.35</v>
      </c>
      <c r="I735" s="62" t="n">
        <f aca="false">IF(OR(E735="",G735=""),"",ROUND(E735*G735,2))</f>
        <v>2.35</v>
      </c>
      <c r="J735" s="25" t="str">
        <f aca="false">IF(OR(H735="",I735=""),"",IF(ABS(H735-I735)&lt;=0.02,"OK","≠"))</f>
        <v>OK</v>
      </c>
      <c r="K735" s="16"/>
      <c r="L735" s="1"/>
    </row>
    <row r="736" customFormat="false" ht="15" hidden="false" customHeight="false" outlineLevel="0" collapsed="false">
      <c r="A736" s="1"/>
      <c r="B736" s="30" t="s">
        <v>668</v>
      </c>
      <c r="C736" s="16" t="s">
        <v>356</v>
      </c>
      <c r="D736" s="16" t="s">
        <v>12</v>
      </c>
      <c r="E736" s="64" t="n">
        <v>1</v>
      </c>
      <c r="F736" s="25" t="s">
        <v>179</v>
      </c>
      <c r="G736" s="17" t="n">
        <v>2.99</v>
      </c>
      <c r="H736" s="17" t="n">
        <v>2.99</v>
      </c>
      <c r="I736" s="62" t="n">
        <f aca="false">IF(OR(E736="",G736=""),"",ROUND(E736*G736,2))</f>
        <v>2.99</v>
      </c>
      <c r="J736" s="25" t="str">
        <f aca="false">IF(OR(H736="",I736=""),"",IF(ABS(H736-I736)&lt;=0.02,"OK","≠"))</f>
        <v>OK</v>
      </c>
      <c r="K736" s="16"/>
      <c r="L736" s="1"/>
    </row>
    <row r="737" customFormat="false" ht="15" hidden="false" customHeight="false" outlineLevel="0" collapsed="false">
      <c r="A737" s="1"/>
      <c r="B737" s="32" t="s">
        <v>550</v>
      </c>
      <c r="C737" s="19" t="s">
        <v>356</v>
      </c>
      <c r="D737" s="19" t="s">
        <v>12</v>
      </c>
      <c r="E737" s="65" t="n">
        <v>1</v>
      </c>
      <c r="F737" s="27" t="s">
        <v>179</v>
      </c>
      <c r="G737" s="20" t="n">
        <v>2.99</v>
      </c>
      <c r="H737" s="20" t="n">
        <v>2.99</v>
      </c>
      <c r="I737" s="62" t="n">
        <f aca="false">IF(OR(E737="",G737=""),"",ROUND(E737*G737,2))</f>
        <v>2.99</v>
      </c>
      <c r="J737" s="25" t="str">
        <f aca="false">IF(OR(H737="",I737=""),"",IF(ABS(H737-I737)&lt;=0.02,"OK","≠"))</f>
        <v>OK</v>
      </c>
      <c r="K737" s="16"/>
      <c r="L737" s="1"/>
    </row>
    <row r="738" customFormat="false" ht="15" hidden="false" customHeight="false" outlineLevel="0" collapsed="false">
      <c r="A738" s="1"/>
      <c r="B738" s="30" t="s">
        <v>669</v>
      </c>
      <c r="C738" s="16" t="s">
        <v>670</v>
      </c>
      <c r="D738" s="16" t="s">
        <v>12</v>
      </c>
      <c r="E738" s="64" t="n">
        <v>1</v>
      </c>
      <c r="F738" s="25" t="s">
        <v>179</v>
      </c>
      <c r="G738" s="17" t="n">
        <v>4.25</v>
      </c>
      <c r="H738" s="17" t="n">
        <v>4.25</v>
      </c>
      <c r="I738" s="62" t="n">
        <f aca="false">IF(OR(E738="",G738=""),"",ROUND(E738*G738,2))</f>
        <v>4.25</v>
      </c>
      <c r="J738" s="25" t="str">
        <f aca="false">IF(OR(H738="",I738=""),"",IF(ABS(H738-I738)&lt;=0.02,"OK","≠"))</f>
        <v>OK</v>
      </c>
      <c r="K738" s="16"/>
      <c r="L738" s="1"/>
    </row>
    <row r="739" customFormat="false" ht="15" hidden="false" customHeight="false" outlineLevel="0" collapsed="false">
      <c r="A739" s="1"/>
      <c r="B739" s="32" t="s">
        <v>359</v>
      </c>
      <c r="C739" s="19" t="s">
        <v>360</v>
      </c>
      <c r="D739" s="19" t="s">
        <v>12</v>
      </c>
      <c r="E739" s="65" t="n">
        <v>1</v>
      </c>
      <c r="F739" s="27" t="s">
        <v>179</v>
      </c>
      <c r="G739" s="20" t="n">
        <v>3.85</v>
      </c>
      <c r="H739" s="20" t="n">
        <v>3.85</v>
      </c>
      <c r="I739" s="62" t="n">
        <f aca="false">IF(OR(E739="",G739=""),"",ROUND(E739*G739,2))</f>
        <v>3.85</v>
      </c>
      <c r="J739" s="25" t="str">
        <f aca="false">IF(OR(H739="",I739=""),"",IF(ABS(H739-I739)&lt;=0.02,"OK","≠"))</f>
        <v>OK</v>
      </c>
      <c r="K739" s="16"/>
      <c r="L739" s="1"/>
    </row>
    <row r="740" customFormat="false" ht="15" hidden="false" customHeight="false" outlineLevel="0" collapsed="false">
      <c r="A740" s="1"/>
      <c r="B740" s="30" t="s">
        <v>359</v>
      </c>
      <c r="C740" s="16" t="s">
        <v>360</v>
      </c>
      <c r="D740" s="16" t="s">
        <v>12</v>
      </c>
      <c r="E740" s="64" t="n">
        <v>1</v>
      </c>
      <c r="F740" s="25" t="s">
        <v>179</v>
      </c>
      <c r="G740" s="17" t="n">
        <v>3.85</v>
      </c>
      <c r="H740" s="17" t="n">
        <v>3.85</v>
      </c>
      <c r="I740" s="62" t="n">
        <f aca="false">IF(OR(E740="",G740=""),"",ROUND(E740*G740,2))</f>
        <v>3.85</v>
      </c>
      <c r="J740" s="25" t="str">
        <f aca="false">IF(OR(H740="",I740=""),"",IF(ABS(H740-I740)&lt;=0.02,"OK","≠"))</f>
        <v>OK</v>
      </c>
      <c r="K740" s="16"/>
      <c r="L740" s="1"/>
    </row>
    <row r="741" customFormat="false" ht="15" hidden="false" customHeight="false" outlineLevel="0" collapsed="false">
      <c r="A741" s="1"/>
      <c r="B741" s="32" t="s">
        <v>671</v>
      </c>
      <c r="C741" s="19" t="s">
        <v>672</v>
      </c>
      <c r="D741" s="19" t="s">
        <v>12</v>
      </c>
      <c r="E741" s="65" t="n">
        <v>1</v>
      </c>
      <c r="F741" s="27" t="s">
        <v>179</v>
      </c>
      <c r="G741" s="20" t="n">
        <v>4.6</v>
      </c>
      <c r="H741" s="20" t="n">
        <v>4.6</v>
      </c>
      <c r="I741" s="62" t="n">
        <f aca="false">IF(OR(E741="",G741=""),"",ROUND(E741*G741,2))</f>
        <v>4.6</v>
      </c>
      <c r="J741" s="25" t="str">
        <f aca="false">IF(OR(H741="",I741=""),"",IF(ABS(H741-I741)&lt;=0.02,"OK","≠"))</f>
        <v>OK</v>
      </c>
      <c r="K741" s="16"/>
      <c r="L741" s="1"/>
    </row>
    <row r="742" customFormat="false" ht="15" hidden="false" customHeight="false" outlineLevel="0" collapsed="false">
      <c r="A742" s="1"/>
      <c r="B742" s="30" t="s">
        <v>673</v>
      </c>
      <c r="C742" s="16" t="s">
        <v>362</v>
      </c>
      <c r="D742" s="16" t="s">
        <v>12</v>
      </c>
      <c r="E742" s="64" t="n">
        <v>1</v>
      </c>
      <c r="F742" s="25" t="s">
        <v>179</v>
      </c>
      <c r="G742" s="17" t="n">
        <v>4.85</v>
      </c>
      <c r="H742" s="17" t="n">
        <v>4.85</v>
      </c>
      <c r="I742" s="62" t="n">
        <f aca="false">IF(OR(E742="",G742=""),"",ROUND(E742*G742,2))</f>
        <v>4.85</v>
      </c>
      <c r="J742" s="25" t="str">
        <f aca="false">IF(OR(H742="",I742=""),"",IF(ABS(H742-I742)&lt;=0.02,"OK","≠"))</f>
        <v>OK</v>
      </c>
      <c r="K742" s="16"/>
      <c r="L742" s="1"/>
    </row>
    <row r="743" customFormat="false" ht="15" hidden="false" customHeight="false" outlineLevel="0" collapsed="false">
      <c r="A743" s="1"/>
      <c r="B743" s="32" t="s">
        <v>674</v>
      </c>
      <c r="C743" s="19" t="s">
        <v>364</v>
      </c>
      <c r="D743" s="19" t="s">
        <v>12</v>
      </c>
      <c r="E743" s="65" t="n">
        <v>1</v>
      </c>
      <c r="F743" s="27" t="s">
        <v>179</v>
      </c>
      <c r="G743" s="20" t="n">
        <v>7.3</v>
      </c>
      <c r="H743" s="20" t="n">
        <v>7.3</v>
      </c>
      <c r="I743" s="62" t="n">
        <f aca="false">IF(OR(E743="",G743=""),"",ROUND(E743*G743,2))</f>
        <v>7.3</v>
      </c>
      <c r="J743" s="25" t="str">
        <f aca="false">IF(OR(H743="",I743=""),"",IF(ABS(H743-I743)&lt;=0.02,"OK","≠"))</f>
        <v>OK</v>
      </c>
      <c r="K743" s="16"/>
      <c r="L743" s="1"/>
    </row>
    <row r="744" customFormat="false" ht="15" hidden="false" customHeight="false" outlineLevel="0" collapsed="false">
      <c r="A744" s="1"/>
      <c r="B744" s="30" t="s">
        <v>675</v>
      </c>
      <c r="C744" s="16" t="s">
        <v>676</v>
      </c>
      <c r="D744" s="16" t="s">
        <v>12</v>
      </c>
      <c r="E744" s="64" t="n">
        <v>1</v>
      </c>
      <c r="F744" s="25" t="s">
        <v>179</v>
      </c>
      <c r="G744" s="17" t="n">
        <v>3.19</v>
      </c>
      <c r="H744" s="17" t="n">
        <v>3.19</v>
      </c>
      <c r="I744" s="62" t="n">
        <f aca="false">IF(OR(E744="",G744=""),"",ROUND(E744*G744,2))</f>
        <v>3.19</v>
      </c>
      <c r="J744" s="25" t="str">
        <f aca="false">IF(OR(H744="",I744=""),"",IF(ABS(H744-I744)&lt;=0.02,"OK","≠"))</f>
        <v>OK</v>
      </c>
      <c r="K744" s="16"/>
      <c r="L744" s="1"/>
    </row>
    <row r="745" customFormat="false" ht="15" hidden="false" customHeight="false" outlineLevel="0" collapsed="false">
      <c r="A745" s="1"/>
      <c r="B745" s="32" t="s">
        <v>350</v>
      </c>
      <c r="C745" s="19" t="s">
        <v>351</v>
      </c>
      <c r="D745" s="19" t="s">
        <v>12</v>
      </c>
      <c r="E745" s="65" t="n">
        <v>1</v>
      </c>
      <c r="F745" s="27" t="s">
        <v>179</v>
      </c>
      <c r="G745" s="20" t="n">
        <v>4.15</v>
      </c>
      <c r="H745" s="20" t="n">
        <v>4.15</v>
      </c>
      <c r="I745" s="62" t="n">
        <f aca="false">IF(OR(E745="",G745=""),"",ROUND(E745*G745,2))</f>
        <v>4.15</v>
      </c>
      <c r="J745" s="25" t="str">
        <f aca="false">IF(OR(H745="",I745=""),"",IF(ABS(H745-I745)&lt;=0.02,"OK","≠"))</f>
        <v>OK</v>
      </c>
      <c r="K745" s="16"/>
      <c r="L745" s="1"/>
    </row>
    <row r="746" customFormat="false" ht="15" hidden="false" customHeight="false" outlineLevel="0" collapsed="false">
      <c r="A746" s="1"/>
      <c r="B746" s="30" t="s">
        <v>200</v>
      </c>
      <c r="C746" s="16" t="s">
        <v>677</v>
      </c>
      <c r="D746" s="16" t="s">
        <v>12</v>
      </c>
      <c r="E746" s="64" t="n">
        <v>1</v>
      </c>
      <c r="F746" s="25" t="s">
        <v>179</v>
      </c>
      <c r="G746" s="17" t="n">
        <v>1.7</v>
      </c>
      <c r="H746" s="17" t="n">
        <v>1.7</v>
      </c>
      <c r="I746" s="62" t="n">
        <f aca="false">IF(OR(E746="",G746=""),"",ROUND(E746*G746,2))</f>
        <v>1.7</v>
      </c>
      <c r="J746" s="25" t="str">
        <f aca="false">IF(OR(H746="",I746=""),"",IF(ABS(H746-I746)&lt;=0.02,"OK","≠"))</f>
        <v>OK</v>
      </c>
      <c r="K746" s="16"/>
      <c r="L746" s="1"/>
    </row>
    <row r="747" customFormat="false" ht="15" hidden="false" customHeight="false" outlineLevel="0" collapsed="false">
      <c r="A747" s="1"/>
      <c r="B747" s="32" t="s">
        <v>200</v>
      </c>
      <c r="C747" s="19" t="s">
        <v>677</v>
      </c>
      <c r="D747" s="19" t="s">
        <v>12</v>
      </c>
      <c r="E747" s="65" t="n">
        <v>1</v>
      </c>
      <c r="F747" s="27" t="s">
        <v>179</v>
      </c>
      <c r="G747" s="20" t="n">
        <v>1.7</v>
      </c>
      <c r="H747" s="20" t="n">
        <v>1.7</v>
      </c>
      <c r="I747" s="62" t="n">
        <f aca="false">IF(OR(E747="",G747=""),"",ROUND(E747*G747,2))</f>
        <v>1.7</v>
      </c>
      <c r="J747" s="25" t="str">
        <f aca="false">IF(OR(H747="",I747=""),"",IF(ABS(H747-I747)&lt;=0.02,"OK","≠"))</f>
        <v>OK</v>
      </c>
      <c r="K747" s="16"/>
      <c r="L747" s="1"/>
    </row>
    <row r="748" customFormat="false" ht="15" hidden="false" customHeight="false" outlineLevel="0" collapsed="false">
      <c r="A748" s="1"/>
      <c r="B748" s="30" t="s">
        <v>611</v>
      </c>
      <c r="C748" s="16" t="s">
        <v>612</v>
      </c>
      <c r="D748" s="16" t="s">
        <v>12</v>
      </c>
      <c r="E748" s="64" t="n">
        <v>1</v>
      </c>
      <c r="F748" s="25" t="s">
        <v>179</v>
      </c>
      <c r="G748" s="17" t="n">
        <v>14.99</v>
      </c>
      <c r="H748" s="17" t="n">
        <v>14.99</v>
      </c>
      <c r="I748" s="62" t="n">
        <f aca="false">IF(OR(E748="",G748=""),"",ROUND(E748*G748,2))</f>
        <v>14.99</v>
      </c>
      <c r="J748" s="25" t="str">
        <f aca="false">IF(OR(H748="",I748=""),"",IF(ABS(H748-I748)&lt;=0.02,"OK","≠"))</f>
        <v>OK</v>
      </c>
      <c r="K748" s="16"/>
      <c r="L748" s="1"/>
    </row>
    <row r="749" customFormat="false" ht="15" hidden="false" customHeight="false" outlineLevel="0" collapsed="false">
      <c r="A749" s="1"/>
      <c r="B749" s="32" t="s">
        <v>678</v>
      </c>
      <c r="C749" s="19" t="s">
        <v>679</v>
      </c>
      <c r="D749" s="19" t="s">
        <v>12</v>
      </c>
      <c r="E749" s="65" t="n">
        <v>1</v>
      </c>
      <c r="F749" s="27" t="s">
        <v>179</v>
      </c>
      <c r="G749" s="20" t="n">
        <v>6.95</v>
      </c>
      <c r="H749" s="20" t="n">
        <v>6.95</v>
      </c>
      <c r="I749" s="62" t="n">
        <f aca="false">IF(OR(E749="",G749=""),"",ROUND(E749*G749,2))</f>
        <v>6.95</v>
      </c>
      <c r="J749" s="25" t="str">
        <f aca="false">IF(OR(H749="",I749=""),"",IF(ABS(H749-I749)&lt;=0.02,"OK","≠"))</f>
        <v>OK</v>
      </c>
      <c r="K749" s="16"/>
      <c r="L749" s="1"/>
    </row>
    <row r="750" customFormat="false" ht="15" hidden="false" customHeight="false" outlineLevel="0" collapsed="false">
      <c r="A750" s="1"/>
      <c r="B750" s="30" t="s">
        <v>678</v>
      </c>
      <c r="C750" s="16" t="s">
        <v>679</v>
      </c>
      <c r="D750" s="16" t="s">
        <v>12</v>
      </c>
      <c r="E750" s="64" t="n">
        <v>1</v>
      </c>
      <c r="F750" s="25" t="s">
        <v>179</v>
      </c>
      <c r="G750" s="17" t="n">
        <v>6.95</v>
      </c>
      <c r="H750" s="17" t="n">
        <v>6.95</v>
      </c>
      <c r="I750" s="62" t="n">
        <f aca="false">IF(OR(E750="",G750=""),"",ROUND(E750*G750,2))</f>
        <v>6.95</v>
      </c>
      <c r="J750" s="25" t="str">
        <f aca="false">IF(OR(H750="",I750=""),"",IF(ABS(H750-I750)&lt;=0.02,"OK","≠"))</f>
        <v>OK</v>
      </c>
      <c r="K750" s="16"/>
      <c r="L750" s="1"/>
    </row>
    <row r="751" customFormat="false" ht="15" hidden="false" customHeight="false" outlineLevel="0" collapsed="false">
      <c r="A751" s="1"/>
      <c r="B751" s="32" t="s">
        <v>680</v>
      </c>
      <c r="C751" s="19" t="s">
        <v>681</v>
      </c>
      <c r="D751" s="19" t="s">
        <v>12</v>
      </c>
      <c r="E751" s="65" t="n">
        <v>1</v>
      </c>
      <c r="F751" s="27" t="s">
        <v>179</v>
      </c>
      <c r="G751" s="20" t="n">
        <v>3.99</v>
      </c>
      <c r="H751" s="20" t="n">
        <v>3.99</v>
      </c>
      <c r="I751" s="62" t="n">
        <f aca="false">IF(OR(E751="",G751=""),"",ROUND(E751*G751,2))</f>
        <v>3.99</v>
      </c>
      <c r="J751" s="25" t="str">
        <f aca="false">IF(OR(H751="",I751=""),"",IF(ABS(H751-I751)&lt;=0.02,"OK","≠"))</f>
        <v>OK</v>
      </c>
      <c r="K751" s="16"/>
      <c r="L751" s="1"/>
    </row>
    <row r="752" customFormat="false" ht="15" hidden="false" customHeight="false" outlineLevel="0" collapsed="false">
      <c r="A752" s="1"/>
      <c r="B752" s="30" t="s">
        <v>682</v>
      </c>
      <c r="C752" s="16" t="s">
        <v>683</v>
      </c>
      <c r="D752" s="16" t="s">
        <v>12</v>
      </c>
      <c r="E752" s="64" t="n">
        <v>1</v>
      </c>
      <c r="F752" s="25" t="s">
        <v>179</v>
      </c>
      <c r="G752" s="17" t="n">
        <v>3.95</v>
      </c>
      <c r="H752" s="17" t="n">
        <v>3.95</v>
      </c>
      <c r="I752" s="62" t="n">
        <f aca="false">IF(OR(E752="",G752=""),"",ROUND(E752*G752,2))</f>
        <v>3.95</v>
      </c>
      <c r="J752" s="25" t="str">
        <f aca="false">IF(OR(H752="",I752=""),"",IF(ABS(H752-I752)&lt;=0.02,"OK","≠"))</f>
        <v>OK</v>
      </c>
      <c r="K752" s="16"/>
      <c r="L752" s="1"/>
    </row>
    <row r="753" customFormat="false" ht="15" hidden="false" customHeight="false" outlineLevel="0" collapsed="false">
      <c r="A753" s="1"/>
      <c r="B753" s="32" t="s">
        <v>684</v>
      </c>
      <c r="C753" s="19" t="s">
        <v>685</v>
      </c>
      <c r="D753" s="19" t="s">
        <v>12</v>
      </c>
      <c r="E753" s="65" t="n">
        <v>1</v>
      </c>
      <c r="F753" s="27" t="s">
        <v>179</v>
      </c>
      <c r="G753" s="20" t="n">
        <v>4.99</v>
      </c>
      <c r="H753" s="20" t="n">
        <v>4.99</v>
      </c>
      <c r="I753" s="62" t="n">
        <f aca="false">IF(OR(E753="",G753=""),"",ROUND(E753*G753,2))</f>
        <v>4.99</v>
      </c>
      <c r="J753" s="25" t="str">
        <f aca="false">IF(OR(H753="",I753=""),"",IF(ABS(H753-I753)&lt;=0.02,"OK","≠"))</f>
        <v>OK</v>
      </c>
      <c r="K753" s="16"/>
      <c r="L753" s="1"/>
    </row>
    <row r="754" customFormat="false" ht="15" hidden="false" customHeight="false" outlineLevel="0" collapsed="false">
      <c r="A754" s="1"/>
      <c r="B754" s="30" t="s">
        <v>686</v>
      </c>
      <c r="C754" s="16" t="s">
        <v>687</v>
      </c>
      <c r="D754" s="16" t="s">
        <v>18</v>
      </c>
      <c r="E754" s="64" t="n">
        <v>1</v>
      </c>
      <c r="F754" s="25" t="s">
        <v>179</v>
      </c>
      <c r="G754" s="17" t="n">
        <v>7.4</v>
      </c>
      <c r="H754" s="17" t="n">
        <v>7.4</v>
      </c>
      <c r="I754" s="62" t="n">
        <f aca="false">IF(OR(E754="",G754=""),"",ROUND(E754*G754,2))</f>
        <v>7.4</v>
      </c>
      <c r="J754" s="25" t="str">
        <f aca="false">IF(OR(H754="",I754=""),"",IF(ABS(H754-I754)&lt;=0.02,"OK","≠"))</f>
        <v>OK</v>
      </c>
      <c r="K754" s="16"/>
      <c r="L754" s="1"/>
    </row>
    <row r="755" customFormat="false" ht="15" hidden="false" customHeight="false" outlineLevel="0" collapsed="false">
      <c r="A755" s="1"/>
      <c r="B755" s="32" t="s">
        <v>688</v>
      </c>
      <c r="C755" s="19" t="s">
        <v>689</v>
      </c>
      <c r="D755" s="19" t="s">
        <v>12</v>
      </c>
      <c r="E755" s="65" t="n">
        <v>1</v>
      </c>
      <c r="F755" s="27" t="s">
        <v>179</v>
      </c>
      <c r="G755" s="20" t="n">
        <v>7.7</v>
      </c>
      <c r="H755" s="20" t="n">
        <v>7.7</v>
      </c>
      <c r="I755" s="62" t="n">
        <f aca="false">IF(OR(E755="",G755=""),"",ROUND(E755*G755,2))</f>
        <v>7.7</v>
      </c>
      <c r="J755" s="25" t="str">
        <f aca="false">IF(OR(H755="",I755=""),"",IF(ABS(H755-I755)&lt;=0.02,"OK","≠"))</f>
        <v>OK</v>
      </c>
      <c r="K755" s="16"/>
      <c r="L755" s="1"/>
    </row>
    <row r="756" customFormat="false" ht="15" hidden="false" customHeight="false" outlineLevel="0" collapsed="false">
      <c r="A756" s="1"/>
      <c r="B756" s="30" t="s">
        <v>376</v>
      </c>
      <c r="C756" s="16" t="s">
        <v>248</v>
      </c>
      <c r="D756" s="16" t="s">
        <v>12</v>
      </c>
      <c r="E756" s="64" t="n">
        <v>1</v>
      </c>
      <c r="F756" s="25" t="s">
        <v>179</v>
      </c>
      <c r="G756" s="17" t="n">
        <v>5.45</v>
      </c>
      <c r="H756" s="17" t="n">
        <v>5.45</v>
      </c>
      <c r="I756" s="62" t="n">
        <f aca="false">IF(OR(E756="",G756=""),"",ROUND(E756*G756,2))</f>
        <v>5.45</v>
      </c>
      <c r="J756" s="25" t="str">
        <f aca="false">IF(OR(H756="",I756=""),"",IF(ABS(H756-I756)&lt;=0.02,"OK","≠"))</f>
        <v>OK</v>
      </c>
      <c r="K756" s="16"/>
      <c r="L756" s="1"/>
    </row>
    <row r="757" customFormat="false" ht="15" hidden="false" customHeight="false" outlineLevel="0" collapsed="false">
      <c r="A757" s="1"/>
      <c r="B757" s="32" t="s">
        <v>690</v>
      </c>
      <c r="C757" s="19" t="s">
        <v>691</v>
      </c>
      <c r="D757" s="19" t="s">
        <v>12</v>
      </c>
      <c r="E757" s="65" t="n">
        <v>1</v>
      </c>
      <c r="F757" s="27" t="s">
        <v>179</v>
      </c>
      <c r="G757" s="20" t="n">
        <v>9.5</v>
      </c>
      <c r="H757" s="20" t="n">
        <v>9.5</v>
      </c>
      <c r="I757" s="62" t="n">
        <f aca="false">IF(OR(E757="",G757=""),"",ROUND(E757*G757,2))</f>
        <v>9.5</v>
      </c>
      <c r="J757" s="25" t="str">
        <f aca="false">IF(OR(H757="",I757=""),"",IF(ABS(H757-I757)&lt;=0.02,"OK","≠"))</f>
        <v>OK</v>
      </c>
      <c r="K757" s="16"/>
      <c r="L757" s="1"/>
    </row>
    <row r="758" customFormat="false" ht="15" hidden="false" customHeight="false" outlineLevel="0" collapsed="false">
      <c r="A758" s="1"/>
      <c r="B758" s="30" t="s">
        <v>404</v>
      </c>
      <c r="C758" s="16" t="s">
        <v>405</v>
      </c>
      <c r="D758" s="16" t="s">
        <v>12</v>
      </c>
      <c r="E758" s="64" t="n">
        <v>1</v>
      </c>
      <c r="F758" s="25" t="s">
        <v>179</v>
      </c>
      <c r="G758" s="17" t="n">
        <v>3.9</v>
      </c>
      <c r="H758" s="17" t="n">
        <v>3.9</v>
      </c>
      <c r="I758" s="62" t="n">
        <f aca="false">IF(OR(E758="",G758=""),"",ROUND(E758*G758,2))</f>
        <v>3.9</v>
      </c>
      <c r="J758" s="25" t="str">
        <f aca="false">IF(OR(H758="",I758=""),"",IF(ABS(H758-I758)&lt;=0.02,"OK","≠"))</f>
        <v>OK</v>
      </c>
      <c r="K758" s="16"/>
      <c r="L758" s="1"/>
    </row>
    <row r="759" customFormat="false" ht="15" hidden="false" customHeight="false" outlineLevel="0" collapsed="false">
      <c r="A759" s="1"/>
      <c r="B759" s="32" t="s">
        <v>367</v>
      </c>
      <c r="C759" s="19" t="s">
        <v>368</v>
      </c>
      <c r="D759" s="19" t="s">
        <v>18</v>
      </c>
      <c r="E759" s="65" t="n">
        <v>1</v>
      </c>
      <c r="F759" s="27" t="s">
        <v>179</v>
      </c>
      <c r="G759" s="20" t="n">
        <v>2.69</v>
      </c>
      <c r="H759" s="20" t="n">
        <v>2.69</v>
      </c>
      <c r="I759" s="62" t="n">
        <f aca="false">IF(OR(E759="",G759=""),"",ROUND(E759*G759,2))</f>
        <v>2.69</v>
      </c>
      <c r="J759" s="25" t="str">
        <f aca="false">IF(OR(H759="",I759=""),"",IF(ABS(H759-I759)&lt;=0.02,"OK","≠"))</f>
        <v>OK</v>
      </c>
      <c r="K759" s="16"/>
      <c r="L759" s="1"/>
    </row>
    <row r="760" customFormat="false" ht="15" hidden="false" customHeight="false" outlineLevel="0" collapsed="false">
      <c r="A760" s="1"/>
      <c r="B760" s="30" t="s">
        <v>249</v>
      </c>
      <c r="C760" s="16" t="s">
        <v>250</v>
      </c>
      <c r="D760" s="16" t="s">
        <v>13</v>
      </c>
      <c r="E760" s="64" t="n">
        <v>4</v>
      </c>
      <c r="F760" s="25" t="s">
        <v>179</v>
      </c>
      <c r="G760" s="17" t="n">
        <v>2.1</v>
      </c>
      <c r="H760" s="17" t="n">
        <v>8.4</v>
      </c>
      <c r="I760" s="62" t="n">
        <f aca="false">IF(OR(E760="",G760=""),"",ROUND(E760*G760,2))</f>
        <v>8.4</v>
      </c>
      <c r="J760" s="25" t="str">
        <f aca="false">IF(OR(H760="",I760=""),"",IF(ABS(H760-I760)&lt;=0.02,"OK","≠"))</f>
        <v>OK</v>
      </c>
      <c r="K760" s="16"/>
      <c r="L760" s="1"/>
    </row>
    <row r="761" customFormat="false" ht="15" hidden="false" customHeight="false" outlineLevel="0" collapsed="false">
      <c r="A761" s="1"/>
      <c r="B761" s="32" t="s">
        <v>251</v>
      </c>
      <c r="C761" s="19" t="s">
        <v>252</v>
      </c>
      <c r="D761" s="19" t="s">
        <v>14</v>
      </c>
      <c r="E761" s="65" t="n">
        <v>0.298</v>
      </c>
      <c r="F761" s="27" t="s">
        <v>176</v>
      </c>
      <c r="G761" s="20" t="n">
        <v>45</v>
      </c>
      <c r="H761" s="20" t="n">
        <v>13.41</v>
      </c>
      <c r="I761" s="62" t="n">
        <f aca="false">IF(OR(E761="",G761=""),"",ROUND(E761*G761,2))</f>
        <v>13.41</v>
      </c>
      <c r="J761" s="25" t="str">
        <f aca="false">IF(OR(H761="",I761=""),"",IF(ABS(H761-I761)&lt;=0.02,"OK","≠"))</f>
        <v>OK</v>
      </c>
      <c r="K761" s="16"/>
      <c r="L761" s="1"/>
    </row>
    <row r="762" customFormat="false" ht="15" hidden="false" customHeight="false" outlineLevel="0" collapsed="false">
      <c r="A762" s="1"/>
      <c r="B762" s="30" t="s">
        <v>692</v>
      </c>
      <c r="C762" s="16" t="s">
        <v>693</v>
      </c>
      <c r="D762" s="16" t="s">
        <v>12</v>
      </c>
      <c r="E762" s="64" t="n">
        <v>1</v>
      </c>
      <c r="F762" s="25" t="s">
        <v>179</v>
      </c>
      <c r="G762" s="17" t="n">
        <v>3.1</v>
      </c>
      <c r="H762" s="17" t="n">
        <v>3.1</v>
      </c>
      <c r="I762" s="62" t="n">
        <f aca="false">IF(OR(E762="",G762=""),"",ROUND(E762*G762,2))</f>
        <v>3.1</v>
      </c>
      <c r="J762" s="25" t="str">
        <f aca="false">IF(OR(H762="",I762=""),"",IF(ABS(H762-I762)&lt;=0.02,"OK","≠"))</f>
        <v>OK</v>
      </c>
      <c r="K762" s="16"/>
      <c r="L762" s="1"/>
    </row>
    <row r="763" customFormat="false" ht="15" hidden="false" customHeight="false" outlineLevel="0" collapsed="false">
      <c r="A763" s="1"/>
      <c r="B763" s="32" t="s">
        <v>692</v>
      </c>
      <c r="C763" s="19" t="s">
        <v>693</v>
      </c>
      <c r="D763" s="19" t="s">
        <v>12</v>
      </c>
      <c r="E763" s="65" t="n">
        <v>1</v>
      </c>
      <c r="F763" s="27" t="s">
        <v>179</v>
      </c>
      <c r="G763" s="20" t="n">
        <v>3.1</v>
      </c>
      <c r="H763" s="20" t="n">
        <v>3.1</v>
      </c>
      <c r="I763" s="62" t="n">
        <f aca="false">IF(OR(E763="",G763=""),"",ROUND(E763*G763,2))</f>
        <v>3.1</v>
      </c>
      <c r="J763" s="25" t="str">
        <f aca="false">IF(OR(H763="",I763=""),"",IF(ABS(H763-I763)&lt;=0.02,"OK","≠"))</f>
        <v>OK</v>
      </c>
      <c r="K763" s="16"/>
      <c r="L763" s="1"/>
    </row>
    <row r="764" customFormat="false" ht="15" hidden="false" customHeight="false" outlineLevel="0" collapsed="false">
      <c r="A764" s="1"/>
      <c r="B764" s="30" t="s">
        <v>196</v>
      </c>
      <c r="C764" s="16" t="s">
        <v>398</v>
      </c>
      <c r="D764" s="16" t="s">
        <v>14</v>
      </c>
      <c r="E764" s="64" t="n">
        <v>0.472</v>
      </c>
      <c r="F764" s="25" t="s">
        <v>176</v>
      </c>
      <c r="G764" s="17" t="n">
        <v>14.9</v>
      </c>
      <c r="H764" s="17" t="n">
        <v>7.03</v>
      </c>
      <c r="I764" s="62" t="n">
        <f aca="false">IF(OR(E764="",G764=""),"",ROUND(E764*G764,2))</f>
        <v>7.03</v>
      </c>
      <c r="J764" s="25" t="str">
        <f aca="false">IF(OR(H764="",I764=""),"",IF(ABS(H764-I764)&lt;=0.02,"OK","≠"))</f>
        <v>OK</v>
      </c>
      <c r="K764" s="16"/>
      <c r="L764" s="1"/>
    </row>
    <row r="765" customFormat="false" ht="15" hidden="false" customHeight="false" outlineLevel="0" collapsed="false">
      <c r="A765" s="1"/>
      <c r="B765" s="32" t="s">
        <v>399</v>
      </c>
      <c r="C765" s="19" t="s">
        <v>261</v>
      </c>
      <c r="D765" s="19" t="s">
        <v>12</v>
      </c>
      <c r="E765" s="65" t="n">
        <v>1</v>
      </c>
      <c r="F765" s="27" t="s">
        <v>179</v>
      </c>
      <c r="G765" s="20" t="n">
        <v>10.2</v>
      </c>
      <c r="H765" s="20" t="n">
        <v>10.2</v>
      </c>
      <c r="I765" s="62" t="n">
        <f aca="false">IF(OR(E765="",G765=""),"",ROUND(E765*G765,2))</f>
        <v>10.2</v>
      </c>
      <c r="J765" s="25" t="str">
        <f aca="false">IF(OR(H765="",I765=""),"",IF(ABS(H765-I765)&lt;=0.02,"OK","≠"))</f>
        <v>OK</v>
      </c>
      <c r="K765" s="16"/>
      <c r="L765" s="1"/>
    </row>
    <row r="766" customFormat="false" ht="15" hidden="false" customHeight="false" outlineLevel="0" collapsed="false">
      <c r="A766" s="1"/>
      <c r="B766" s="30" t="s">
        <v>694</v>
      </c>
      <c r="C766" s="16" t="s">
        <v>695</v>
      </c>
      <c r="D766" s="16" t="s">
        <v>12</v>
      </c>
      <c r="E766" s="64" t="n">
        <v>1</v>
      </c>
      <c r="F766" s="25" t="s">
        <v>179</v>
      </c>
      <c r="G766" s="17" t="n">
        <v>6.2</v>
      </c>
      <c r="H766" s="17" t="n">
        <v>6.2</v>
      </c>
      <c r="I766" s="62" t="n">
        <f aca="false">IF(OR(E766="",G766=""),"",ROUND(E766*G766,2))</f>
        <v>6.2</v>
      </c>
      <c r="J766" s="25" t="str">
        <f aca="false">IF(OR(H766="",I766=""),"",IF(ABS(H766-I766)&lt;=0.02,"OK","≠"))</f>
        <v>OK</v>
      </c>
      <c r="K766" s="16"/>
      <c r="L766" s="1"/>
    </row>
    <row r="767" customFormat="false" ht="15" hidden="false" customHeight="false" outlineLevel="0" collapsed="false">
      <c r="A767" s="1"/>
      <c r="B767" s="32" t="s">
        <v>696</v>
      </c>
      <c r="C767" s="19" t="s">
        <v>697</v>
      </c>
      <c r="D767" s="19" t="s">
        <v>18</v>
      </c>
      <c r="E767" s="65" t="n">
        <v>1</v>
      </c>
      <c r="F767" s="27" t="s">
        <v>179</v>
      </c>
      <c r="G767" s="20" t="n">
        <v>11.3</v>
      </c>
      <c r="H767" s="20" t="n">
        <v>11.3</v>
      </c>
      <c r="I767" s="62" t="n">
        <f aca="false">IF(OR(E767="",G767=""),"",ROUND(E767*G767,2))</f>
        <v>11.3</v>
      </c>
      <c r="J767" s="25" t="str">
        <f aca="false">IF(OR(H767="",I767=""),"",IF(ABS(H767-I767)&lt;=0.02,"OK","≠"))</f>
        <v>OK</v>
      </c>
      <c r="K767" s="16"/>
      <c r="L767" s="1"/>
    </row>
    <row r="768" customFormat="false" ht="15" hidden="false" customHeight="false" outlineLevel="0" collapsed="false">
      <c r="A768" s="1"/>
      <c r="B768" s="30" t="s">
        <v>698</v>
      </c>
      <c r="C768" s="16" t="s">
        <v>268</v>
      </c>
      <c r="D768" s="16" t="s">
        <v>12</v>
      </c>
      <c r="E768" s="64" t="n">
        <v>1</v>
      </c>
      <c r="F768" s="25" t="s">
        <v>179</v>
      </c>
      <c r="G768" s="17" t="n">
        <v>16.5</v>
      </c>
      <c r="H768" s="17" t="n">
        <v>16.5</v>
      </c>
      <c r="I768" s="62" t="n">
        <f aca="false">IF(OR(E768="",G768=""),"",ROUND(E768*G768,2))</f>
        <v>16.5</v>
      </c>
      <c r="J768" s="25" t="str">
        <f aca="false">IF(OR(H768="",I768=""),"",IF(ABS(H768-I768)&lt;=0.02,"OK","≠"))</f>
        <v>OK</v>
      </c>
      <c r="K768" s="16"/>
      <c r="L768" s="1"/>
    </row>
    <row r="769" customFormat="false" ht="15" hidden="false" customHeight="false" outlineLevel="0" collapsed="false">
      <c r="A769" s="1"/>
      <c r="B769" s="32" t="s">
        <v>699</v>
      </c>
      <c r="C769" s="19" t="s">
        <v>700</v>
      </c>
      <c r="D769" s="19" t="s">
        <v>15</v>
      </c>
      <c r="E769" s="65" t="n">
        <v>1</v>
      </c>
      <c r="F769" s="27" t="s">
        <v>179</v>
      </c>
      <c r="G769" s="20" t="n">
        <v>6.3</v>
      </c>
      <c r="H769" s="20" t="n">
        <v>6.3</v>
      </c>
      <c r="I769" s="62" t="n">
        <f aca="false">IF(OR(E769="",G769=""),"",ROUND(E769*G769,2))</f>
        <v>6.3</v>
      </c>
      <c r="J769" s="25" t="str">
        <f aca="false">IF(OR(H769="",I769=""),"",IF(ABS(H769-I769)&lt;=0.02,"OK","≠"))</f>
        <v>OK</v>
      </c>
      <c r="K769" s="16"/>
      <c r="L769" s="1"/>
    </row>
    <row r="770" customFormat="false" ht="15" hidden="false" customHeight="false" outlineLevel="0" collapsed="false">
      <c r="A770" s="1"/>
      <c r="B770" s="30" t="s">
        <v>701</v>
      </c>
      <c r="C770" s="16" t="s">
        <v>229</v>
      </c>
      <c r="D770" s="16" t="s">
        <v>13</v>
      </c>
      <c r="E770" s="64" t="n">
        <v>1</v>
      </c>
      <c r="F770" s="25" t="s">
        <v>179</v>
      </c>
      <c r="G770" s="17" t="n">
        <v>6.5</v>
      </c>
      <c r="H770" s="17" t="n">
        <v>6.5</v>
      </c>
      <c r="I770" s="62" t="n">
        <f aca="false">IF(OR(E770="",G770=""),"",ROUND(E770*G770,2))</f>
        <v>6.5</v>
      </c>
      <c r="J770" s="25" t="str">
        <f aca="false">IF(OR(H770="",I770=""),"",IF(ABS(H770-I770)&lt;=0.02,"OK","≠"))</f>
        <v>OK</v>
      </c>
      <c r="K770" s="16"/>
      <c r="L770" s="1"/>
    </row>
    <row r="771" customFormat="false" ht="15" hidden="false" customHeight="false" outlineLevel="0" collapsed="false">
      <c r="A771" s="1"/>
      <c r="B771" s="32" t="s">
        <v>599</v>
      </c>
      <c r="C771" s="19" t="s">
        <v>600</v>
      </c>
      <c r="D771" s="19" t="s">
        <v>13</v>
      </c>
      <c r="E771" s="65" t="n">
        <v>0.434</v>
      </c>
      <c r="F771" s="27" t="s">
        <v>176</v>
      </c>
      <c r="G771" s="20" t="n">
        <v>39</v>
      </c>
      <c r="H771" s="20" t="n">
        <v>16.93</v>
      </c>
      <c r="I771" s="62" t="n">
        <f aca="false">IF(OR(E771="",G771=""),"",ROUND(E771*G771,2))</f>
        <v>16.93</v>
      </c>
      <c r="J771" s="25" t="str">
        <f aca="false">IF(OR(H771="",I771=""),"",IF(ABS(H771-I771)&lt;=0.02,"OK","≠"))</f>
        <v>OK</v>
      </c>
      <c r="K771" s="16"/>
      <c r="L771" s="1"/>
    </row>
    <row r="772" customFormat="false" ht="15" hidden="false" customHeight="false" outlineLevel="0" collapsed="false">
      <c r="A772" s="1"/>
      <c r="B772" s="30" t="s">
        <v>230</v>
      </c>
      <c r="C772" s="16" t="s">
        <v>231</v>
      </c>
      <c r="D772" s="16" t="s">
        <v>13</v>
      </c>
      <c r="E772" s="64" t="n">
        <v>1</v>
      </c>
      <c r="F772" s="25" t="s">
        <v>179</v>
      </c>
      <c r="G772" s="17" t="n">
        <v>6.65</v>
      </c>
      <c r="H772" s="17" t="n">
        <v>6.65</v>
      </c>
      <c r="I772" s="62" t="n">
        <f aca="false">IF(OR(E772="",G772=""),"",ROUND(E772*G772,2))</f>
        <v>6.65</v>
      </c>
      <c r="J772" s="25" t="str">
        <f aca="false">IF(OR(H772="",I772=""),"",IF(ABS(H772-I772)&lt;=0.02,"OK","≠"))</f>
        <v>OK</v>
      </c>
      <c r="K772" s="16"/>
      <c r="L772" s="1"/>
    </row>
    <row r="773" customFormat="false" ht="15" hidden="false" customHeight="false" outlineLevel="0" collapsed="false">
      <c r="A773" s="1"/>
      <c r="B773" s="32" t="s">
        <v>230</v>
      </c>
      <c r="C773" s="19" t="s">
        <v>231</v>
      </c>
      <c r="D773" s="19" t="s">
        <v>13</v>
      </c>
      <c r="E773" s="65" t="n">
        <v>1</v>
      </c>
      <c r="F773" s="27" t="s">
        <v>179</v>
      </c>
      <c r="G773" s="20" t="n">
        <v>6.65</v>
      </c>
      <c r="H773" s="20" t="n">
        <v>6.65</v>
      </c>
      <c r="I773" s="62" t="n">
        <f aca="false">IF(OR(E773="",G773=""),"",ROUND(E773*G773,2))</f>
        <v>6.65</v>
      </c>
      <c r="J773" s="25" t="str">
        <f aca="false">IF(OR(H773="",I773=""),"",IF(ABS(H773-I773)&lt;=0.02,"OK","≠"))</f>
        <v>OK</v>
      </c>
      <c r="K773" s="16"/>
      <c r="L773" s="1"/>
    </row>
    <row r="774" customFormat="false" ht="15" hidden="false" customHeight="false" outlineLevel="0" collapsed="false">
      <c r="A774" s="1"/>
      <c r="B774" s="30" t="s">
        <v>702</v>
      </c>
      <c r="C774" s="16" t="s">
        <v>703</v>
      </c>
      <c r="D774" s="16" t="s">
        <v>17</v>
      </c>
      <c r="E774" s="64" t="n">
        <v>0.314</v>
      </c>
      <c r="F774" s="25" t="s">
        <v>176</v>
      </c>
      <c r="G774" s="17" t="n">
        <v>77.9</v>
      </c>
      <c r="H774" s="17" t="n">
        <v>24.46</v>
      </c>
      <c r="I774" s="62" t="n">
        <f aca="false">IF(OR(E774="",G774=""),"",ROUND(E774*G774,2))</f>
        <v>24.46</v>
      </c>
      <c r="J774" s="25" t="str">
        <f aca="false">IF(OR(H774="",I774=""),"",IF(ABS(H774-I774)&lt;=0.02,"OK","≠"))</f>
        <v>OK</v>
      </c>
      <c r="K774" s="16"/>
      <c r="L774" s="1"/>
    </row>
    <row r="775" customFormat="false" ht="15" hidden="false" customHeight="false" outlineLevel="0" collapsed="false">
      <c r="A775" s="1"/>
      <c r="B775" s="32" t="s">
        <v>704</v>
      </c>
      <c r="C775" s="19" t="s">
        <v>705</v>
      </c>
      <c r="D775" s="19" t="s">
        <v>17</v>
      </c>
      <c r="E775" s="65" t="n">
        <v>1</v>
      </c>
      <c r="F775" s="27" t="s">
        <v>179</v>
      </c>
      <c r="G775" s="20" t="n">
        <v>16.95</v>
      </c>
      <c r="H775" s="20" t="n">
        <v>16.95</v>
      </c>
      <c r="I775" s="62" t="n">
        <f aca="false">IF(OR(E775="",G775=""),"",ROUND(E775*G775,2))</f>
        <v>16.95</v>
      </c>
      <c r="J775" s="25" t="str">
        <f aca="false">IF(OR(H775="",I775=""),"",IF(ABS(H775-I775)&lt;=0.02,"OK","≠"))</f>
        <v>OK</v>
      </c>
      <c r="K775" s="16"/>
      <c r="L775" s="1"/>
    </row>
    <row r="776" customFormat="false" ht="15" hidden="false" customHeight="false" outlineLevel="0" collapsed="false">
      <c r="A776" s="1"/>
      <c r="B776" s="30" t="s">
        <v>706</v>
      </c>
      <c r="C776" s="16" t="s">
        <v>707</v>
      </c>
      <c r="D776" s="16" t="s">
        <v>18</v>
      </c>
      <c r="E776" s="64" t="n">
        <v>1</v>
      </c>
      <c r="F776" s="25" t="s">
        <v>179</v>
      </c>
      <c r="G776" s="17" t="n">
        <v>8.99</v>
      </c>
      <c r="H776" s="17" t="n">
        <v>8.99</v>
      </c>
      <c r="I776" s="62" t="n">
        <f aca="false">IF(OR(E776="",G776=""),"",ROUND(E776*G776,2))</f>
        <v>8.99</v>
      </c>
      <c r="J776" s="25" t="str">
        <f aca="false">IF(OR(H776="",I776=""),"",IF(ABS(H776-I776)&lt;=0.02,"OK","≠"))</f>
        <v>OK</v>
      </c>
      <c r="K776" s="16"/>
      <c r="L776" s="1"/>
    </row>
    <row r="777" customFormat="false" ht="15" hidden="false" customHeight="false" outlineLevel="0" collapsed="false">
      <c r="A777" s="1"/>
      <c r="B777" s="32" t="s">
        <v>708</v>
      </c>
      <c r="C777" s="19" t="s">
        <v>709</v>
      </c>
      <c r="D777" s="19" t="s">
        <v>13</v>
      </c>
      <c r="E777" s="65" t="n">
        <v>1</v>
      </c>
      <c r="F777" s="27" t="s">
        <v>179</v>
      </c>
      <c r="G777" s="20" t="n">
        <v>16.5</v>
      </c>
      <c r="H777" s="20" t="n">
        <v>16.5</v>
      </c>
      <c r="I777" s="62" t="n">
        <f aca="false">IF(OR(E777="",G777=""),"",ROUND(E777*G777,2))</f>
        <v>16.5</v>
      </c>
      <c r="J777" s="25" t="str">
        <f aca="false">IF(OR(H777="",I777=""),"",IF(ABS(H777-I777)&lt;=0.02,"OK","≠"))</f>
        <v>OK</v>
      </c>
      <c r="K777" s="16"/>
      <c r="L777" s="1"/>
    </row>
    <row r="778" customFormat="false" ht="15" hidden="false" customHeight="false" outlineLevel="0" collapsed="false">
      <c r="A778" s="1"/>
      <c r="B778" s="30" t="s">
        <v>571</v>
      </c>
      <c r="C778" s="16" t="s">
        <v>572</v>
      </c>
      <c r="D778" s="16" t="s">
        <v>18</v>
      </c>
      <c r="E778" s="64" t="n">
        <v>1</v>
      </c>
      <c r="F778" s="25" t="s">
        <v>179</v>
      </c>
      <c r="G778" s="17" t="n">
        <v>4.49</v>
      </c>
      <c r="H778" s="17" t="n">
        <v>4.49</v>
      </c>
      <c r="I778" s="62" t="n">
        <f aca="false">IF(OR(E778="",G778=""),"",ROUND(E778*G778,2))</f>
        <v>4.49</v>
      </c>
      <c r="J778" s="25" t="str">
        <f aca="false">IF(OR(H778="",I778=""),"",IF(ABS(H778-I778)&lt;=0.02,"OK","≠"))</f>
        <v>OK</v>
      </c>
      <c r="K778" s="16"/>
      <c r="L778" s="1"/>
    </row>
    <row r="779" customFormat="false" ht="15" hidden="false" customHeight="false" outlineLevel="0" collapsed="false">
      <c r="A779" s="1"/>
      <c r="B779" s="32" t="s">
        <v>710</v>
      </c>
      <c r="C779" s="19" t="s">
        <v>711</v>
      </c>
      <c r="D779" s="19" t="s">
        <v>18</v>
      </c>
      <c r="E779" s="65" t="n">
        <v>1</v>
      </c>
      <c r="F779" s="27" t="s">
        <v>179</v>
      </c>
      <c r="G779" s="20" t="n">
        <v>17.4</v>
      </c>
      <c r="H779" s="20" t="n">
        <v>17.4</v>
      </c>
      <c r="I779" s="62" t="n">
        <f aca="false">IF(OR(E779="",G779=""),"",ROUND(E779*G779,2))</f>
        <v>17.4</v>
      </c>
      <c r="J779" s="25" t="str">
        <f aca="false">IF(OR(H779="",I779=""),"",IF(ABS(H779-I779)&lt;=0.02,"OK","≠"))</f>
        <v>OK</v>
      </c>
      <c r="K779" s="16"/>
      <c r="L779" s="1"/>
    </row>
    <row r="780" customFormat="false" ht="15" hidden="false" customHeight="false" outlineLevel="0" collapsed="false">
      <c r="A780" s="1"/>
      <c r="B780" s="30" t="s">
        <v>712</v>
      </c>
      <c r="C780" s="16" t="s">
        <v>713</v>
      </c>
      <c r="D780" s="16" t="s">
        <v>19</v>
      </c>
      <c r="E780" s="64" t="n">
        <v>1</v>
      </c>
      <c r="F780" s="25" t="s">
        <v>179</v>
      </c>
      <c r="G780" s="17" t="n">
        <v>3.09</v>
      </c>
      <c r="H780" s="17" t="n">
        <v>3.09</v>
      </c>
      <c r="I780" s="62" t="n">
        <f aca="false">IF(OR(E780="",G780=""),"",ROUND(E780*G780,2))</f>
        <v>3.09</v>
      </c>
      <c r="J780" s="25" t="str">
        <f aca="false">IF(OR(H780="",I780=""),"",IF(ABS(H780-I780)&lt;=0.02,"OK","≠"))</f>
        <v>OK</v>
      </c>
      <c r="K780" s="16"/>
      <c r="L780" s="1"/>
    </row>
    <row r="781" customFormat="false" ht="15" hidden="false" customHeight="false" outlineLevel="0" collapsed="false">
      <c r="A781" s="1"/>
      <c r="B781" s="32" t="s">
        <v>410</v>
      </c>
      <c r="C781" s="19" t="s">
        <v>411</v>
      </c>
      <c r="D781" s="19" t="s">
        <v>19</v>
      </c>
      <c r="E781" s="65" t="n">
        <v>1</v>
      </c>
      <c r="F781" s="27" t="s">
        <v>179</v>
      </c>
      <c r="G781" s="20" t="n">
        <v>4.8</v>
      </c>
      <c r="H781" s="20" t="n">
        <v>4.8</v>
      </c>
      <c r="I781" s="62" t="n">
        <f aca="false">IF(OR(E781="",G781=""),"",ROUND(E781*G781,2))</f>
        <v>4.8</v>
      </c>
      <c r="J781" s="25" t="str">
        <f aca="false">IF(OR(H781="",I781=""),"",IF(ABS(H781-I781)&lt;=0.02,"OK","≠"))</f>
        <v>OK</v>
      </c>
      <c r="K781" s="16"/>
      <c r="L781" s="1"/>
    </row>
    <row r="782" customFormat="false" ht="15" hidden="false" customHeight="false" outlineLevel="0" collapsed="false">
      <c r="A782" s="1"/>
      <c r="B782" s="30" t="s">
        <v>418</v>
      </c>
      <c r="C782" s="16" t="s">
        <v>419</v>
      </c>
      <c r="D782" s="16" t="s">
        <v>19</v>
      </c>
      <c r="E782" s="64" t="n">
        <v>1</v>
      </c>
      <c r="F782" s="25" t="s">
        <v>179</v>
      </c>
      <c r="G782" s="17" t="n">
        <v>3.9</v>
      </c>
      <c r="H782" s="17" t="n">
        <v>3.9</v>
      </c>
      <c r="I782" s="62" t="n">
        <f aca="false">IF(OR(E782="",G782=""),"",ROUND(E782*G782,2))</f>
        <v>3.9</v>
      </c>
      <c r="J782" s="25" t="str">
        <f aca="false">IF(OR(H782="",I782=""),"",IF(ABS(H782-I782)&lt;=0.02,"OK","≠"))</f>
        <v>OK</v>
      </c>
      <c r="K782" s="16"/>
      <c r="L782" s="1"/>
    </row>
    <row r="783" customFormat="false" ht="15" hidden="false" customHeight="false" outlineLevel="0" collapsed="false">
      <c r="A783" s="1"/>
      <c r="B783" s="32" t="s">
        <v>714</v>
      </c>
      <c r="C783" s="19" t="s">
        <v>421</v>
      </c>
      <c r="D783" s="19" t="s">
        <v>18</v>
      </c>
      <c r="E783" s="65" t="n">
        <v>1</v>
      </c>
      <c r="F783" s="27" t="s">
        <v>179</v>
      </c>
      <c r="G783" s="20" t="n">
        <v>12.9</v>
      </c>
      <c r="H783" s="20" t="n">
        <v>12.9</v>
      </c>
      <c r="I783" s="62" t="n">
        <f aca="false">IF(OR(E783="",G783=""),"",ROUND(E783*G783,2))</f>
        <v>12.9</v>
      </c>
      <c r="J783" s="25" t="str">
        <f aca="false">IF(OR(H783="",I783=""),"",IF(ABS(H783-I783)&lt;=0.02,"OK","≠"))</f>
        <v>OK</v>
      </c>
      <c r="K783" s="16"/>
      <c r="L783" s="1"/>
    </row>
    <row r="784" customFormat="false" ht="15" hidden="false" customHeight="false" outlineLevel="0" collapsed="false">
      <c r="A784" s="1"/>
      <c r="B784" s="30" t="s">
        <v>715</v>
      </c>
      <c r="C784" s="16" t="s">
        <v>716</v>
      </c>
      <c r="D784" s="16" t="s">
        <v>14</v>
      </c>
      <c r="E784" s="64" t="n">
        <v>2</v>
      </c>
      <c r="F784" s="25" t="s">
        <v>179</v>
      </c>
      <c r="G784" s="17" t="n">
        <v>7.5</v>
      </c>
      <c r="H784" s="17" t="n">
        <v>15</v>
      </c>
      <c r="I784" s="62" t="n">
        <f aca="false">IF(OR(E784="",G784=""),"",ROUND(E784*G784,2))</f>
        <v>15</v>
      </c>
      <c r="J784" s="25" t="str">
        <f aca="false">IF(OR(H784="",I784=""),"",IF(ABS(H784-I784)&lt;=0.02,"OK","≠"))</f>
        <v>OK</v>
      </c>
      <c r="K784" s="16"/>
      <c r="L784" s="1"/>
    </row>
    <row r="785" customFormat="false" ht="15" hidden="false" customHeight="false" outlineLevel="0" collapsed="false">
      <c r="A785" s="1"/>
      <c r="B785" s="1"/>
      <c r="C785" s="1"/>
      <c r="D785" s="1"/>
      <c r="E785" s="1"/>
      <c r="F785" s="1"/>
      <c r="G785" s="1"/>
      <c r="H785" s="1"/>
      <c r="I785" s="1"/>
      <c r="J785" s="1"/>
      <c r="K785" s="1"/>
      <c r="L785" s="1"/>
    </row>
    <row r="786" customFormat="false" ht="19.5" hidden="false" customHeight="true" outlineLevel="0" collapsed="false">
      <c r="A786" s="1"/>
      <c r="B786" s="63" t="s">
        <v>717</v>
      </c>
      <c r="C786" s="63"/>
      <c r="D786" s="63"/>
      <c r="E786" s="63"/>
      <c r="F786" s="63"/>
      <c r="G786" s="63"/>
      <c r="H786" s="63"/>
      <c r="I786" s="63"/>
      <c r="J786" s="63"/>
      <c r="K786" s="63"/>
      <c r="L786" s="1"/>
    </row>
    <row r="787" customFormat="false" ht="15" hidden="false" customHeight="false" outlineLevel="0" collapsed="false">
      <c r="A787" s="1"/>
      <c r="B787" s="50" t="s">
        <v>34</v>
      </c>
      <c r="C787" s="45" t="s">
        <v>36</v>
      </c>
      <c r="D787" s="45"/>
      <c r="E787" s="50" t="s">
        <v>157</v>
      </c>
      <c r="F787" s="50"/>
      <c r="G787" s="45" t="s">
        <v>718</v>
      </c>
      <c r="H787" s="45"/>
      <c r="I787" s="45"/>
      <c r="J787" s="45"/>
      <c r="K787" s="45"/>
      <c r="L787" s="1"/>
    </row>
    <row r="788" customFormat="false" ht="15" hidden="false" customHeight="false" outlineLevel="0" collapsed="false">
      <c r="A788" s="1"/>
      <c r="B788" s="50" t="s">
        <v>78</v>
      </c>
      <c r="C788" s="39" t="n">
        <v>46193</v>
      </c>
      <c r="D788" s="39"/>
      <c r="E788" s="50" t="s">
        <v>80</v>
      </c>
      <c r="F788" s="50"/>
      <c r="G788" s="45" t="s">
        <v>173</v>
      </c>
      <c r="H788" s="45"/>
      <c r="I788" s="45"/>
      <c r="J788" s="45"/>
      <c r="K788" s="45"/>
      <c r="L788" s="1"/>
    </row>
    <row r="789" customFormat="false" ht="15" hidden="false" customHeight="false" outlineLevel="0" collapsed="false">
      <c r="A789" s="1"/>
      <c r="B789" s="50" t="s">
        <v>158</v>
      </c>
      <c r="C789" s="55" t="n">
        <v>21</v>
      </c>
      <c r="D789" s="55"/>
      <c r="E789" s="50" t="s">
        <v>159</v>
      </c>
      <c r="F789" s="50"/>
      <c r="G789" s="56" t="n">
        <v>158.19</v>
      </c>
      <c r="H789" s="56"/>
      <c r="I789" s="56"/>
      <c r="J789" s="56"/>
      <c r="K789" s="56"/>
      <c r="L789" s="1"/>
    </row>
    <row r="790" customFormat="false" ht="15" hidden="false" customHeight="false" outlineLevel="0" collapsed="false">
      <c r="A790" s="1"/>
      <c r="B790" s="50" t="s">
        <v>160</v>
      </c>
      <c r="C790" s="55" t="n">
        <f aca="false">COUNT(H794:H812)</f>
        <v>19</v>
      </c>
      <c r="D790" s="55"/>
      <c r="E790" s="50" t="s">
        <v>161</v>
      </c>
      <c r="F790" s="50"/>
      <c r="G790" s="56" t="n">
        <f aca="false">ROUND(SUM(H794:H812),2)</f>
        <v>158.19</v>
      </c>
      <c r="H790" s="56"/>
      <c r="I790" s="56"/>
      <c r="J790" s="56"/>
      <c r="K790" s="56"/>
      <c r="L790" s="1"/>
    </row>
    <row r="791" customFormat="false" ht="15" hidden="false" customHeight="false" outlineLevel="0" collapsed="false">
      <c r="A791" s="1"/>
      <c r="B791" s="50" t="s">
        <v>162</v>
      </c>
      <c r="C791" s="55" t="n">
        <f aca="false">ROUND(SUMPRODUCT(((F794:F812="KG")+(F794:F812="G"))*1)+SUMPRODUCT((F794:F812&lt;&gt;"KG")*(F794:F812&lt;&gt;"G")*E794:E812),0)</f>
        <v>21</v>
      </c>
      <c r="D791" s="55"/>
      <c r="E791" s="50" t="s">
        <v>163</v>
      </c>
      <c r="F791" s="50"/>
      <c r="G791" s="56" t="n">
        <f aca="false">IF(G789="","",ROUND(G789-G790,2))</f>
        <v>0</v>
      </c>
      <c r="H791" s="56"/>
      <c r="I791" s="56"/>
      <c r="J791" s="56"/>
      <c r="K791" s="56"/>
      <c r="L791" s="1"/>
    </row>
    <row r="792" customFormat="false" ht="15" hidden="false" customHeight="false" outlineLevel="0" collapsed="false">
      <c r="A792" s="1"/>
      <c r="B792" s="50" t="s">
        <v>84</v>
      </c>
      <c r="C792" s="57" t="str">
        <f aca="false">IF(C790=0,"— aguardando lançamento",IF(G789="","SEM TOTAL OFICIAL — informe o total do cupom",IF(AND(OR(C789="",C789=C790,C789=C791),ABS(G791)&lt;=0.05),"FECHADO — itens e valor conferem",IF(ABS(G791)&lt;=0.05,"REVISAR — qtd. de itens não bate","REVISAR — diferença de R$ "&amp;ABS(G791)))))</f>
        <v>FECHADO — itens e valor conferem</v>
      </c>
      <c r="D792" s="57"/>
      <c r="E792" s="57"/>
      <c r="F792" s="57"/>
      <c r="G792" s="50" t="s">
        <v>164</v>
      </c>
      <c r="H792" s="30"/>
      <c r="I792" s="30"/>
      <c r="J792" s="30"/>
      <c r="K792" s="30"/>
      <c r="L792" s="1"/>
    </row>
    <row r="793" customFormat="false" ht="15" hidden="false" customHeight="false" outlineLevel="0" collapsed="false">
      <c r="A793" s="1"/>
      <c r="B793" s="15" t="s">
        <v>165</v>
      </c>
      <c r="C793" s="15" t="s">
        <v>52</v>
      </c>
      <c r="D793" s="15" t="s">
        <v>9</v>
      </c>
      <c r="E793" s="15" t="s">
        <v>166</v>
      </c>
      <c r="F793" s="15" t="s">
        <v>167</v>
      </c>
      <c r="G793" s="15" t="s">
        <v>168</v>
      </c>
      <c r="H793" s="15" t="s">
        <v>10</v>
      </c>
      <c r="I793" s="15" t="s">
        <v>169</v>
      </c>
      <c r="J793" s="15" t="s">
        <v>170</v>
      </c>
      <c r="K793" s="15"/>
      <c r="L793" s="1"/>
    </row>
    <row r="794" customFormat="false" ht="15" hidden="false" customHeight="false" outlineLevel="0" collapsed="false">
      <c r="A794" s="1"/>
      <c r="B794" s="30" t="s">
        <v>422</v>
      </c>
      <c r="C794" s="16" t="s">
        <v>423</v>
      </c>
      <c r="D794" s="16" t="s">
        <v>12</v>
      </c>
      <c r="E794" s="64" t="n">
        <v>1</v>
      </c>
      <c r="F794" s="25" t="s">
        <v>179</v>
      </c>
      <c r="G794" s="17" t="n">
        <v>15.79</v>
      </c>
      <c r="H794" s="17" t="n">
        <v>15.79</v>
      </c>
      <c r="I794" s="62" t="n">
        <f aca="false">IF(OR(E794="",G794=""),"",ROUND(E794*G794,2))</f>
        <v>15.79</v>
      </c>
      <c r="J794" s="25" t="str">
        <f aca="false">IF(OR(H794="",I794=""),"",IF(ABS(H794-I794)&lt;=0.02,"OK","≠"))</f>
        <v>OK</v>
      </c>
      <c r="K794" s="16"/>
      <c r="L794" s="1"/>
    </row>
    <row r="795" customFormat="false" ht="15" hidden="false" customHeight="false" outlineLevel="0" collapsed="false">
      <c r="A795" s="1"/>
      <c r="B795" s="32" t="s">
        <v>230</v>
      </c>
      <c r="C795" s="19" t="s">
        <v>231</v>
      </c>
      <c r="D795" s="19" t="s">
        <v>13</v>
      </c>
      <c r="E795" s="65" t="n">
        <v>1</v>
      </c>
      <c r="F795" s="27" t="s">
        <v>179</v>
      </c>
      <c r="G795" s="20" t="n">
        <v>6.65</v>
      </c>
      <c r="H795" s="20" t="n">
        <v>6.65</v>
      </c>
      <c r="I795" s="62" t="n">
        <f aca="false">IF(OR(E795="",G795=""),"",ROUND(E795*G795,2))</f>
        <v>6.65</v>
      </c>
      <c r="J795" s="25" t="str">
        <f aca="false">IF(OR(H795="",I795=""),"",IF(ABS(H795-I795)&lt;=0.02,"OK","≠"))</f>
        <v>OK</v>
      </c>
      <c r="K795" s="16"/>
      <c r="L795" s="1"/>
    </row>
    <row r="796" customFormat="false" ht="15" hidden="false" customHeight="false" outlineLevel="0" collapsed="false">
      <c r="A796" s="1"/>
      <c r="B796" s="30" t="s">
        <v>230</v>
      </c>
      <c r="C796" s="16" t="s">
        <v>231</v>
      </c>
      <c r="D796" s="16" t="s">
        <v>13</v>
      </c>
      <c r="E796" s="64" t="n">
        <v>1</v>
      </c>
      <c r="F796" s="25" t="s">
        <v>179</v>
      </c>
      <c r="G796" s="17" t="n">
        <v>6.65</v>
      </c>
      <c r="H796" s="17" t="n">
        <v>6.65</v>
      </c>
      <c r="I796" s="62" t="n">
        <f aca="false">IF(OR(E796="",G796=""),"",ROUND(E796*G796,2))</f>
        <v>6.65</v>
      </c>
      <c r="J796" s="25" t="str">
        <f aca="false">IF(OR(H796="",I796=""),"",IF(ABS(H796-I796)&lt;=0.02,"OK","≠"))</f>
        <v>OK</v>
      </c>
      <c r="K796" s="16"/>
      <c r="L796" s="1"/>
    </row>
    <row r="797" customFormat="false" ht="15" hidden="false" customHeight="false" outlineLevel="0" collapsed="false">
      <c r="A797" s="1"/>
      <c r="B797" s="32" t="s">
        <v>214</v>
      </c>
      <c r="C797" s="19" t="s">
        <v>227</v>
      </c>
      <c r="D797" s="19" t="s">
        <v>13</v>
      </c>
      <c r="E797" s="65" t="n">
        <v>1</v>
      </c>
      <c r="F797" s="27" t="s">
        <v>179</v>
      </c>
      <c r="G797" s="20" t="n">
        <v>18.2</v>
      </c>
      <c r="H797" s="20" t="n">
        <v>18.2</v>
      </c>
      <c r="I797" s="62" t="n">
        <f aca="false">IF(OR(E797="",G797=""),"",ROUND(E797*G797,2))</f>
        <v>18.2</v>
      </c>
      <c r="J797" s="25" t="str">
        <f aca="false">IF(OR(H797="",I797=""),"",IF(ABS(H797-I797)&lt;=0.02,"OK","≠"))</f>
        <v>OK</v>
      </c>
      <c r="K797" s="16"/>
      <c r="L797" s="1"/>
    </row>
    <row r="798" customFormat="false" ht="15" hidden="false" customHeight="false" outlineLevel="0" collapsed="false">
      <c r="A798" s="1"/>
      <c r="B798" s="30" t="s">
        <v>719</v>
      </c>
      <c r="C798" s="16" t="s">
        <v>252</v>
      </c>
      <c r="D798" s="16" t="s">
        <v>14</v>
      </c>
      <c r="E798" s="64" t="n">
        <v>0.3</v>
      </c>
      <c r="F798" s="25" t="s">
        <v>176</v>
      </c>
      <c r="G798" s="17" t="n">
        <v>35</v>
      </c>
      <c r="H798" s="17" t="n">
        <v>10.5</v>
      </c>
      <c r="I798" s="62" t="n">
        <f aca="false">IF(OR(E798="",G798=""),"",ROUND(E798*G798,2))</f>
        <v>10.5</v>
      </c>
      <c r="J798" s="25" t="str">
        <f aca="false">IF(OR(H798="",I798=""),"",IF(ABS(H798-I798)&lt;=0.02,"OK","≠"))</f>
        <v>OK</v>
      </c>
      <c r="K798" s="16"/>
      <c r="L798" s="1"/>
    </row>
    <row r="799" customFormat="false" ht="15" hidden="false" customHeight="false" outlineLevel="0" collapsed="false">
      <c r="A799" s="1"/>
      <c r="B799" s="32" t="s">
        <v>720</v>
      </c>
      <c r="C799" s="19" t="s">
        <v>721</v>
      </c>
      <c r="D799" s="19" t="s">
        <v>12</v>
      </c>
      <c r="E799" s="65" t="n">
        <v>1</v>
      </c>
      <c r="F799" s="27" t="s">
        <v>179</v>
      </c>
      <c r="G799" s="20" t="n">
        <v>3.15</v>
      </c>
      <c r="H799" s="20" t="n">
        <v>3.15</v>
      </c>
      <c r="I799" s="62" t="n">
        <f aca="false">IF(OR(E799="",G799=""),"",ROUND(E799*G799,2))</f>
        <v>3.15</v>
      </c>
      <c r="J799" s="25" t="str">
        <f aca="false">IF(OR(H799="",I799=""),"",IF(ABS(H799-I799)&lt;=0.02,"OK","≠"))</f>
        <v>OK</v>
      </c>
      <c r="K799" s="16"/>
      <c r="L799" s="1"/>
    </row>
    <row r="800" customFormat="false" ht="15" hidden="false" customHeight="false" outlineLevel="0" collapsed="false">
      <c r="A800" s="1"/>
      <c r="B800" s="30" t="s">
        <v>238</v>
      </c>
      <c r="C800" s="16" t="s">
        <v>239</v>
      </c>
      <c r="D800" s="16" t="s">
        <v>12</v>
      </c>
      <c r="E800" s="64" t="n">
        <v>1</v>
      </c>
      <c r="F800" s="25" t="s">
        <v>179</v>
      </c>
      <c r="G800" s="17" t="n">
        <v>2.9</v>
      </c>
      <c r="H800" s="17" t="n">
        <v>2.9</v>
      </c>
      <c r="I800" s="62" t="n">
        <f aca="false">IF(OR(E800="",G800=""),"",ROUND(E800*G800,2))</f>
        <v>2.9</v>
      </c>
      <c r="J800" s="25" t="str">
        <f aca="false">IF(OR(H800="",I800=""),"",IF(ABS(H800-I800)&lt;=0.02,"OK","≠"))</f>
        <v>OK</v>
      </c>
      <c r="K800" s="16"/>
      <c r="L800" s="1"/>
    </row>
    <row r="801" customFormat="false" ht="15" hidden="false" customHeight="false" outlineLevel="0" collapsed="false">
      <c r="A801" s="1"/>
      <c r="B801" s="32" t="s">
        <v>722</v>
      </c>
      <c r="C801" s="19" t="s">
        <v>612</v>
      </c>
      <c r="D801" s="19" t="s">
        <v>12</v>
      </c>
      <c r="E801" s="65" t="n">
        <v>1</v>
      </c>
      <c r="F801" s="27" t="s">
        <v>179</v>
      </c>
      <c r="G801" s="20" t="n">
        <v>14.99</v>
      </c>
      <c r="H801" s="20" t="n">
        <v>14.99</v>
      </c>
      <c r="I801" s="62" t="n">
        <f aca="false">IF(OR(E801="",G801=""),"",ROUND(E801*G801,2))</f>
        <v>14.99</v>
      </c>
      <c r="J801" s="25" t="str">
        <f aca="false">IF(OR(H801="",I801=""),"",IF(ABS(H801-I801)&lt;=0.02,"OK","≠"))</f>
        <v>OK</v>
      </c>
      <c r="K801" s="16"/>
      <c r="L801" s="1"/>
    </row>
    <row r="802" customFormat="false" ht="15" hidden="false" customHeight="false" outlineLevel="0" collapsed="false">
      <c r="A802" s="1"/>
      <c r="B802" s="30" t="s">
        <v>379</v>
      </c>
      <c r="C802" s="16" t="s">
        <v>380</v>
      </c>
      <c r="D802" s="16" t="s">
        <v>12</v>
      </c>
      <c r="E802" s="64" t="n">
        <v>1</v>
      </c>
      <c r="F802" s="25" t="s">
        <v>179</v>
      </c>
      <c r="G802" s="17" t="n">
        <v>6.2</v>
      </c>
      <c r="H802" s="17" t="n">
        <v>6.2</v>
      </c>
      <c r="I802" s="62" t="n">
        <f aca="false">IF(OR(E802="",G802=""),"",ROUND(E802*G802,2))</f>
        <v>6.2</v>
      </c>
      <c r="J802" s="25" t="str">
        <f aca="false">IF(OR(H802="",I802=""),"",IF(ABS(H802-I802)&lt;=0.02,"OK","≠"))</f>
        <v>OK</v>
      </c>
      <c r="K802" s="16"/>
      <c r="L802" s="1"/>
    </row>
    <row r="803" customFormat="false" ht="15" hidden="false" customHeight="false" outlineLevel="0" collapsed="false">
      <c r="A803" s="1"/>
      <c r="B803" s="32" t="s">
        <v>240</v>
      </c>
      <c r="C803" s="19" t="s">
        <v>241</v>
      </c>
      <c r="D803" s="19" t="s">
        <v>12</v>
      </c>
      <c r="E803" s="65" t="n">
        <v>3</v>
      </c>
      <c r="F803" s="27" t="s">
        <v>179</v>
      </c>
      <c r="G803" s="20" t="n">
        <v>1.69</v>
      </c>
      <c r="H803" s="20" t="n">
        <v>5.07</v>
      </c>
      <c r="I803" s="62" t="n">
        <f aca="false">IF(OR(E803="",G803=""),"",ROUND(E803*G803,2))</f>
        <v>5.07</v>
      </c>
      <c r="J803" s="25" t="str">
        <f aca="false">IF(OR(H803="",I803=""),"",IF(ABS(H803-I803)&lt;=0.02,"OK","≠"))</f>
        <v>OK</v>
      </c>
      <c r="K803" s="16"/>
      <c r="L803" s="1"/>
    </row>
    <row r="804" customFormat="false" ht="15" hidden="false" customHeight="false" outlineLevel="0" collapsed="false">
      <c r="A804" s="1"/>
      <c r="B804" s="30" t="s">
        <v>723</v>
      </c>
      <c r="C804" s="16" t="s">
        <v>547</v>
      </c>
      <c r="D804" s="16" t="s">
        <v>12</v>
      </c>
      <c r="E804" s="64" t="n">
        <v>1</v>
      </c>
      <c r="F804" s="25" t="s">
        <v>179</v>
      </c>
      <c r="G804" s="17" t="n">
        <v>23</v>
      </c>
      <c r="H804" s="17" t="n">
        <v>23</v>
      </c>
      <c r="I804" s="62" t="n">
        <f aca="false">IF(OR(E804="",G804=""),"",ROUND(E804*G804,2))</f>
        <v>23</v>
      </c>
      <c r="J804" s="25" t="str">
        <f aca="false">IF(OR(H804="",I804=""),"",IF(ABS(H804-I804)&lt;=0.02,"OK","≠"))</f>
        <v>OK</v>
      </c>
      <c r="K804" s="16"/>
      <c r="L804" s="1"/>
    </row>
    <row r="805" customFormat="false" ht="15" hidden="false" customHeight="false" outlineLevel="0" collapsed="false">
      <c r="A805" s="1"/>
      <c r="B805" s="32" t="s">
        <v>234</v>
      </c>
      <c r="C805" s="19" t="s">
        <v>378</v>
      </c>
      <c r="D805" s="19" t="s">
        <v>12</v>
      </c>
      <c r="E805" s="65" t="n">
        <v>1</v>
      </c>
      <c r="F805" s="27" t="s">
        <v>179</v>
      </c>
      <c r="G805" s="20" t="n">
        <v>10.99</v>
      </c>
      <c r="H805" s="20" t="n">
        <v>10.99</v>
      </c>
      <c r="I805" s="62" t="n">
        <f aca="false">IF(OR(E805="",G805=""),"",ROUND(E805*G805,2))</f>
        <v>10.99</v>
      </c>
      <c r="J805" s="25" t="str">
        <f aca="false">IF(OR(H805="",I805=""),"",IF(ABS(H805-I805)&lt;=0.02,"OK","≠"))</f>
        <v>OK</v>
      </c>
      <c r="K805" s="16"/>
      <c r="L805" s="1"/>
    </row>
    <row r="806" customFormat="false" ht="15" hidden="false" customHeight="false" outlineLevel="0" collapsed="false">
      <c r="A806" s="1"/>
      <c r="B806" s="30" t="s">
        <v>724</v>
      </c>
      <c r="C806" s="16" t="s">
        <v>725</v>
      </c>
      <c r="D806" s="16" t="s">
        <v>12</v>
      </c>
      <c r="E806" s="64" t="n">
        <v>1</v>
      </c>
      <c r="F806" s="25" t="s">
        <v>179</v>
      </c>
      <c r="G806" s="17" t="n">
        <v>4.3</v>
      </c>
      <c r="H806" s="17" t="n">
        <v>4.3</v>
      </c>
      <c r="I806" s="62" t="n">
        <f aca="false">IF(OR(E806="",G806=""),"",ROUND(E806*G806,2))</f>
        <v>4.3</v>
      </c>
      <c r="J806" s="25" t="str">
        <f aca="false">IF(OR(H806="",I806=""),"",IF(ABS(H806-I806)&lt;=0.02,"OK","≠"))</f>
        <v>OK</v>
      </c>
      <c r="K806" s="16"/>
      <c r="L806" s="1"/>
    </row>
    <row r="807" customFormat="false" ht="15" hidden="false" customHeight="false" outlineLevel="0" collapsed="false">
      <c r="A807" s="1"/>
      <c r="B807" s="32" t="s">
        <v>726</v>
      </c>
      <c r="C807" s="19" t="s">
        <v>725</v>
      </c>
      <c r="D807" s="19" t="s">
        <v>12</v>
      </c>
      <c r="E807" s="65" t="n">
        <v>1</v>
      </c>
      <c r="F807" s="27" t="s">
        <v>179</v>
      </c>
      <c r="G807" s="20" t="n">
        <v>4.3</v>
      </c>
      <c r="H807" s="20" t="n">
        <v>4.3</v>
      </c>
      <c r="I807" s="62" t="n">
        <f aca="false">IF(OR(E807="",G807=""),"",ROUND(E807*G807,2))</f>
        <v>4.3</v>
      </c>
      <c r="J807" s="25" t="str">
        <f aca="false">IF(OR(H807="",I807=""),"",IF(ABS(H807-I807)&lt;=0.02,"OK","≠"))</f>
        <v>OK</v>
      </c>
      <c r="K807" s="16"/>
      <c r="L807" s="1"/>
    </row>
    <row r="808" customFormat="false" ht="15" hidden="false" customHeight="false" outlineLevel="0" collapsed="false">
      <c r="A808" s="1"/>
      <c r="B808" s="30" t="s">
        <v>385</v>
      </c>
      <c r="C808" s="16" t="s">
        <v>386</v>
      </c>
      <c r="D808" s="16" t="s">
        <v>13</v>
      </c>
      <c r="E808" s="64" t="n">
        <v>1</v>
      </c>
      <c r="F808" s="25" t="s">
        <v>179</v>
      </c>
      <c r="G808" s="17" t="n">
        <v>2.3</v>
      </c>
      <c r="H808" s="17" t="n">
        <v>2.3</v>
      </c>
      <c r="I808" s="62" t="n">
        <f aca="false">IF(OR(E808="",G808=""),"",ROUND(E808*G808,2))</f>
        <v>2.3</v>
      </c>
      <c r="J808" s="25" t="str">
        <f aca="false">IF(OR(H808="",I808=""),"",IF(ABS(H808-I808)&lt;=0.02,"OK","≠"))</f>
        <v>OK</v>
      </c>
      <c r="K808" s="16"/>
      <c r="L808" s="1"/>
    </row>
    <row r="809" customFormat="false" ht="15" hidden="false" customHeight="false" outlineLevel="0" collapsed="false">
      <c r="A809" s="1"/>
      <c r="B809" s="32" t="s">
        <v>385</v>
      </c>
      <c r="C809" s="19" t="s">
        <v>386</v>
      </c>
      <c r="D809" s="19" t="s">
        <v>13</v>
      </c>
      <c r="E809" s="65" t="n">
        <v>1</v>
      </c>
      <c r="F809" s="27" t="s">
        <v>179</v>
      </c>
      <c r="G809" s="20" t="n">
        <v>2.3</v>
      </c>
      <c r="H809" s="20" t="n">
        <v>2.3</v>
      </c>
      <c r="I809" s="62" t="n">
        <f aca="false">IF(OR(E809="",G809=""),"",ROUND(E809*G809,2))</f>
        <v>2.3</v>
      </c>
      <c r="J809" s="25" t="str">
        <f aca="false">IF(OR(H809="",I809=""),"",IF(ABS(H809-I809)&lt;=0.02,"OK","≠"))</f>
        <v>OK</v>
      </c>
      <c r="K809" s="16"/>
      <c r="L809" s="1"/>
    </row>
    <row r="810" customFormat="false" ht="15" hidden="false" customHeight="false" outlineLevel="0" collapsed="false">
      <c r="A810" s="1"/>
      <c r="B810" s="30" t="s">
        <v>198</v>
      </c>
      <c r="C810" s="16" t="s">
        <v>242</v>
      </c>
      <c r="D810" s="16" t="s">
        <v>12</v>
      </c>
      <c r="E810" s="64" t="n">
        <v>1</v>
      </c>
      <c r="F810" s="25" t="s">
        <v>179</v>
      </c>
      <c r="G810" s="17" t="n">
        <v>3.95</v>
      </c>
      <c r="H810" s="17" t="n">
        <v>3.95</v>
      </c>
      <c r="I810" s="62" t="n">
        <f aca="false">IF(OR(E810="",G810=""),"",ROUND(E810*G810,2))</f>
        <v>3.95</v>
      </c>
      <c r="J810" s="25" t="str">
        <f aca="false">IF(OR(H810="",I810=""),"",IF(ABS(H810-I810)&lt;=0.02,"OK","≠"))</f>
        <v>OK</v>
      </c>
      <c r="K810" s="16"/>
      <c r="L810" s="1"/>
    </row>
    <row r="811" customFormat="false" ht="15" hidden="false" customHeight="false" outlineLevel="0" collapsed="false">
      <c r="A811" s="1"/>
      <c r="B811" s="32" t="s">
        <v>198</v>
      </c>
      <c r="C811" s="19" t="s">
        <v>242</v>
      </c>
      <c r="D811" s="19" t="s">
        <v>12</v>
      </c>
      <c r="E811" s="65" t="n">
        <v>1</v>
      </c>
      <c r="F811" s="27" t="s">
        <v>179</v>
      </c>
      <c r="G811" s="20" t="n">
        <v>3.95</v>
      </c>
      <c r="H811" s="20" t="n">
        <v>3.95</v>
      </c>
      <c r="I811" s="62" t="n">
        <f aca="false">IF(OR(E811="",G811=""),"",ROUND(E811*G811,2))</f>
        <v>3.95</v>
      </c>
      <c r="J811" s="25" t="str">
        <f aca="false">IF(OR(H811="",I811=""),"",IF(ABS(H811-I811)&lt;=0.02,"OK","≠"))</f>
        <v>OK</v>
      </c>
      <c r="K811" s="16"/>
      <c r="L811" s="1"/>
    </row>
    <row r="812" customFormat="false" ht="15" hidden="false" customHeight="false" outlineLevel="0" collapsed="false">
      <c r="A812" s="1"/>
      <c r="B812" s="30" t="s">
        <v>727</v>
      </c>
      <c r="C812" s="16" t="s">
        <v>728</v>
      </c>
      <c r="D812" s="16" t="s">
        <v>16</v>
      </c>
      <c r="E812" s="64" t="n">
        <v>1</v>
      </c>
      <c r="F812" s="25" t="s">
        <v>179</v>
      </c>
      <c r="G812" s="17" t="n">
        <v>13</v>
      </c>
      <c r="H812" s="17" t="n">
        <v>13</v>
      </c>
      <c r="I812" s="62" t="n">
        <f aca="false">IF(OR(E812="",G812=""),"",ROUND(E812*G812,2))</f>
        <v>13</v>
      </c>
      <c r="J812" s="25" t="str">
        <f aca="false">IF(OR(H812="",I812=""),"",IF(ABS(H812-I812)&lt;=0.02,"OK","≠"))</f>
        <v>OK</v>
      </c>
      <c r="K812" s="16"/>
      <c r="L812" s="1"/>
    </row>
    <row r="813" customFormat="false" ht="15" hidden="false" customHeight="false" outlineLevel="0" collapsed="false">
      <c r="A813" s="1"/>
      <c r="B813" s="1"/>
      <c r="C813" s="1"/>
      <c r="D813" s="1"/>
      <c r="E813" s="1"/>
      <c r="F813" s="1"/>
      <c r="G813" s="1"/>
      <c r="H813" s="1"/>
      <c r="I813" s="1"/>
      <c r="J813" s="1"/>
      <c r="K813" s="1"/>
      <c r="L813" s="1"/>
    </row>
    <row r="814" customFormat="false" ht="19.5" hidden="false" customHeight="true" outlineLevel="0" collapsed="false">
      <c r="A814" s="1"/>
      <c r="B814" s="63" t="s">
        <v>729</v>
      </c>
      <c r="C814" s="63"/>
      <c r="D814" s="63"/>
      <c r="E814" s="63"/>
      <c r="F814" s="63"/>
      <c r="G814" s="63"/>
      <c r="H814" s="63"/>
      <c r="I814" s="63"/>
      <c r="J814" s="63"/>
      <c r="K814" s="63"/>
      <c r="L814" s="1"/>
    </row>
    <row r="815" customFormat="false" ht="15" hidden="false" customHeight="false" outlineLevel="0" collapsed="false">
      <c r="A815" s="1"/>
      <c r="B815" s="50" t="s">
        <v>34</v>
      </c>
      <c r="C815" s="45" t="s">
        <v>37</v>
      </c>
      <c r="D815" s="45"/>
      <c r="E815" s="50" t="s">
        <v>157</v>
      </c>
      <c r="F815" s="50"/>
      <c r="G815" s="45" t="s">
        <v>730</v>
      </c>
      <c r="H815" s="45"/>
      <c r="I815" s="45"/>
      <c r="J815" s="45"/>
      <c r="K815" s="45"/>
      <c r="L815" s="1"/>
    </row>
    <row r="816" customFormat="false" ht="15" hidden="false" customHeight="false" outlineLevel="0" collapsed="false">
      <c r="A816" s="1"/>
      <c r="B816" s="50" t="s">
        <v>78</v>
      </c>
      <c r="C816" s="39" t="n">
        <v>46197</v>
      </c>
      <c r="D816" s="39"/>
      <c r="E816" s="50" t="s">
        <v>80</v>
      </c>
      <c r="F816" s="50"/>
      <c r="G816" s="45" t="s">
        <v>173</v>
      </c>
      <c r="H816" s="45"/>
      <c r="I816" s="45"/>
      <c r="J816" s="45"/>
      <c r="K816" s="45"/>
      <c r="L816" s="1"/>
    </row>
    <row r="817" customFormat="false" ht="15" hidden="false" customHeight="false" outlineLevel="0" collapsed="false">
      <c r="A817" s="1"/>
      <c r="B817" s="50" t="s">
        <v>158</v>
      </c>
      <c r="C817" s="55" t="n">
        <v>2</v>
      </c>
      <c r="D817" s="55"/>
      <c r="E817" s="50" t="s">
        <v>159</v>
      </c>
      <c r="F817" s="50"/>
      <c r="G817" s="56" t="n">
        <v>10.94</v>
      </c>
      <c r="H817" s="56"/>
      <c r="I817" s="56"/>
      <c r="J817" s="56"/>
      <c r="K817" s="56"/>
      <c r="L817" s="1"/>
    </row>
    <row r="818" customFormat="false" ht="15" hidden="false" customHeight="false" outlineLevel="0" collapsed="false">
      <c r="A818" s="1"/>
      <c r="B818" s="50" t="s">
        <v>160</v>
      </c>
      <c r="C818" s="55" t="n">
        <f aca="false">COUNT(H822:H823)</f>
        <v>2</v>
      </c>
      <c r="D818" s="55"/>
      <c r="E818" s="50" t="s">
        <v>161</v>
      </c>
      <c r="F818" s="50"/>
      <c r="G818" s="56" t="n">
        <f aca="false">ROUND(SUM(H822:H823),2)</f>
        <v>10.94</v>
      </c>
      <c r="H818" s="56"/>
      <c r="I818" s="56"/>
      <c r="J818" s="56"/>
      <c r="K818" s="56"/>
      <c r="L818" s="1"/>
    </row>
    <row r="819" customFormat="false" ht="15" hidden="false" customHeight="false" outlineLevel="0" collapsed="false">
      <c r="A819" s="1"/>
      <c r="B819" s="50" t="s">
        <v>162</v>
      </c>
      <c r="C819" s="55" t="n">
        <f aca="false">ROUND(SUMPRODUCT(((F822:F823="KG")+(F822:F823="G"))*1)+SUMPRODUCT((F822:F823&lt;&gt;"KG")*(F822:F823&lt;&gt;"G")*E822:E823),0)</f>
        <v>2</v>
      </c>
      <c r="D819" s="55"/>
      <c r="E819" s="50" t="s">
        <v>163</v>
      </c>
      <c r="F819" s="50"/>
      <c r="G819" s="56" t="n">
        <f aca="false">IF(G817="","",ROUND(G817-G818,2))</f>
        <v>0</v>
      </c>
      <c r="H819" s="56"/>
      <c r="I819" s="56"/>
      <c r="J819" s="56"/>
      <c r="K819" s="56"/>
      <c r="L819" s="1"/>
    </row>
    <row r="820" customFormat="false" ht="15" hidden="false" customHeight="false" outlineLevel="0" collapsed="false">
      <c r="A820" s="1"/>
      <c r="B820" s="50" t="s">
        <v>84</v>
      </c>
      <c r="C820" s="57" t="str">
        <f aca="false">IF(C818=0,"— aguardando lançamento",IF(G817="","SEM TOTAL OFICIAL — informe o total do cupom",IF(AND(OR(C817="",C817=C818,C817=C819),ABS(G819)&lt;=0.05),"FECHADO — itens e valor conferem",IF(ABS(G819)&lt;=0.05,"REVISAR — qtd. de itens não bate","REVISAR — diferença de R$ "&amp;ABS(G819)))))</f>
        <v>FECHADO — itens e valor conferem</v>
      </c>
      <c r="D820" s="57"/>
      <c r="E820" s="57"/>
      <c r="F820" s="57"/>
      <c r="G820" s="50" t="s">
        <v>164</v>
      </c>
      <c r="H820" s="30"/>
      <c r="I820" s="30"/>
      <c r="J820" s="30"/>
      <c r="K820" s="30"/>
      <c r="L820" s="1"/>
    </row>
    <row r="821" customFormat="false" ht="15" hidden="false" customHeight="false" outlineLevel="0" collapsed="false">
      <c r="A821" s="1"/>
      <c r="B821" s="15" t="s">
        <v>165</v>
      </c>
      <c r="C821" s="15" t="s">
        <v>52</v>
      </c>
      <c r="D821" s="15" t="s">
        <v>9</v>
      </c>
      <c r="E821" s="15" t="s">
        <v>166</v>
      </c>
      <c r="F821" s="15" t="s">
        <v>167</v>
      </c>
      <c r="G821" s="15" t="s">
        <v>168</v>
      </c>
      <c r="H821" s="15" t="s">
        <v>10</v>
      </c>
      <c r="I821" s="15" t="s">
        <v>169</v>
      </c>
      <c r="J821" s="15" t="s">
        <v>170</v>
      </c>
      <c r="K821" s="15"/>
      <c r="L821" s="1"/>
    </row>
    <row r="822" customFormat="false" ht="15" hidden="false" customHeight="false" outlineLevel="0" collapsed="false">
      <c r="A822" s="1"/>
      <c r="B822" s="30" t="s">
        <v>625</v>
      </c>
      <c r="C822" s="16" t="s">
        <v>731</v>
      </c>
      <c r="D822" s="16" t="s">
        <v>15</v>
      </c>
      <c r="E822" s="64" t="n">
        <v>1.885</v>
      </c>
      <c r="F822" s="25" t="s">
        <v>176</v>
      </c>
      <c r="G822" s="17" t="n">
        <v>3.98</v>
      </c>
      <c r="H822" s="17" t="n">
        <v>7.5</v>
      </c>
      <c r="I822" s="62" t="n">
        <f aca="false">IF(OR(E822="",G822=""),"",ROUND(E822*G822,2))</f>
        <v>7.5</v>
      </c>
      <c r="J822" s="25" t="str">
        <f aca="false">IF(OR(H822="",I822=""),"",IF(ABS(H822-I822)&lt;=0.02,"OK","≠"))</f>
        <v>OK</v>
      </c>
      <c r="K822" s="16"/>
      <c r="L822" s="1"/>
    </row>
    <row r="823" customFormat="false" ht="15" hidden="false" customHeight="false" outlineLevel="0" collapsed="false">
      <c r="A823" s="1"/>
      <c r="B823" s="32" t="s">
        <v>732</v>
      </c>
      <c r="C823" s="19" t="s">
        <v>733</v>
      </c>
      <c r="D823" s="19" t="s">
        <v>15</v>
      </c>
      <c r="E823" s="65" t="n">
        <v>0.865</v>
      </c>
      <c r="F823" s="27" t="s">
        <v>176</v>
      </c>
      <c r="G823" s="20" t="n">
        <v>3.98</v>
      </c>
      <c r="H823" s="20" t="n">
        <v>3.44</v>
      </c>
      <c r="I823" s="62" t="n">
        <f aca="false">IF(OR(E823="",G823=""),"",ROUND(E823*G823,2))</f>
        <v>3.44</v>
      </c>
      <c r="J823" s="25" t="str">
        <f aca="false">IF(OR(H823="",I823=""),"",IF(ABS(H823-I823)&lt;=0.02,"OK","≠"))</f>
        <v>OK</v>
      </c>
      <c r="K823" s="16"/>
      <c r="L823" s="1"/>
    </row>
    <row r="824" customFormat="false" ht="15" hidden="false" customHeight="false" outlineLevel="0" collapsed="false">
      <c r="A824" s="1"/>
      <c r="B824" s="1"/>
      <c r="C824" s="1"/>
      <c r="D824" s="1"/>
      <c r="E824" s="1"/>
      <c r="F824" s="1"/>
      <c r="G824" s="1"/>
      <c r="H824" s="1"/>
      <c r="I824" s="1"/>
      <c r="J824" s="1"/>
      <c r="K824" s="1"/>
      <c r="L824" s="1"/>
    </row>
    <row r="825" customFormat="false" ht="19.5" hidden="false" customHeight="true" outlineLevel="0" collapsed="false">
      <c r="A825" s="1"/>
      <c r="B825" s="63" t="s">
        <v>734</v>
      </c>
      <c r="C825" s="63"/>
      <c r="D825" s="63"/>
      <c r="E825" s="63"/>
      <c r="F825" s="63"/>
      <c r="G825" s="63"/>
      <c r="H825" s="63"/>
      <c r="I825" s="63"/>
      <c r="J825" s="63"/>
      <c r="K825" s="63"/>
      <c r="L825" s="1"/>
    </row>
    <row r="826" customFormat="false" ht="15" hidden="false" customHeight="false" outlineLevel="0" collapsed="false">
      <c r="A826" s="1"/>
      <c r="B826" s="50" t="s">
        <v>34</v>
      </c>
      <c r="C826" s="45" t="s">
        <v>37</v>
      </c>
      <c r="D826" s="45"/>
      <c r="E826" s="50" t="s">
        <v>157</v>
      </c>
      <c r="F826" s="50"/>
      <c r="G826" s="45" t="s">
        <v>735</v>
      </c>
      <c r="H826" s="45"/>
      <c r="I826" s="45"/>
      <c r="J826" s="45"/>
      <c r="K826" s="45"/>
      <c r="L826" s="1"/>
    </row>
    <row r="827" customFormat="false" ht="15" hidden="false" customHeight="false" outlineLevel="0" collapsed="false">
      <c r="A827" s="1"/>
      <c r="B827" s="50" t="s">
        <v>78</v>
      </c>
      <c r="C827" s="39" t="n">
        <v>46199</v>
      </c>
      <c r="D827" s="39"/>
      <c r="E827" s="50" t="s">
        <v>80</v>
      </c>
      <c r="F827" s="50"/>
      <c r="G827" s="45" t="s">
        <v>173</v>
      </c>
      <c r="H827" s="45"/>
      <c r="I827" s="45"/>
      <c r="J827" s="45"/>
      <c r="K827" s="45"/>
      <c r="L827" s="1"/>
    </row>
    <row r="828" customFormat="false" ht="15" hidden="false" customHeight="false" outlineLevel="0" collapsed="false">
      <c r="A828" s="1"/>
      <c r="B828" s="50" t="s">
        <v>158</v>
      </c>
      <c r="C828" s="55" t="n">
        <v>4</v>
      </c>
      <c r="D828" s="55"/>
      <c r="E828" s="50" t="s">
        <v>159</v>
      </c>
      <c r="F828" s="50"/>
      <c r="G828" s="56" t="n">
        <v>34.14</v>
      </c>
      <c r="H828" s="56"/>
      <c r="I828" s="56"/>
      <c r="J828" s="56"/>
      <c r="K828" s="56"/>
      <c r="L828" s="1"/>
    </row>
    <row r="829" customFormat="false" ht="15" hidden="false" customHeight="false" outlineLevel="0" collapsed="false">
      <c r="A829" s="1"/>
      <c r="B829" s="50" t="s">
        <v>160</v>
      </c>
      <c r="C829" s="55" t="n">
        <f aca="false">COUNT(H833:H836)</f>
        <v>4</v>
      </c>
      <c r="D829" s="55"/>
      <c r="E829" s="50" t="s">
        <v>161</v>
      </c>
      <c r="F829" s="50"/>
      <c r="G829" s="56" t="n">
        <f aca="false">ROUND(SUM(H833:H836),2)</f>
        <v>34.14</v>
      </c>
      <c r="H829" s="56"/>
      <c r="I829" s="56"/>
      <c r="J829" s="56"/>
      <c r="K829" s="56"/>
      <c r="L829" s="1"/>
    </row>
    <row r="830" customFormat="false" ht="15" hidden="false" customHeight="false" outlineLevel="0" collapsed="false">
      <c r="A830" s="1"/>
      <c r="B830" s="50" t="s">
        <v>162</v>
      </c>
      <c r="C830" s="55" t="n">
        <f aca="false">ROUND(SUMPRODUCT(((F833:F836="KG")+(F833:F836="G"))*1)+SUMPRODUCT((F833:F836&lt;&gt;"KG")*(F833:F836&lt;&gt;"G")*E833:E836),0)</f>
        <v>5</v>
      </c>
      <c r="D830" s="55"/>
      <c r="E830" s="50" t="s">
        <v>163</v>
      </c>
      <c r="F830" s="50"/>
      <c r="G830" s="56" t="n">
        <f aca="false">IF(G828="","",ROUND(G828-G829,2))</f>
        <v>0</v>
      </c>
      <c r="H830" s="56"/>
      <c r="I830" s="56"/>
      <c r="J830" s="56"/>
      <c r="K830" s="56"/>
      <c r="L830" s="1"/>
    </row>
    <row r="831" customFormat="false" ht="15" hidden="false" customHeight="false" outlineLevel="0" collapsed="false">
      <c r="A831" s="1"/>
      <c r="B831" s="50" t="s">
        <v>84</v>
      </c>
      <c r="C831" s="57" t="str">
        <f aca="false">IF(C829=0,"— aguardando lançamento",IF(G828="","SEM TOTAL OFICIAL — informe o total do cupom",IF(AND(OR(C828="",C828=C829,C828=C830),ABS(G830)&lt;=0.05),"FECHADO — itens e valor conferem",IF(ABS(G830)&lt;=0.05,"REVISAR — qtd. de itens não bate","REVISAR — diferença de R$ "&amp;ABS(G830)))))</f>
        <v>FECHADO — itens e valor conferem</v>
      </c>
      <c r="D831" s="57"/>
      <c r="E831" s="57"/>
      <c r="F831" s="57"/>
      <c r="G831" s="50" t="s">
        <v>164</v>
      </c>
      <c r="H831" s="30"/>
      <c r="I831" s="30"/>
      <c r="J831" s="30"/>
      <c r="K831" s="30"/>
      <c r="L831" s="1"/>
    </row>
    <row r="832" customFormat="false" ht="15" hidden="false" customHeight="false" outlineLevel="0" collapsed="false">
      <c r="A832" s="1"/>
      <c r="B832" s="15" t="s">
        <v>165</v>
      </c>
      <c r="C832" s="15" t="s">
        <v>52</v>
      </c>
      <c r="D832" s="15" t="s">
        <v>9</v>
      </c>
      <c r="E832" s="15" t="s">
        <v>166</v>
      </c>
      <c r="F832" s="15" t="s">
        <v>167</v>
      </c>
      <c r="G832" s="15" t="s">
        <v>168</v>
      </c>
      <c r="H832" s="15" t="s">
        <v>10</v>
      </c>
      <c r="I832" s="15" t="s">
        <v>169</v>
      </c>
      <c r="J832" s="15" t="s">
        <v>170</v>
      </c>
      <c r="K832" s="15"/>
      <c r="L832" s="1"/>
    </row>
    <row r="833" customFormat="false" ht="15" hidden="false" customHeight="false" outlineLevel="0" collapsed="false">
      <c r="A833" s="1"/>
      <c r="B833" s="30" t="s">
        <v>736</v>
      </c>
      <c r="C833" s="16" t="s">
        <v>737</v>
      </c>
      <c r="D833" s="16" t="s">
        <v>17</v>
      </c>
      <c r="E833" s="64" t="n">
        <v>1</v>
      </c>
      <c r="F833" s="25" t="s">
        <v>179</v>
      </c>
      <c r="G833" s="17" t="n">
        <v>5.9</v>
      </c>
      <c r="H833" s="17" t="n">
        <v>5.9</v>
      </c>
      <c r="I833" s="62" t="n">
        <f aca="false">IF(OR(E833="",G833=""),"",ROUND(E833*G833,2))</f>
        <v>5.9</v>
      </c>
      <c r="J833" s="25" t="str">
        <f aca="false">IF(OR(H833="",I833=""),"",IF(ABS(H833-I833)&lt;=0.02,"OK","≠"))</f>
        <v>OK</v>
      </c>
      <c r="K833" s="16"/>
      <c r="L833" s="1"/>
    </row>
    <row r="834" customFormat="false" ht="15" hidden="false" customHeight="false" outlineLevel="0" collapsed="false">
      <c r="A834" s="1"/>
      <c r="B834" s="32" t="s">
        <v>738</v>
      </c>
      <c r="C834" s="19" t="s">
        <v>739</v>
      </c>
      <c r="D834" s="19" t="s">
        <v>12</v>
      </c>
      <c r="E834" s="65" t="n">
        <v>1</v>
      </c>
      <c r="F834" s="27" t="s">
        <v>179</v>
      </c>
      <c r="G834" s="20" t="n">
        <v>9.99</v>
      </c>
      <c r="H834" s="20" t="n">
        <v>9.99</v>
      </c>
      <c r="I834" s="62" t="n">
        <f aca="false">IF(OR(E834="",G834=""),"",ROUND(E834*G834,2))</f>
        <v>9.99</v>
      </c>
      <c r="J834" s="25" t="str">
        <f aca="false">IF(OR(H834="",I834=""),"",IF(ABS(H834-I834)&lt;=0.02,"OK","≠"))</f>
        <v>OK</v>
      </c>
      <c r="K834" s="16"/>
      <c r="L834" s="1"/>
    </row>
    <row r="835" customFormat="false" ht="15" hidden="false" customHeight="false" outlineLevel="0" collapsed="false">
      <c r="A835" s="1"/>
      <c r="B835" s="30" t="s">
        <v>458</v>
      </c>
      <c r="C835" s="16" t="s">
        <v>740</v>
      </c>
      <c r="D835" s="16" t="s">
        <v>14</v>
      </c>
      <c r="E835" s="64" t="n">
        <v>0.35</v>
      </c>
      <c r="F835" s="25" t="s">
        <v>176</v>
      </c>
      <c r="G835" s="17" t="n">
        <v>17.9</v>
      </c>
      <c r="H835" s="17" t="n">
        <v>6.27</v>
      </c>
      <c r="I835" s="62" t="n">
        <f aca="false">IF(OR(E835="",G835=""),"",ROUND(E835*G835,2))</f>
        <v>6.27</v>
      </c>
      <c r="J835" s="25" t="str">
        <f aca="false">IF(OR(H835="",I835=""),"",IF(ABS(H835-I835)&lt;=0.02,"OK","≠"))</f>
        <v>OK</v>
      </c>
      <c r="K835" s="16"/>
      <c r="L835" s="1"/>
    </row>
    <row r="836" customFormat="false" ht="15" hidden="false" customHeight="false" outlineLevel="0" collapsed="false">
      <c r="A836" s="1"/>
      <c r="B836" s="32" t="s">
        <v>741</v>
      </c>
      <c r="C836" s="19" t="s">
        <v>742</v>
      </c>
      <c r="D836" s="19" t="s">
        <v>13</v>
      </c>
      <c r="E836" s="65" t="n">
        <v>2</v>
      </c>
      <c r="F836" s="27" t="s">
        <v>179</v>
      </c>
      <c r="G836" s="20" t="n">
        <v>5.99</v>
      </c>
      <c r="H836" s="20" t="n">
        <v>11.98</v>
      </c>
      <c r="I836" s="62" t="n">
        <f aca="false">IF(OR(E836="",G836=""),"",ROUND(E836*G836,2))</f>
        <v>11.98</v>
      </c>
      <c r="J836" s="25" t="str">
        <f aca="false">IF(OR(H836="",I836=""),"",IF(ABS(H836-I836)&lt;=0.02,"OK","≠"))</f>
        <v>OK</v>
      </c>
      <c r="K836" s="16"/>
      <c r="L836" s="1"/>
    </row>
    <row r="837" customFormat="false" ht="15" hidden="false" customHeight="false" outlineLevel="0" collapsed="false">
      <c r="A837" s="1"/>
      <c r="B837" s="1"/>
      <c r="C837" s="1"/>
      <c r="D837" s="1"/>
      <c r="E837" s="1"/>
      <c r="F837" s="1"/>
      <c r="G837" s="1"/>
      <c r="H837" s="1"/>
      <c r="I837" s="1"/>
      <c r="J837" s="1"/>
      <c r="K837" s="1"/>
      <c r="L837" s="1"/>
    </row>
    <row r="838" customFormat="false" ht="19.5" hidden="false" customHeight="true" outlineLevel="0" collapsed="false">
      <c r="A838" s="1"/>
      <c r="B838" s="63" t="s">
        <v>743</v>
      </c>
      <c r="C838" s="63"/>
      <c r="D838" s="63"/>
      <c r="E838" s="63"/>
      <c r="F838" s="63"/>
      <c r="G838" s="63"/>
      <c r="H838" s="63"/>
      <c r="I838" s="63"/>
      <c r="J838" s="63"/>
      <c r="K838" s="63"/>
      <c r="L838" s="1"/>
    </row>
    <row r="839" customFormat="false" ht="15" hidden="false" customHeight="false" outlineLevel="0" collapsed="false">
      <c r="A839" s="1"/>
      <c r="B839" s="50" t="s">
        <v>34</v>
      </c>
      <c r="C839" s="45" t="s">
        <v>38</v>
      </c>
      <c r="D839" s="45"/>
      <c r="E839" s="50" t="s">
        <v>157</v>
      </c>
      <c r="F839" s="50"/>
      <c r="G839" s="45" t="s">
        <v>744</v>
      </c>
      <c r="H839" s="45"/>
      <c r="I839" s="45"/>
      <c r="J839" s="45"/>
      <c r="K839" s="45"/>
      <c r="L839" s="1"/>
    </row>
    <row r="840" customFormat="false" ht="15" hidden="false" customHeight="false" outlineLevel="0" collapsed="false">
      <c r="A840" s="1"/>
      <c r="B840" s="50" t="s">
        <v>78</v>
      </c>
      <c r="C840" s="39" t="n">
        <v>46200</v>
      </c>
      <c r="D840" s="39"/>
      <c r="E840" s="50" t="s">
        <v>80</v>
      </c>
      <c r="F840" s="50"/>
      <c r="G840" s="45" t="s">
        <v>173</v>
      </c>
      <c r="H840" s="45"/>
      <c r="I840" s="45"/>
      <c r="J840" s="45"/>
      <c r="K840" s="45"/>
      <c r="L840" s="1"/>
    </row>
    <row r="841" customFormat="false" ht="15" hidden="false" customHeight="false" outlineLevel="0" collapsed="false">
      <c r="A841" s="1"/>
      <c r="B841" s="50" t="s">
        <v>158</v>
      </c>
      <c r="C841" s="55" t="n">
        <v>8</v>
      </c>
      <c r="D841" s="55"/>
      <c r="E841" s="50" t="s">
        <v>159</v>
      </c>
      <c r="F841" s="50"/>
      <c r="G841" s="56" t="n">
        <v>43.91</v>
      </c>
      <c r="H841" s="56"/>
      <c r="I841" s="56"/>
      <c r="J841" s="56"/>
      <c r="K841" s="56"/>
      <c r="L841" s="1"/>
    </row>
    <row r="842" customFormat="false" ht="15" hidden="false" customHeight="false" outlineLevel="0" collapsed="false">
      <c r="A842" s="1"/>
      <c r="B842" s="50" t="s">
        <v>160</v>
      </c>
      <c r="C842" s="55" t="n">
        <f aca="false">COUNT(H846:H853)</f>
        <v>8</v>
      </c>
      <c r="D842" s="55"/>
      <c r="E842" s="50" t="s">
        <v>161</v>
      </c>
      <c r="F842" s="50"/>
      <c r="G842" s="56" t="n">
        <f aca="false">ROUND(SUM(H846:H853),2)</f>
        <v>43.91</v>
      </c>
      <c r="H842" s="56"/>
      <c r="I842" s="56"/>
      <c r="J842" s="56"/>
      <c r="K842" s="56"/>
      <c r="L842" s="1"/>
    </row>
    <row r="843" customFormat="false" ht="15" hidden="false" customHeight="false" outlineLevel="0" collapsed="false">
      <c r="A843" s="1"/>
      <c r="B843" s="50" t="s">
        <v>162</v>
      </c>
      <c r="C843" s="55" t="n">
        <f aca="false">ROUND(SUMPRODUCT(((F846:F853="KG")+(F846:F853="G"))*1)+SUMPRODUCT((F846:F853&lt;&gt;"KG")*(F846:F853&lt;&gt;"G")*E846:E853),0)</f>
        <v>8</v>
      </c>
      <c r="D843" s="55"/>
      <c r="E843" s="50" t="s">
        <v>163</v>
      </c>
      <c r="F843" s="50"/>
      <c r="G843" s="56" t="n">
        <f aca="false">IF(G841="","",ROUND(G841-G842,2))</f>
        <v>0</v>
      </c>
      <c r="H843" s="56"/>
      <c r="I843" s="56"/>
      <c r="J843" s="56"/>
      <c r="K843" s="56"/>
      <c r="L843" s="1"/>
    </row>
    <row r="844" customFormat="false" ht="15" hidden="false" customHeight="false" outlineLevel="0" collapsed="false">
      <c r="A844" s="1"/>
      <c r="B844" s="50" t="s">
        <v>84</v>
      </c>
      <c r="C844" s="57" t="str">
        <f aca="false">IF(C842=0,"— aguardando lançamento",IF(G841="","SEM TOTAL OFICIAL — informe o total do cupom",IF(AND(OR(C841="",C841=C842,C841=C843),ABS(G843)&lt;=0.05),"FECHADO — itens e valor conferem",IF(ABS(G843)&lt;=0.05,"REVISAR — qtd. de itens não bate","REVISAR — diferença de R$ "&amp;ABS(G843)))))</f>
        <v>FECHADO — itens e valor conferem</v>
      </c>
      <c r="D844" s="57"/>
      <c r="E844" s="57"/>
      <c r="F844" s="57"/>
      <c r="G844" s="50" t="s">
        <v>164</v>
      </c>
      <c r="H844" s="30"/>
      <c r="I844" s="30"/>
      <c r="J844" s="30"/>
      <c r="K844" s="30"/>
      <c r="L844" s="1"/>
    </row>
    <row r="845" customFormat="false" ht="15" hidden="false" customHeight="false" outlineLevel="0" collapsed="false">
      <c r="A845" s="1"/>
      <c r="B845" s="15" t="s">
        <v>165</v>
      </c>
      <c r="C845" s="15" t="s">
        <v>52</v>
      </c>
      <c r="D845" s="15" t="s">
        <v>9</v>
      </c>
      <c r="E845" s="15" t="s">
        <v>166</v>
      </c>
      <c r="F845" s="15" t="s">
        <v>167</v>
      </c>
      <c r="G845" s="15" t="s">
        <v>168</v>
      </c>
      <c r="H845" s="15" t="s">
        <v>10</v>
      </c>
      <c r="I845" s="15" t="s">
        <v>169</v>
      </c>
      <c r="J845" s="15" t="s">
        <v>170</v>
      </c>
      <c r="K845" s="15"/>
      <c r="L845" s="1"/>
    </row>
    <row r="846" customFormat="false" ht="15" hidden="false" customHeight="false" outlineLevel="0" collapsed="false">
      <c r="A846" s="1"/>
      <c r="B846" s="30" t="s">
        <v>482</v>
      </c>
      <c r="C846" s="16" t="s">
        <v>483</v>
      </c>
      <c r="D846" s="16" t="s">
        <v>15</v>
      </c>
      <c r="E846" s="64" t="n">
        <v>0.87</v>
      </c>
      <c r="F846" s="25" t="s">
        <v>176</v>
      </c>
      <c r="G846" s="17" t="n">
        <v>3.48</v>
      </c>
      <c r="H846" s="17" t="n">
        <v>3.03</v>
      </c>
      <c r="I846" s="62" t="n">
        <f aca="false">IF(OR(E846="",G846=""),"",ROUND(E846*G846,2))</f>
        <v>3.03</v>
      </c>
      <c r="J846" s="25" t="str">
        <f aca="false">IF(OR(H846="",I846=""),"",IF(ABS(H846-I846)&lt;=0.02,"OK","≠"))</f>
        <v>OK</v>
      </c>
      <c r="K846" s="16"/>
      <c r="L846" s="1"/>
    </row>
    <row r="847" customFormat="false" ht="15" hidden="false" customHeight="false" outlineLevel="0" collapsed="false">
      <c r="A847" s="1"/>
      <c r="B847" s="32" t="s">
        <v>480</v>
      </c>
      <c r="C847" s="19" t="s">
        <v>481</v>
      </c>
      <c r="D847" s="19" t="s">
        <v>15</v>
      </c>
      <c r="E847" s="65" t="n">
        <v>0.668</v>
      </c>
      <c r="F847" s="27" t="s">
        <v>176</v>
      </c>
      <c r="G847" s="20" t="n">
        <v>7.98</v>
      </c>
      <c r="H847" s="20" t="n">
        <v>5.33</v>
      </c>
      <c r="I847" s="62" t="n">
        <f aca="false">IF(OR(E847="",G847=""),"",ROUND(E847*G847,2))</f>
        <v>5.33</v>
      </c>
      <c r="J847" s="25" t="str">
        <f aca="false">IF(OR(H847="",I847=""),"",IF(ABS(H847-I847)&lt;=0.02,"OK","≠"))</f>
        <v>OK</v>
      </c>
      <c r="K847" s="16"/>
      <c r="L847" s="1"/>
    </row>
    <row r="848" customFormat="false" ht="15" hidden="false" customHeight="false" outlineLevel="0" collapsed="false">
      <c r="A848" s="1"/>
      <c r="B848" s="30" t="s">
        <v>745</v>
      </c>
      <c r="C848" s="16" t="s">
        <v>746</v>
      </c>
      <c r="D848" s="16" t="s">
        <v>15</v>
      </c>
      <c r="E848" s="64" t="n">
        <v>0.574</v>
      </c>
      <c r="F848" s="25" t="s">
        <v>176</v>
      </c>
      <c r="G848" s="17" t="n">
        <v>7.38</v>
      </c>
      <c r="H848" s="17" t="n">
        <v>4.24</v>
      </c>
      <c r="I848" s="62" t="n">
        <f aca="false">IF(OR(E848="",G848=""),"",ROUND(E848*G848,2))</f>
        <v>4.24</v>
      </c>
      <c r="J848" s="25" t="str">
        <f aca="false">IF(OR(H848="",I848=""),"",IF(ABS(H848-I848)&lt;=0.02,"OK","≠"))</f>
        <v>OK</v>
      </c>
      <c r="K848" s="16"/>
      <c r="L848" s="1"/>
    </row>
    <row r="849" customFormat="false" ht="15" hidden="false" customHeight="false" outlineLevel="0" collapsed="false">
      <c r="A849" s="1"/>
      <c r="B849" s="32" t="s">
        <v>336</v>
      </c>
      <c r="C849" s="19" t="s">
        <v>337</v>
      </c>
      <c r="D849" s="19" t="s">
        <v>15</v>
      </c>
      <c r="E849" s="65" t="n">
        <v>0.146</v>
      </c>
      <c r="F849" s="27" t="s">
        <v>176</v>
      </c>
      <c r="G849" s="20" t="n">
        <v>23.98</v>
      </c>
      <c r="H849" s="20" t="n">
        <v>3.5</v>
      </c>
      <c r="I849" s="62" t="n">
        <f aca="false">IF(OR(E849="",G849=""),"",ROUND(E849*G849,2))</f>
        <v>3.5</v>
      </c>
      <c r="J849" s="25" t="str">
        <f aca="false">IF(OR(H849="",I849=""),"",IF(ABS(H849-I849)&lt;=0.02,"OK","≠"))</f>
        <v>OK</v>
      </c>
      <c r="K849" s="16"/>
      <c r="L849" s="1"/>
    </row>
    <row r="850" customFormat="false" ht="15" hidden="false" customHeight="false" outlineLevel="0" collapsed="false">
      <c r="A850" s="1"/>
      <c r="B850" s="30" t="s">
        <v>747</v>
      </c>
      <c r="C850" s="16" t="s">
        <v>748</v>
      </c>
      <c r="D850" s="16" t="s">
        <v>15</v>
      </c>
      <c r="E850" s="64" t="n">
        <v>0.208</v>
      </c>
      <c r="F850" s="25" t="s">
        <v>176</v>
      </c>
      <c r="G850" s="17" t="n">
        <v>12.98</v>
      </c>
      <c r="H850" s="17" t="n">
        <v>2.7</v>
      </c>
      <c r="I850" s="62" t="n">
        <f aca="false">IF(OR(E850="",G850=""),"",ROUND(E850*G850,2))</f>
        <v>2.7</v>
      </c>
      <c r="J850" s="25" t="str">
        <f aca="false">IF(OR(H850="",I850=""),"",IF(ABS(H850-I850)&lt;=0.02,"OK","≠"))</f>
        <v>OK</v>
      </c>
      <c r="K850" s="16"/>
      <c r="L850" s="1"/>
    </row>
    <row r="851" customFormat="false" ht="15" hidden="false" customHeight="false" outlineLevel="0" collapsed="false">
      <c r="A851" s="1"/>
      <c r="B851" s="32" t="s">
        <v>590</v>
      </c>
      <c r="C851" s="19" t="s">
        <v>591</v>
      </c>
      <c r="D851" s="19" t="s">
        <v>15</v>
      </c>
      <c r="E851" s="65" t="n">
        <v>0.702</v>
      </c>
      <c r="F851" s="27" t="s">
        <v>176</v>
      </c>
      <c r="G851" s="20" t="n">
        <v>7.5</v>
      </c>
      <c r="H851" s="20" t="n">
        <v>5.26</v>
      </c>
      <c r="I851" s="62" t="n">
        <f aca="false">IF(OR(E851="",G851=""),"",ROUND(E851*G851,2))</f>
        <v>5.27</v>
      </c>
      <c r="J851" s="25" t="str">
        <f aca="false">IF(OR(H851="",I851=""),"",IF(ABS(H851-I851)&lt;=0.02,"OK","≠"))</f>
        <v>OK</v>
      </c>
      <c r="K851" s="16"/>
      <c r="L851" s="1"/>
    </row>
    <row r="852" customFormat="false" ht="15" hidden="false" customHeight="false" outlineLevel="0" collapsed="false">
      <c r="A852" s="1"/>
      <c r="B852" s="30" t="s">
        <v>749</v>
      </c>
      <c r="C852" s="16" t="s">
        <v>750</v>
      </c>
      <c r="D852" s="16" t="s">
        <v>15</v>
      </c>
      <c r="E852" s="64" t="n">
        <v>1</v>
      </c>
      <c r="F852" s="25" t="s">
        <v>179</v>
      </c>
      <c r="G852" s="17" t="n">
        <v>4.9</v>
      </c>
      <c r="H852" s="17" t="n">
        <v>4.9</v>
      </c>
      <c r="I852" s="62" t="n">
        <f aca="false">IF(OR(E852="",G852=""),"",ROUND(E852*G852,2))</f>
        <v>4.9</v>
      </c>
      <c r="J852" s="25" t="str">
        <f aca="false">IF(OR(H852="",I852=""),"",IF(ABS(H852-I852)&lt;=0.02,"OK","≠"))</f>
        <v>OK</v>
      </c>
      <c r="K852" s="16"/>
      <c r="L852" s="1"/>
    </row>
    <row r="853" customFormat="false" ht="15" hidden="false" customHeight="false" outlineLevel="0" collapsed="false">
      <c r="A853" s="1"/>
      <c r="B853" s="32" t="s">
        <v>751</v>
      </c>
      <c r="C853" s="19" t="s">
        <v>752</v>
      </c>
      <c r="D853" s="19" t="s">
        <v>12</v>
      </c>
      <c r="E853" s="65" t="n">
        <v>1</v>
      </c>
      <c r="F853" s="27" t="s">
        <v>179</v>
      </c>
      <c r="G853" s="20" t="n">
        <v>14.95</v>
      </c>
      <c r="H853" s="20" t="n">
        <v>14.95</v>
      </c>
      <c r="I853" s="62" t="n">
        <f aca="false">IF(OR(E853="",G853=""),"",ROUND(E853*G853,2))</f>
        <v>14.95</v>
      </c>
      <c r="J853" s="25" t="str">
        <f aca="false">IF(OR(H853="",I853=""),"",IF(ABS(H853-I853)&lt;=0.02,"OK","≠"))</f>
        <v>OK</v>
      </c>
      <c r="K853" s="16"/>
      <c r="L853" s="1"/>
    </row>
    <row r="854" customFormat="false" ht="15" hidden="false" customHeight="false" outlineLevel="0" collapsed="false">
      <c r="A854" s="1"/>
      <c r="B854" s="1"/>
      <c r="C854" s="1"/>
      <c r="D854" s="1"/>
      <c r="E854" s="1"/>
      <c r="F854" s="1"/>
      <c r="G854" s="1"/>
      <c r="H854" s="1"/>
      <c r="I854" s="1"/>
      <c r="J854" s="1"/>
      <c r="K854" s="1"/>
      <c r="L854" s="1"/>
    </row>
    <row r="855" customFormat="false" ht="19.5" hidden="false" customHeight="true" outlineLevel="0" collapsed="false">
      <c r="A855" s="1"/>
      <c r="B855" s="63" t="s">
        <v>753</v>
      </c>
      <c r="C855" s="63"/>
      <c r="D855" s="63"/>
      <c r="E855" s="63"/>
      <c r="F855" s="63"/>
      <c r="G855" s="63"/>
      <c r="H855" s="63"/>
      <c r="I855" s="63"/>
      <c r="J855" s="63"/>
      <c r="K855" s="63"/>
      <c r="L855" s="1"/>
    </row>
    <row r="856" customFormat="false" ht="15" hidden="false" customHeight="false" outlineLevel="0" collapsed="false">
      <c r="A856" s="1"/>
      <c r="B856" s="50" t="s">
        <v>34</v>
      </c>
      <c r="C856" s="45" t="s">
        <v>37</v>
      </c>
      <c r="D856" s="45"/>
      <c r="E856" s="50" t="s">
        <v>157</v>
      </c>
      <c r="F856" s="50"/>
      <c r="G856" s="45" t="s">
        <v>754</v>
      </c>
      <c r="H856" s="45"/>
      <c r="I856" s="45"/>
      <c r="J856" s="45"/>
      <c r="K856" s="45"/>
      <c r="L856" s="1"/>
    </row>
    <row r="857" customFormat="false" ht="15" hidden="false" customHeight="false" outlineLevel="0" collapsed="false">
      <c r="A857" s="1"/>
      <c r="B857" s="50" t="s">
        <v>78</v>
      </c>
      <c r="C857" s="39" t="n">
        <v>46204</v>
      </c>
      <c r="D857" s="39"/>
      <c r="E857" s="50" t="s">
        <v>80</v>
      </c>
      <c r="F857" s="50"/>
      <c r="G857" s="45" t="s">
        <v>173</v>
      </c>
      <c r="H857" s="45"/>
      <c r="I857" s="45"/>
      <c r="J857" s="45"/>
      <c r="K857" s="45"/>
      <c r="L857" s="1"/>
    </row>
    <row r="858" customFormat="false" ht="15" hidden="false" customHeight="false" outlineLevel="0" collapsed="false">
      <c r="A858" s="1"/>
      <c r="B858" s="50" t="s">
        <v>158</v>
      </c>
      <c r="C858" s="55" t="n">
        <v>3</v>
      </c>
      <c r="D858" s="55"/>
      <c r="E858" s="50" t="s">
        <v>159</v>
      </c>
      <c r="F858" s="50"/>
      <c r="G858" s="56" t="n">
        <v>27.79</v>
      </c>
      <c r="H858" s="56"/>
      <c r="I858" s="56"/>
      <c r="J858" s="56"/>
      <c r="K858" s="56"/>
      <c r="L858" s="1"/>
    </row>
    <row r="859" customFormat="false" ht="15" hidden="false" customHeight="false" outlineLevel="0" collapsed="false">
      <c r="A859" s="1"/>
      <c r="B859" s="50" t="s">
        <v>160</v>
      </c>
      <c r="C859" s="55" t="n">
        <f aca="false">COUNT(H863:H865)</f>
        <v>3</v>
      </c>
      <c r="D859" s="55"/>
      <c r="E859" s="50" t="s">
        <v>161</v>
      </c>
      <c r="F859" s="50"/>
      <c r="G859" s="56" t="n">
        <f aca="false">ROUND(SUM(H863:H865),2)</f>
        <v>27.79</v>
      </c>
      <c r="H859" s="56"/>
      <c r="I859" s="56"/>
      <c r="J859" s="56"/>
      <c r="K859" s="56"/>
      <c r="L859" s="1"/>
    </row>
    <row r="860" customFormat="false" ht="15" hidden="false" customHeight="false" outlineLevel="0" collapsed="false">
      <c r="A860" s="1"/>
      <c r="B860" s="50" t="s">
        <v>162</v>
      </c>
      <c r="C860" s="55" t="n">
        <f aca="false">ROUND(SUMPRODUCT(((F863:F865="KG")+(F863:F865="G"))*1)+SUMPRODUCT((F863:F865&lt;&gt;"KG")*(F863:F865&lt;&gt;"G")*E863:E865),0)</f>
        <v>3</v>
      </c>
      <c r="D860" s="55"/>
      <c r="E860" s="50" t="s">
        <v>163</v>
      </c>
      <c r="F860" s="50"/>
      <c r="G860" s="56" t="n">
        <f aca="false">IF(G858="","",ROUND(G858-G859,2))</f>
        <v>0</v>
      </c>
      <c r="H860" s="56"/>
      <c r="I860" s="56"/>
      <c r="J860" s="56"/>
      <c r="K860" s="56"/>
      <c r="L860" s="1"/>
    </row>
    <row r="861" customFormat="false" ht="15" hidden="false" customHeight="false" outlineLevel="0" collapsed="false">
      <c r="A861" s="1"/>
      <c r="B861" s="50" t="s">
        <v>84</v>
      </c>
      <c r="C861" s="57" t="str">
        <f aca="false">IF(C859=0,"— aguardando lançamento",IF(G858="","SEM TOTAL OFICIAL — informe o total do cupom",IF(AND(OR(C858="",C858=C859,C858=C860),ABS(G860)&lt;=0.05),"FECHADO — itens e valor conferem",IF(ABS(G860)&lt;=0.05,"REVISAR — qtd. de itens não bate","REVISAR — diferença de R$ "&amp;ABS(G860)))))</f>
        <v>FECHADO — itens e valor conferem</v>
      </c>
      <c r="D861" s="57"/>
      <c r="E861" s="57"/>
      <c r="F861" s="57"/>
      <c r="G861" s="50" t="s">
        <v>164</v>
      </c>
      <c r="H861" s="30"/>
      <c r="I861" s="30"/>
      <c r="J861" s="30"/>
      <c r="K861" s="30"/>
      <c r="L861" s="1"/>
    </row>
    <row r="862" customFormat="false" ht="15" hidden="false" customHeight="false" outlineLevel="0" collapsed="false">
      <c r="A862" s="1"/>
      <c r="B862" s="15" t="s">
        <v>165</v>
      </c>
      <c r="C862" s="15" t="s">
        <v>52</v>
      </c>
      <c r="D862" s="15" t="s">
        <v>9</v>
      </c>
      <c r="E862" s="15" t="s">
        <v>166</v>
      </c>
      <c r="F862" s="15" t="s">
        <v>167</v>
      </c>
      <c r="G862" s="15" t="s">
        <v>168</v>
      </c>
      <c r="H862" s="15" t="s">
        <v>10</v>
      </c>
      <c r="I862" s="15" t="s">
        <v>169</v>
      </c>
      <c r="J862" s="15" t="s">
        <v>170</v>
      </c>
      <c r="K862" s="15"/>
      <c r="L862" s="1"/>
    </row>
    <row r="863" customFormat="false" ht="15" hidden="false" customHeight="false" outlineLevel="0" collapsed="false">
      <c r="A863" s="1"/>
      <c r="B863" s="30" t="s">
        <v>755</v>
      </c>
      <c r="C863" s="16" t="s">
        <v>756</v>
      </c>
      <c r="D863" s="16" t="s">
        <v>12</v>
      </c>
      <c r="E863" s="64" t="n">
        <v>1</v>
      </c>
      <c r="F863" s="25" t="s">
        <v>179</v>
      </c>
      <c r="G863" s="17" t="n">
        <v>7.99</v>
      </c>
      <c r="H863" s="17" t="n">
        <v>7.99</v>
      </c>
      <c r="I863" s="62" t="n">
        <f aca="false">IF(OR(E863="",G863=""),"",ROUND(E863*G863,2))</f>
        <v>7.99</v>
      </c>
      <c r="J863" s="25" t="str">
        <f aca="false">IF(OR(H863="",I863=""),"",IF(ABS(H863-I863)&lt;=0.02,"OK","≠"))</f>
        <v>OK</v>
      </c>
      <c r="K863" s="16"/>
      <c r="L863" s="1"/>
    </row>
    <row r="864" customFormat="false" ht="15" hidden="false" customHeight="false" outlineLevel="0" collapsed="false">
      <c r="A864" s="1"/>
      <c r="B864" s="32" t="s">
        <v>555</v>
      </c>
      <c r="C864" s="19" t="s">
        <v>757</v>
      </c>
      <c r="D864" s="19" t="s">
        <v>12</v>
      </c>
      <c r="E864" s="65" t="n">
        <v>1</v>
      </c>
      <c r="F864" s="27" t="s">
        <v>179</v>
      </c>
      <c r="G864" s="20" t="n">
        <v>9.9</v>
      </c>
      <c r="H864" s="20" t="n">
        <v>9.9</v>
      </c>
      <c r="I864" s="62" t="n">
        <f aca="false">IF(OR(E864="",G864=""),"",ROUND(E864*G864,2))</f>
        <v>9.9</v>
      </c>
      <c r="J864" s="25" t="str">
        <f aca="false">IF(OR(H864="",I864=""),"",IF(ABS(H864-I864)&lt;=0.02,"OK","≠"))</f>
        <v>OK</v>
      </c>
      <c r="K864" s="16"/>
      <c r="L864" s="1"/>
    </row>
    <row r="865" customFormat="false" ht="15" hidden="false" customHeight="false" outlineLevel="0" collapsed="false">
      <c r="A865" s="1"/>
      <c r="B865" s="30" t="s">
        <v>555</v>
      </c>
      <c r="C865" s="16" t="s">
        <v>757</v>
      </c>
      <c r="D865" s="16" t="s">
        <v>12</v>
      </c>
      <c r="E865" s="64" t="n">
        <v>1</v>
      </c>
      <c r="F865" s="25" t="s">
        <v>179</v>
      </c>
      <c r="G865" s="17" t="n">
        <v>9.9</v>
      </c>
      <c r="H865" s="17" t="n">
        <v>9.9</v>
      </c>
      <c r="I865" s="62" t="n">
        <f aca="false">IF(OR(E865="",G865=""),"",ROUND(E865*G865,2))</f>
        <v>9.9</v>
      </c>
      <c r="J865" s="25" t="str">
        <f aca="false">IF(OR(H865="",I865=""),"",IF(ABS(H865-I865)&lt;=0.02,"OK","≠"))</f>
        <v>OK</v>
      </c>
      <c r="K865" s="16"/>
      <c r="L865" s="1"/>
    </row>
    <row r="866" customFormat="false" ht="15" hidden="false" customHeight="false" outlineLevel="0" collapsed="false">
      <c r="A866" s="1"/>
      <c r="B866" s="1"/>
      <c r="C866" s="1"/>
      <c r="D866" s="1"/>
      <c r="E866" s="1"/>
      <c r="F866" s="1"/>
      <c r="G866" s="1"/>
      <c r="H866" s="1"/>
      <c r="I866" s="1"/>
      <c r="J866" s="1"/>
      <c r="K866" s="1"/>
      <c r="L866" s="1"/>
    </row>
    <row r="867" customFormat="false" ht="19.5" hidden="false" customHeight="true" outlineLevel="0" collapsed="false">
      <c r="A867" s="1"/>
      <c r="B867" s="63" t="s">
        <v>758</v>
      </c>
      <c r="C867" s="63"/>
      <c r="D867" s="63"/>
      <c r="E867" s="63"/>
      <c r="F867" s="63"/>
      <c r="G867" s="63"/>
      <c r="H867" s="63"/>
      <c r="I867" s="63"/>
      <c r="J867" s="63"/>
      <c r="K867" s="63"/>
      <c r="L867" s="1"/>
    </row>
    <row r="868" customFormat="false" ht="15" hidden="false" customHeight="false" outlineLevel="0" collapsed="false">
      <c r="A868" s="1"/>
      <c r="B868" s="50" t="s">
        <v>34</v>
      </c>
      <c r="C868" s="45" t="s">
        <v>37</v>
      </c>
      <c r="D868" s="45"/>
      <c r="E868" s="50" t="s">
        <v>157</v>
      </c>
      <c r="F868" s="50"/>
      <c r="G868" s="45" t="s">
        <v>759</v>
      </c>
      <c r="H868" s="45"/>
      <c r="I868" s="45"/>
      <c r="J868" s="45"/>
      <c r="K868" s="45"/>
      <c r="L868" s="1"/>
    </row>
    <row r="869" customFormat="false" ht="15" hidden="false" customHeight="false" outlineLevel="0" collapsed="false">
      <c r="A869" s="1"/>
      <c r="B869" s="50" t="s">
        <v>78</v>
      </c>
      <c r="C869" s="39" t="n">
        <v>46204</v>
      </c>
      <c r="D869" s="39"/>
      <c r="E869" s="50" t="s">
        <v>80</v>
      </c>
      <c r="F869" s="50"/>
      <c r="G869" s="45" t="s">
        <v>173</v>
      </c>
      <c r="H869" s="45"/>
      <c r="I869" s="45"/>
      <c r="J869" s="45"/>
      <c r="K869" s="45"/>
      <c r="L869" s="1"/>
    </row>
    <row r="870" customFormat="false" ht="15" hidden="false" customHeight="false" outlineLevel="0" collapsed="false">
      <c r="A870" s="1"/>
      <c r="B870" s="50" t="s">
        <v>158</v>
      </c>
      <c r="C870" s="55" t="n">
        <v>6</v>
      </c>
      <c r="D870" s="55"/>
      <c r="E870" s="50" t="s">
        <v>159</v>
      </c>
      <c r="F870" s="50"/>
      <c r="G870" s="56" t="n">
        <v>47.24</v>
      </c>
      <c r="H870" s="56"/>
      <c r="I870" s="56"/>
      <c r="J870" s="56"/>
      <c r="K870" s="56"/>
      <c r="L870" s="1"/>
    </row>
    <row r="871" customFormat="false" ht="15" hidden="false" customHeight="false" outlineLevel="0" collapsed="false">
      <c r="A871" s="1"/>
      <c r="B871" s="50" t="s">
        <v>160</v>
      </c>
      <c r="C871" s="55" t="n">
        <f aca="false">COUNT(H875:H880)</f>
        <v>6</v>
      </c>
      <c r="D871" s="55"/>
      <c r="E871" s="50" t="s">
        <v>161</v>
      </c>
      <c r="F871" s="50"/>
      <c r="G871" s="56" t="n">
        <f aca="false">ROUND(SUM(H875:H880),2)</f>
        <v>47.24</v>
      </c>
      <c r="H871" s="56"/>
      <c r="I871" s="56"/>
      <c r="J871" s="56"/>
      <c r="K871" s="56"/>
      <c r="L871" s="1"/>
    </row>
    <row r="872" customFormat="false" ht="15" hidden="false" customHeight="false" outlineLevel="0" collapsed="false">
      <c r="A872" s="1"/>
      <c r="B872" s="50" t="s">
        <v>162</v>
      </c>
      <c r="C872" s="55" t="n">
        <f aca="false">ROUND(SUMPRODUCT(((F875:F880="KG")+(F875:F880="G"))*1)+SUMPRODUCT((F875:F880&lt;&gt;"KG")*(F875:F880&lt;&gt;"G")*E875:E880),0)</f>
        <v>6</v>
      </c>
      <c r="D872" s="55"/>
      <c r="E872" s="50" t="s">
        <v>163</v>
      </c>
      <c r="F872" s="50"/>
      <c r="G872" s="56" t="n">
        <f aca="false">IF(G870="","",ROUND(G870-G871,2))</f>
        <v>0</v>
      </c>
      <c r="H872" s="56"/>
      <c r="I872" s="56"/>
      <c r="J872" s="56"/>
      <c r="K872" s="56"/>
      <c r="L872" s="1"/>
    </row>
    <row r="873" customFormat="false" ht="15" hidden="false" customHeight="false" outlineLevel="0" collapsed="false">
      <c r="A873" s="1"/>
      <c r="B873" s="50" t="s">
        <v>84</v>
      </c>
      <c r="C873" s="57" t="str">
        <f aca="false">IF(C871=0,"— aguardando lançamento",IF(G870="","SEM TOTAL OFICIAL — informe o total do cupom",IF(AND(OR(C870="",C870=C871,C870=C872),ABS(G872)&lt;=0.05),"FECHADO — itens e valor conferem",IF(ABS(G872)&lt;=0.05,"REVISAR — qtd. de itens não bate","REVISAR — diferença de R$ "&amp;ABS(G872)))))</f>
        <v>FECHADO — itens e valor conferem</v>
      </c>
      <c r="D873" s="57"/>
      <c r="E873" s="57"/>
      <c r="F873" s="57"/>
      <c r="G873" s="50" t="s">
        <v>164</v>
      </c>
      <c r="H873" s="30"/>
      <c r="I873" s="30"/>
      <c r="J873" s="30"/>
      <c r="K873" s="30"/>
      <c r="L873" s="1"/>
    </row>
    <row r="874" customFormat="false" ht="15" hidden="false" customHeight="false" outlineLevel="0" collapsed="false">
      <c r="A874" s="1"/>
      <c r="B874" s="15" t="s">
        <v>165</v>
      </c>
      <c r="C874" s="15" t="s">
        <v>52</v>
      </c>
      <c r="D874" s="15" t="s">
        <v>9</v>
      </c>
      <c r="E874" s="15" t="s">
        <v>166</v>
      </c>
      <c r="F874" s="15" t="s">
        <v>167</v>
      </c>
      <c r="G874" s="15" t="s">
        <v>168</v>
      </c>
      <c r="H874" s="15" t="s">
        <v>10</v>
      </c>
      <c r="I874" s="15" t="s">
        <v>169</v>
      </c>
      <c r="J874" s="15" t="s">
        <v>170</v>
      </c>
      <c r="K874" s="15"/>
      <c r="L874" s="1"/>
    </row>
    <row r="875" customFormat="false" ht="15" hidden="false" customHeight="false" outlineLevel="0" collapsed="false">
      <c r="A875" s="1"/>
      <c r="B875" s="30" t="s">
        <v>230</v>
      </c>
      <c r="C875" s="16" t="s">
        <v>760</v>
      </c>
      <c r="D875" s="16" t="s">
        <v>13</v>
      </c>
      <c r="E875" s="64" t="n">
        <v>1</v>
      </c>
      <c r="F875" s="25" t="s">
        <v>179</v>
      </c>
      <c r="G875" s="17" t="n">
        <v>6.69</v>
      </c>
      <c r="H875" s="17" t="n">
        <v>6.69</v>
      </c>
      <c r="I875" s="62" t="n">
        <f aca="false">IF(OR(E875="",G875=""),"",ROUND(E875*G875,2))</f>
        <v>6.69</v>
      </c>
      <c r="J875" s="25" t="str">
        <f aca="false">IF(OR(H875="",I875=""),"",IF(ABS(H875-I875)&lt;=0.02,"OK","≠"))</f>
        <v>OK</v>
      </c>
      <c r="K875" s="16"/>
      <c r="L875" s="1"/>
    </row>
    <row r="876" customFormat="false" ht="15" hidden="false" customHeight="false" outlineLevel="0" collapsed="false">
      <c r="A876" s="1"/>
      <c r="B876" s="32" t="s">
        <v>761</v>
      </c>
      <c r="C876" s="19" t="s">
        <v>762</v>
      </c>
      <c r="D876" s="19" t="s">
        <v>13</v>
      </c>
      <c r="E876" s="65" t="n">
        <v>1</v>
      </c>
      <c r="F876" s="27" t="s">
        <v>179</v>
      </c>
      <c r="G876" s="20" t="n">
        <v>9.9</v>
      </c>
      <c r="H876" s="20" t="n">
        <v>9.9</v>
      </c>
      <c r="I876" s="62" t="n">
        <f aca="false">IF(OR(E876="",G876=""),"",ROUND(E876*G876,2))</f>
        <v>9.9</v>
      </c>
      <c r="J876" s="25" t="str">
        <f aca="false">IF(OR(H876="",I876=""),"",IF(ABS(H876-I876)&lt;=0.02,"OK","≠"))</f>
        <v>OK</v>
      </c>
      <c r="K876" s="16"/>
      <c r="L876" s="1"/>
    </row>
    <row r="877" customFormat="false" ht="15" hidden="false" customHeight="false" outlineLevel="0" collapsed="false">
      <c r="A877" s="1"/>
      <c r="B877" s="30" t="s">
        <v>763</v>
      </c>
      <c r="C877" s="16" t="s">
        <v>764</v>
      </c>
      <c r="D877" s="16" t="s">
        <v>12</v>
      </c>
      <c r="E877" s="64" t="n">
        <v>1</v>
      </c>
      <c r="F877" s="25" t="s">
        <v>179</v>
      </c>
      <c r="G877" s="17" t="n">
        <v>15.9</v>
      </c>
      <c r="H877" s="17" t="n">
        <v>15.9</v>
      </c>
      <c r="I877" s="62" t="n">
        <f aca="false">IF(OR(E877="",G877=""),"",ROUND(E877*G877,2))</f>
        <v>15.9</v>
      </c>
      <c r="J877" s="25" t="str">
        <f aca="false">IF(OR(H877="",I877=""),"",IF(ABS(H877-I877)&lt;=0.02,"OK","≠"))</f>
        <v>OK</v>
      </c>
      <c r="K877" s="16"/>
      <c r="L877" s="1"/>
    </row>
    <row r="878" customFormat="false" ht="15" hidden="false" customHeight="false" outlineLevel="0" collapsed="false">
      <c r="A878" s="1"/>
      <c r="B878" s="32" t="s">
        <v>765</v>
      </c>
      <c r="C878" s="19" t="s">
        <v>766</v>
      </c>
      <c r="D878" s="19" t="s">
        <v>14</v>
      </c>
      <c r="E878" s="65" t="n">
        <v>0.126</v>
      </c>
      <c r="F878" s="27" t="s">
        <v>176</v>
      </c>
      <c r="G878" s="20" t="n">
        <v>42.9</v>
      </c>
      <c r="H878" s="20" t="n">
        <v>5.41</v>
      </c>
      <c r="I878" s="62" t="n">
        <f aca="false">IF(OR(E878="",G878=""),"",ROUND(E878*G878,2))</f>
        <v>5.41</v>
      </c>
      <c r="J878" s="25" t="str">
        <f aca="false">IF(OR(H878="",I878=""),"",IF(ABS(H878-I878)&lt;=0.02,"OK","≠"))</f>
        <v>OK</v>
      </c>
      <c r="K878" s="16"/>
      <c r="L878" s="1"/>
    </row>
    <row r="879" customFormat="false" ht="15" hidden="false" customHeight="false" outlineLevel="0" collapsed="false">
      <c r="A879" s="1"/>
      <c r="B879" s="30" t="s">
        <v>458</v>
      </c>
      <c r="C879" s="16" t="s">
        <v>740</v>
      </c>
      <c r="D879" s="16" t="s">
        <v>14</v>
      </c>
      <c r="E879" s="64" t="n">
        <v>0.355</v>
      </c>
      <c r="F879" s="25" t="s">
        <v>176</v>
      </c>
      <c r="G879" s="17" t="n">
        <v>17.9</v>
      </c>
      <c r="H879" s="17" t="n">
        <v>6.35</v>
      </c>
      <c r="I879" s="62" t="n">
        <f aca="false">IF(OR(E879="",G879=""),"",ROUND(E879*G879,2))</f>
        <v>6.35</v>
      </c>
      <c r="J879" s="25" t="str">
        <f aca="false">IF(OR(H879="",I879=""),"",IF(ABS(H879-I879)&lt;=0.02,"OK","≠"))</f>
        <v>OK</v>
      </c>
      <c r="K879" s="16"/>
      <c r="L879" s="1"/>
    </row>
    <row r="880" customFormat="false" ht="15" hidden="false" customHeight="false" outlineLevel="0" collapsed="false">
      <c r="A880" s="1"/>
      <c r="B880" s="32" t="s">
        <v>767</v>
      </c>
      <c r="C880" s="19" t="s">
        <v>768</v>
      </c>
      <c r="D880" s="19" t="s">
        <v>12</v>
      </c>
      <c r="E880" s="65" t="n">
        <v>1</v>
      </c>
      <c r="F880" s="27" t="s">
        <v>179</v>
      </c>
      <c r="G880" s="20" t="n">
        <v>2.99</v>
      </c>
      <c r="H880" s="20" t="n">
        <v>2.99</v>
      </c>
      <c r="I880" s="62" t="n">
        <f aca="false">IF(OR(E880="",G880=""),"",ROUND(E880*G880,2))</f>
        <v>2.99</v>
      </c>
      <c r="J880" s="25" t="str">
        <f aca="false">IF(OR(H880="",I880=""),"",IF(ABS(H880-I880)&lt;=0.02,"OK","≠"))</f>
        <v>OK</v>
      </c>
      <c r="K880" s="16"/>
      <c r="L880" s="1"/>
    </row>
    <row r="881" customFormat="false" ht="15" hidden="false" customHeight="false" outlineLevel="0" collapsed="false">
      <c r="A881" s="1"/>
      <c r="B881" s="1"/>
      <c r="C881" s="1"/>
      <c r="D881" s="1"/>
      <c r="E881" s="1"/>
      <c r="F881" s="1"/>
      <c r="G881" s="1"/>
      <c r="H881" s="1"/>
      <c r="I881" s="1"/>
      <c r="J881" s="1"/>
      <c r="K881" s="1"/>
      <c r="L881" s="1"/>
    </row>
    <row r="882" customFormat="false" ht="19.5" hidden="false" customHeight="true" outlineLevel="0" collapsed="false">
      <c r="A882" s="1"/>
      <c r="B882" s="63" t="s">
        <v>769</v>
      </c>
      <c r="C882" s="63"/>
      <c r="D882" s="63"/>
      <c r="E882" s="63"/>
      <c r="F882" s="63"/>
      <c r="G882" s="63"/>
      <c r="H882" s="63"/>
      <c r="I882" s="63"/>
      <c r="J882" s="63"/>
      <c r="K882" s="63"/>
      <c r="L882" s="1"/>
    </row>
    <row r="883" customFormat="false" ht="15" hidden="false" customHeight="false" outlineLevel="0" collapsed="false">
      <c r="A883" s="1"/>
      <c r="B883" s="50" t="s">
        <v>34</v>
      </c>
      <c r="C883" s="45" t="s">
        <v>39</v>
      </c>
      <c r="D883" s="45"/>
      <c r="E883" s="50" t="s">
        <v>157</v>
      </c>
      <c r="F883" s="50"/>
      <c r="G883" s="45" t="s">
        <v>770</v>
      </c>
      <c r="H883" s="45"/>
      <c r="I883" s="45"/>
      <c r="J883" s="45"/>
      <c r="K883" s="45"/>
      <c r="L883" s="1"/>
    </row>
    <row r="884" customFormat="false" ht="15" hidden="false" customHeight="false" outlineLevel="0" collapsed="false">
      <c r="A884" s="1"/>
      <c r="B884" s="50" t="s">
        <v>78</v>
      </c>
      <c r="C884" s="39" t="n">
        <v>46205</v>
      </c>
      <c r="D884" s="39"/>
      <c r="E884" s="50" t="s">
        <v>80</v>
      </c>
      <c r="F884" s="50"/>
      <c r="G884" s="45" t="s">
        <v>173</v>
      </c>
      <c r="H884" s="45"/>
      <c r="I884" s="45"/>
      <c r="J884" s="45"/>
      <c r="K884" s="45"/>
      <c r="L884" s="1"/>
    </row>
    <row r="885" customFormat="false" ht="15" hidden="false" customHeight="false" outlineLevel="0" collapsed="false">
      <c r="A885" s="1"/>
      <c r="B885" s="50" t="s">
        <v>158</v>
      </c>
      <c r="C885" s="55" t="n">
        <v>4</v>
      </c>
      <c r="D885" s="55"/>
      <c r="E885" s="50" t="s">
        <v>159</v>
      </c>
      <c r="F885" s="50"/>
      <c r="G885" s="56" t="n">
        <v>20.73</v>
      </c>
      <c r="H885" s="56"/>
      <c r="I885" s="56"/>
      <c r="J885" s="56"/>
      <c r="K885" s="56"/>
      <c r="L885" s="1"/>
    </row>
    <row r="886" customFormat="false" ht="15" hidden="false" customHeight="false" outlineLevel="0" collapsed="false">
      <c r="A886" s="1"/>
      <c r="B886" s="50" t="s">
        <v>160</v>
      </c>
      <c r="C886" s="55" t="n">
        <f aca="false">COUNT(H890:H893)</f>
        <v>4</v>
      </c>
      <c r="D886" s="55"/>
      <c r="E886" s="50" t="s">
        <v>161</v>
      </c>
      <c r="F886" s="50"/>
      <c r="G886" s="56" t="n">
        <f aca="false">ROUND(SUM(H890:H893),2)</f>
        <v>20.73</v>
      </c>
      <c r="H886" s="56"/>
      <c r="I886" s="56"/>
      <c r="J886" s="56"/>
      <c r="K886" s="56"/>
      <c r="L886" s="1"/>
    </row>
    <row r="887" customFormat="false" ht="15" hidden="false" customHeight="false" outlineLevel="0" collapsed="false">
      <c r="A887" s="1"/>
      <c r="B887" s="50" t="s">
        <v>162</v>
      </c>
      <c r="C887" s="55" t="n">
        <f aca="false">ROUND(SUMPRODUCT(((F890:F893="KG")+(F890:F893="G"))*1)+SUMPRODUCT((F890:F893&lt;&gt;"KG")*(F890:F893&lt;&gt;"G")*E890:E893),0)</f>
        <v>4</v>
      </c>
      <c r="D887" s="55"/>
      <c r="E887" s="50" t="s">
        <v>163</v>
      </c>
      <c r="F887" s="50"/>
      <c r="G887" s="56" t="n">
        <f aca="false">IF(G885="","",ROUND(G885-G886,2))</f>
        <v>0</v>
      </c>
      <c r="H887" s="56"/>
      <c r="I887" s="56"/>
      <c r="J887" s="56"/>
      <c r="K887" s="56"/>
      <c r="L887" s="1"/>
    </row>
    <row r="888" customFormat="false" ht="15" hidden="false" customHeight="false" outlineLevel="0" collapsed="false">
      <c r="A888" s="1"/>
      <c r="B888" s="50" t="s">
        <v>84</v>
      </c>
      <c r="C888" s="57" t="str">
        <f aca="false">IF(C886=0,"— aguardando lançamento",IF(G885="","SEM TOTAL OFICIAL — informe o total do cupom",IF(AND(OR(C885="",C885=C886,C885=C887),ABS(G887)&lt;=0.05),"FECHADO — itens e valor conferem",IF(ABS(G887)&lt;=0.05,"REVISAR — qtd. de itens não bate","REVISAR — diferença de R$ "&amp;ABS(G887)))))</f>
        <v>FECHADO — itens e valor conferem</v>
      </c>
      <c r="D888" s="57"/>
      <c r="E888" s="57"/>
      <c r="F888" s="57"/>
      <c r="G888" s="50" t="s">
        <v>164</v>
      </c>
      <c r="H888" s="30"/>
      <c r="I888" s="30"/>
      <c r="J888" s="30"/>
      <c r="K888" s="30"/>
      <c r="L888" s="1"/>
    </row>
    <row r="889" customFormat="false" ht="15" hidden="false" customHeight="false" outlineLevel="0" collapsed="false">
      <c r="A889" s="1"/>
      <c r="B889" s="15" t="s">
        <v>165</v>
      </c>
      <c r="C889" s="15" t="s">
        <v>52</v>
      </c>
      <c r="D889" s="15" t="s">
        <v>9</v>
      </c>
      <c r="E889" s="15" t="s">
        <v>166</v>
      </c>
      <c r="F889" s="15" t="s">
        <v>167</v>
      </c>
      <c r="G889" s="15" t="s">
        <v>168</v>
      </c>
      <c r="H889" s="15" t="s">
        <v>10</v>
      </c>
      <c r="I889" s="15" t="s">
        <v>169</v>
      </c>
      <c r="J889" s="15" t="s">
        <v>170</v>
      </c>
      <c r="K889" s="15"/>
      <c r="L889" s="1"/>
    </row>
    <row r="890" customFormat="false" ht="15" hidden="false" customHeight="false" outlineLevel="0" collapsed="false">
      <c r="A890" s="1"/>
      <c r="B890" s="30" t="s">
        <v>771</v>
      </c>
      <c r="C890" s="16" t="s">
        <v>772</v>
      </c>
      <c r="D890" s="16" t="s">
        <v>14</v>
      </c>
      <c r="E890" s="64" t="n">
        <v>0.12</v>
      </c>
      <c r="F890" s="25" t="s">
        <v>176</v>
      </c>
      <c r="G890" s="17" t="n">
        <v>27.9</v>
      </c>
      <c r="H890" s="17" t="n">
        <v>3.35</v>
      </c>
      <c r="I890" s="62" t="n">
        <f aca="false">IF(OR(E890="",G890=""),"",ROUND(E890*G890,2))</f>
        <v>3.35</v>
      </c>
      <c r="J890" s="25" t="str">
        <f aca="false">IF(OR(H890="",I890=""),"",IF(ABS(H890-I890)&lt;=0.02,"OK","≠"))</f>
        <v>OK</v>
      </c>
      <c r="K890" s="16"/>
      <c r="L890" s="1"/>
    </row>
    <row r="891" customFormat="false" ht="15" hidden="false" customHeight="false" outlineLevel="0" collapsed="false">
      <c r="A891" s="1"/>
      <c r="B891" s="32" t="s">
        <v>773</v>
      </c>
      <c r="C891" s="19" t="s">
        <v>774</v>
      </c>
      <c r="D891" s="19" t="s">
        <v>14</v>
      </c>
      <c r="E891" s="65" t="n">
        <v>0.112</v>
      </c>
      <c r="F891" s="27" t="s">
        <v>176</v>
      </c>
      <c r="G891" s="20" t="n">
        <v>42</v>
      </c>
      <c r="H891" s="20" t="n">
        <v>4.7</v>
      </c>
      <c r="I891" s="62" t="n">
        <f aca="false">IF(OR(E891="",G891=""),"",ROUND(E891*G891,2))</f>
        <v>4.7</v>
      </c>
      <c r="J891" s="25" t="str">
        <f aca="false">IF(OR(H891="",I891=""),"",IF(ABS(H891-I891)&lt;=0.02,"OK","≠"))</f>
        <v>OK</v>
      </c>
      <c r="K891" s="16"/>
      <c r="L891" s="1"/>
    </row>
    <row r="892" customFormat="false" ht="15" hidden="false" customHeight="false" outlineLevel="0" collapsed="false">
      <c r="A892" s="1"/>
      <c r="B892" s="30" t="s">
        <v>463</v>
      </c>
      <c r="C892" s="16" t="s">
        <v>432</v>
      </c>
      <c r="D892" s="16" t="s">
        <v>14</v>
      </c>
      <c r="E892" s="64" t="n">
        <v>0.412</v>
      </c>
      <c r="F892" s="25" t="s">
        <v>176</v>
      </c>
      <c r="G892" s="17" t="n">
        <v>14.99</v>
      </c>
      <c r="H892" s="17" t="n">
        <v>6.18</v>
      </c>
      <c r="I892" s="62" t="n">
        <f aca="false">IF(OR(E892="",G892=""),"",ROUND(E892*G892,2))</f>
        <v>6.18</v>
      </c>
      <c r="J892" s="25" t="str">
        <f aca="false">IF(OR(H892="",I892=""),"",IF(ABS(H892-I892)&lt;=0.02,"OK","≠"))</f>
        <v>OK</v>
      </c>
      <c r="K892" s="16"/>
      <c r="L892" s="1"/>
    </row>
    <row r="893" customFormat="false" ht="15" hidden="false" customHeight="false" outlineLevel="0" collapsed="false">
      <c r="A893" s="1"/>
      <c r="B893" s="32" t="s">
        <v>775</v>
      </c>
      <c r="C893" s="19" t="s">
        <v>776</v>
      </c>
      <c r="D893" s="19" t="s">
        <v>13</v>
      </c>
      <c r="E893" s="65" t="n">
        <v>1</v>
      </c>
      <c r="F893" s="27" t="s">
        <v>179</v>
      </c>
      <c r="G893" s="20" t="n">
        <v>6.5</v>
      </c>
      <c r="H893" s="20" t="n">
        <v>6.5</v>
      </c>
      <c r="I893" s="62" t="n">
        <f aca="false">IF(OR(E893="",G893=""),"",ROUND(E893*G893,2))</f>
        <v>6.5</v>
      </c>
      <c r="J893" s="25" t="str">
        <f aca="false">IF(OR(H893="",I893=""),"",IF(ABS(H893-I893)&lt;=0.02,"OK","≠"))</f>
        <v>OK</v>
      </c>
      <c r="K893" s="16"/>
      <c r="L893" s="1"/>
    </row>
    <row r="894" customFormat="false" ht="15" hidden="false" customHeight="false" outlineLevel="0" collapsed="false">
      <c r="A894" s="1"/>
      <c r="B894" s="1"/>
      <c r="C894" s="1"/>
      <c r="D894" s="1"/>
      <c r="E894" s="1"/>
      <c r="F894" s="1"/>
      <c r="G894" s="1"/>
      <c r="H894" s="1"/>
      <c r="I894" s="1"/>
      <c r="J894" s="1"/>
      <c r="K894" s="1"/>
      <c r="L894" s="1"/>
    </row>
    <row r="895" customFormat="false" ht="19.5" hidden="false" customHeight="true" outlineLevel="0" collapsed="false">
      <c r="A895" s="1"/>
      <c r="B895" s="63" t="s">
        <v>777</v>
      </c>
      <c r="C895" s="63"/>
      <c r="D895" s="63"/>
      <c r="E895" s="63"/>
      <c r="F895" s="63"/>
      <c r="G895" s="63"/>
      <c r="H895" s="63"/>
      <c r="I895" s="63"/>
      <c r="J895" s="63"/>
      <c r="K895" s="63"/>
      <c r="L895" s="1"/>
    </row>
    <row r="896" customFormat="false" ht="15" hidden="false" customHeight="false" outlineLevel="0" collapsed="false">
      <c r="A896" s="1"/>
      <c r="B896" s="50" t="s">
        <v>34</v>
      </c>
      <c r="C896" s="45" t="s">
        <v>36</v>
      </c>
      <c r="D896" s="45"/>
      <c r="E896" s="50" t="s">
        <v>157</v>
      </c>
      <c r="F896" s="50"/>
      <c r="G896" s="45" t="s">
        <v>778</v>
      </c>
      <c r="H896" s="45"/>
      <c r="I896" s="45"/>
      <c r="J896" s="45"/>
      <c r="K896" s="45"/>
      <c r="L896" s="1"/>
    </row>
    <row r="897" customFormat="false" ht="15" hidden="false" customHeight="false" outlineLevel="0" collapsed="false">
      <c r="A897" s="1"/>
      <c r="B897" s="50" t="s">
        <v>78</v>
      </c>
      <c r="C897" s="39" t="n">
        <v>46207</v>
      </c>
      <c r="D897" s="39"/>
      <c r="E897" s="50" t="s">
        <v>80</v>
      </c>
      <c r="F897" s="50"/>
      <c r="G897" s="45" t="s">
        <v>173</v>
      </c>
      <c r="H897" s="45"/>
      <c r="I897" s="45"/>
      <c r="J897" s="45"/>
      <c r="K897" s="45"/>
      <c r="L897" s="1"/>
    </row>
    <row r="898" customFormat="false" ht="15" hidden="false" customHeight="false" outlineLevel="0" collapsed="false">
      <c r="A898" s="1"/>
      <c r="B898" s="50" t="s">
        <v>158</v>
      </c>
      <c r="C898" s="55" t="n">
        <v>80</v>
      </c>
      <c r="D898" s="55"/>
      <c r="E898" s="50" t="s">
        <v>159</v>
      </c>
      <c r="F898" s="50"/>
      <c r="G898" s="56" t="n">
        <v>502.56</v>
      </c>
      <c r="H898" s="56"/>
      <c r="I898" s="56"/>
      <c r="J898" s="56"/>
      <c r="K898" s="56"/>
      <c r="L898" s="1"/>
    </row>
    <row r="899" customFormat="false" ht="15" hidden="false" customHeight="false" outlineLevel="0" collapsed="false">
      <c r="A899" s="1"/>
      <c r="B899" s="50" t="s">
        <v>160</v>
      </c>
      <c r="C899" s="55" t="n">
        <f aca="false">COUNT(H903:H976)</f>
        <v>74</v>
      </c>
      <c r="D899" s="55"/>
      <c r="E899" s="50" t="s">
        <v>161</v>
      </c>
      <c r="F899" s="50"/>
      <c r="G899" s="56" t="n">
        <f aca="false">ROUND(SUM(H903:H976),2)</f>
        <v>503.18</v>
      </c>
      <c r="H899" s="56"/>
      <c r="I899" s="56"/>
      <c r="J899" s="56"/>
      <c r="K899" s="56"/>
      <c r="L899" s="1"/>
    </row>
    <row r="900" customFormat="false" ht="15" hidden="false" customHeight="false" outlineLevel="0" collapsed="false">
      <c r="A900" s="1"/>
      <c r="B900" s="50" t="s">
        <v>162</v>
      </c>
      <c r="C900" s="55" t="n">
        <f aca="false">ROUND(SUMPRODUCT(((F903:F976="KG")+(F903:F976="G"))*1)+SUMPRODUCT((F903:F976&lt;&gt;"KG")*(F903:F976&lt;&gt;"G")*E903:E976),0)</f>
        <v>78</v>
      </c>
      <c r="D900" s="55"/>
      <c r="E900" s="50" t="s">
        <v>163</v>
      </c>
      <c r="F900" s="50"/>
      <c r="G900" s="56" t="n">
        <f aca="false">IF(G898="","",ROUND(G898-G899,2))</f>
        <v>-0.62</v>
      </c>
      <c r="H900" s="56"/>
      <c r="I900" s="56"/>
      <c r="J900" s="56"/>
      <c r="K900" s="56"/>
      <c r="L900" s="1"/>
    </row>
    <row r="901" customFormat="false" ht="15" hidden="false" customHeight="false" outlineLevel="0" collapsed="false">
      <c r="A901" s="1"/>
      <c r="B901" s="50" t="s">
        <v>84</v>
      </c>
      <c r="C901" s="57" t="str">
        <f aca="false">IF(C899=0,"— aguardando lançamento",IF(G898="","SEM TOTAL OFICIAL — informe o total do cupom",IF(AND(OR(C898="",C898=C899,C898=C900),ABS(G900)&lt;=0.05),"FECHADO — itens e valor conferem",IF(ABS(G900)&lt;=0.05,"REVISAR — qtd. de itens não bate","REVISAR — diferença de R$ "&amp;ABS(G900)))))</f>
        <v>REVISAR — diferença de R$ 0.62</v>
      </c>
      <c r="D901" s="57"/>
      <c r="E901" s="57"/>
      <c r="F901" s="57"/>
      <c r="G901" s="50" t="s">
        <v>164</v>
      </c>
      <c r="H901" s="30"/>
      <c r="I901" s="30"/>
      <c r="J901" s="30"/>
      <c r="K901" s="30"/>
      <c r="L901" s="1"/>
    </row>
    <row r="902" customFormat="false" ht="15" hidden="false" customHeight="false" outlineLevel="0" collapsed="false">
      <c r="A902" s="1"/>
      <c r="B902" s="15" t="s">
        <v>165</v>
      </c>
      <c r="C902" s="15" t="s">
        <v>52</v>
      </c>
      <c r="D902" s="15" t="s">
        <v>9</v>
      </c>
      <c r="E902" s="15" t="s">
        <v>166</v>
      </c>
      <c r="F902" s="15" t="s">
        <v>167</v>
      </c>
      <c r="G902" s="15" t="s">
        <v>168</v>
      </c>
      <c r="H902" s="15" t="s">
        <v>10</v>
      </c>
      <c r="I902" s="15" t="s">
        <v>169</v>
      </c>
      <c r="J902" s="15" t="s">
        <v>170</v>
      </c>
      <c r="K902" s="15"/>
      <c r="L902" s="1"/>
    </row>
    <row r="903" customFormat="false" ht="15" hidden="false" customHeight="false" outlineLevel="0" collapsed="false">
      <c r="A903" s="1"/>
      <c r="B903" s="30" t="s">
        <v>314</v>
      </c>
      <c r="C903" s="16" t="s">
        <v>598</v>
      </c>
      <c r="D903" s="16" t="s">
        <v>16</v>
      </c>
      <c r="E903" s="64" t="n">
        <v>1</v>
      </c>
      <c r="F903" s="25" t="s">
        <v>179</v>
      </c>
      <c r="G903" s="17" t="n">
        <v>6.99</v>
      </c>
      <c r="H903" s="17" t="n">
        <v>6.99</v>
      </c>
      <c r="I903" s="62" t="n">
        <f aca="false">IF(OR(E903="",G903=""),"",ROUND(E903*G903,2))</f>
        <v>6.99</v>
      </c>
      <c r="J903" s="25" t="str">
        <f aca="false">IF(OR(H903="",I903=""),"",IF(ABS(H903-I903)&lt;=0.02,"OK","≠"))</f>
        <v>OK</v>
      </c>
      <c r="K903" s="16"/>
      <c r="L903" s="1"/>
    </row>
    <row r="904" customFormat="false" ht="15" hidden="false" customHeight="false" outlineLevel="0" collapsed="false">
      <c r="A904" s="1"/>
      <c r="B904" s="32" t="s">
        <v>605</v>
      </c>
      <c r="C904" s="19" t="s">
        <v>606</v>
      </c>
      <c r="D904" s="19" t="s">
        <v>16</v>
      </c>
      <c r="E904" s="65" t="n">
        <v>1</v>
      </c>
      <c r="F904" s="27" t="s">
        <v>179</v>
      </c>
      <c r="G904" s="20" t="n">
        <v>3.45</v>
      </c>
      <c r="H904" s="20" t="n">
        <v>3.45</v>
      </c>
      <c r="I904" s="62" t="n">
        <f aca="false">IF(OR(E904="",G904=""),"",ROUND(E904*G904,2))</f>
        <v>3.45</v>
      </c>
      <c r="J904" s="25" t="str">
        <f aca="false">IF(OR(H904="",I904=""),"",IF(ABS(H904-I904)&lt;=0.02,"OK","≠"))</f>
        <v>OK</v>
      </c>
      <c r="K904" s="16"/>
      <c r="L904" s="1"/>
    </row>
    <row r="905" customFormat="false" ht="15" hidden="false" customHeight="false" outlineLevel="0" collapsed="false">
      <c r="A905" s="1"/>
      <c r="B905" s="30" t="s">
        <v>605</v>
      </c>
      <c r="C905" s="16" t="s">
        <v>606</v>
      </c>
      <c r="D905" s="16" t="s">
        <v>16</v>
      </c>
      <c r="E905" s="64" t="n">
        <v>1</v>
      </c>
      <c r="F905" s="25" t="s">
        <v>179</v>
      </c>
      <c r="G905" s="17" t="n">
        <v>3.45</v>
      </c>
      <c r="H905" s="17" t="n">
        <v>3.45</v>
      </c>
      <c r="I905" s="62" t="n">
        <f aca="false">IF(OR(E905="",G905=""),"",ROUND(E905*G905,2))</f>
        <v>3.45</v>
      </c>
      <c r="J905" s="25" t="str">
        <f aca="false">IF(OR(H905="",I905=""),"",IF(ABS(H905-I905)&lt;=0.02,"OK","≠"))</f>
        <v>OK</v>
      </c>
      <c r="K905" s="16"/>
      <c r="L905" s="1"/>
    </row>
    <row r="906" customFormat="false" ht="15" hidden="false" customHeight="false" outlineLevel="0" collapsed="false">
      <c r="A906" s="1"/>
      <c r="B906" s="32" t="s">
        <v>605</v>
      </c>
      <c r="C906" s="19" t="s">
        <v>606</v>
      </c>
      <c r="D906" s="19" t="s">
        <v>16</v>
      </c>
      <c r="E906" s="65" t="n">
        <v>1</v>
      </c>
      <c r="F906" s="27" t="s">
        <v>179</v>
      </c>
      <c r="G906" s="20" t="n">
        <v>3.45</v>
      </c>
      <c r="H906" s="20" t="n">
        <v>3.45</v>
      </c>
      <c r="I906" s="62" t="n">
        <f aca="false">IF(OR(E906="",G906=""),"",ROUND(E906*G906,2))</f>
        <v>3.45</v>
      </c>
      <c r="J906" s="25" t="str">
        <f aca="false">IF(OR(H906="",I906=""),"",IF(ABS(H906-I906)&lt;=0.02,"OK","≠"))</f>
        <v>OK</v>
      </c>
      <c r="K906" s="16"/>
      <c r="L906" s="1"/>
    </row>
    <row r="907" customFormat="false" ht="15" hidden="false" customHeight="false" outlineLevel="0" collapsed="false">
      <c r="A907" s="1"/>
      <c r="B907" s="30" t="s">
        <v>605</v>
      </c>
      <c r="C907" s="16" t="s">
        <v>606</v>
      </c>
      <c r="D907" s="16" t="s">
        <v>16</v>
      </c>
      <c r="E907" s="64" t="n">
        <v>1</v>
      </c>
      <c r="F907" s="25" t="s">
        <v>179</v>
      </c>
      <c r="G907" s="17" t="n">
        <v>3.45</v>
      </c>
      <c r="H907" s="17" t="n">
        <v>3.45</v>
      </c>
      <c r="I907" s="62" t="n">
        <f aca="false">IF(OR(E907="",G907=""),"",ROUND(E907*G907,2))</f>
        <v>3.45</v>
      </c>
      <c r="J907" s="25" t="str">
        <f aca="false">IF(OR(H907="",I907=""),"",IF(ABS(H907-I907)&lt;=0.02,"OK","≠"))</f>
        <v>OK</v>
      </c>
      <c r="K907" s="16"/>
      <c r="L907" s="1"/>
    </row>
    <row r="908" customFormat="false" ht="15" hidden="false" customHeight="false" outlineLevel="0" collapsed="false">
      <c r="A908" s="1"/>
      <c r="B908" s="32" t="s">
        <v>212</v>
      </c>
      <c r="C908" s="19" t="s">
        <v>647</v>
      </c>
      <c r="D908" s="19" t="s">
        <v>13</v>
      </c>
      <c r="E908" s="65" t="n">
        <v>2</v>
      </c>
      <c r="F908" s="27" t="s">
        <v>179</v>
      </c>
      <c r="G908" s="20" t="n">
        <v>5.5</v>
      </c>
      <c r="H908" s="20" t="n">
        <v>11</v>
      </c>
      <c r="I908" s="62" t="n">
        <f aca="false">IF(OR(E908="",G908=""),"",ROUND(E908*G908,2))</f>
        <v>11</v>
      </c>
      <c r="J908" s="25" t="str">
        <f aca="false">IF(OR(H908="",I908=""),"",IF(ABS(H908-I908)&lt;=0.02,"OK","≠"))</f>
        <v>OK</v>
      </c>
      <c r="K908" s="16"/>
      <c r="L908" s="1"/>
    </row>
    <row r="909" customFormat="false" ht="15" hidden="false" customHeight="false" outlineLevel="0" collapsed="false">
      <c r="A909" s="1"/>
      <c r="B909" s="30" t="s">
        <v>599</v>
      </c>
      <c r="C909" s="16" t="s">
        <v>600</v>
      </c>
      <c r="D909" s="16" t="s">
        <v>13</v>
      </c>
      <c r="E909" s="64" t="n">
        <v>1.406</v>
      </c>
      <c r="F909" s="25" t="s">
        <v>176</v>
      </c>
      <c r="G909" s="17" t="n">
        <v>39.9</v>
      </c>
      <c r="H909" s="17" t="n">
        <v>56.1</v>
      </c>
      <c r="I909" s="62" t="n">
        <f aca="false">IF(OR(E909="",G909=""),"",ROUND(E909*G909,2))</f>
        <v>56.1</v>
      </c>
      <c r="J909" s="25" t="str">
        <f aca="false">IF(OR(H909="",I909=""),"",IF(ABS(H909-I909)&lt;=0.02,"OK","≠"))</f>
        <v>OK</v>
      </c>
      <c r="K909" s="16"/>
      <c r="L909" s="1"/>
    </row>
    <row r="910" customFormat="false" ht="15" hidden="false" customHeight="false" outlineLevel="0" collapsed="false">
      <c r="A910" s="1"/>
      <c r="B910" s="32" t="s">
        <v>779</v>
      </c>
      <c r="C910" s="19" t="s">
        <v>780</v>
      </c>
      <c r="D910" s="19" t="s">
        <v>17</v>
      </c>
      <c r="E910" s="65" t="n">
        <v>1</v>
      </c>
      <c r="F910" s="27" t="s">
        <v>179</v>
      </c>
      <c r="G910" s="20" t="n">
        <v>6.95</v>
      </c>
      <c r="H910" s="20" t="n">
        <v>6.95</v>
      </c>
      <c r="I910" s="62" t="n">
        <f aca="false">IF(OR(E910="",G910=""),"",ROUND(E910*G910,2))</f>
        <v>6.95</v>
      </c>
      <c r="J910" s="25" t="str">
        <f aca="false">IF(OR(H910="",I910=""),"",IF(ABS(H910-I910)&lt;=0.02,"OK","≠"))</f>
        <v>OK</v>
      </c>
      <c r="K910" s="16"/>
      <c r="L910" s="1"/>
    </row>
    <row r="911" customFormat="false" ht="15" hidden="false" customHeight="false" outlineLevel="0" collapsed="false">
      <c r="A911" s="1"/>
      <c r="B911" s="30" t="s">
        <v>439</v>
      </c>
      <c r="C911" s="16" t="s">
        <v>440</v>
      </c>
      <c r="D911" s="16" t="s">
        <v>16</v>
      </c>
      <c r="E911" s="64" t="n">
        <v>1</v>
      </c>
      <c r="F911" s="25" t="s">
        <v>179</v>
      </c>
      <c r="G911" s="17" t="n">
        <v>1.65</v>
      </c>
      <c r="H911" s="17" t="n">
        <v>1.65</v>
      </c>
      <c r="I911" s="62" t="n">
        <f aca="false">IF(OR(E911="",G911=""),"",ROUND(E911*G911,2))</f>
        <v>1.65</v>
      </c>
      <c r="J911" s="25" t="str">
        <f aca="false">IF(OR(H911="",I911=""),"",IF(ABS(H911-I911)&lt;=0.02,"OK","≠"))</f>
        <v>OK</v>
      </c>
      <c r="K911" s="16"/>
      <c r="L911" s="1"/>
    </row>
    <row r="912" customFormat="false" ht="15" hidden="false" customHeight="false" outlineLevel="0" collapsed="false">
      <c r="A912" s="1"/>
      <c r="B912" s="32" t="s">
        <v>439</v>
      </c>
      <c r="C912" s="19" t="s">
        <v>440</v>
      </c>
      <c r="D912" s="19" t="s">
        <v>16</v>
      </c>
      <c r="E912" s="65" t="n">
        <v>1</v>
      </c>
      <c r="F912" s="27" t="s">
        <v>179</v>
      </c>
      <c r="G912" s="20" t="n">
        <v>1.65</v>
      </c>
      <c r="H912" s="20" t="n">
        <v>1.65</v>
      </c>
      <c r="I912" s="62" t="n">
        <f aca="false">IF(OR(E912="",G912=""),"",ROUND(E912*G912,2))</f>
        <v>1.65</v>
      </c>
      <c r="J912" s="25" t="str">
        <f aca="false">IF(OR(H912="",I912=""),"",IF(ABS(H912-I912)&lt;=0.02,"OK","≠"))</f>
        <v>OK</v>
      </c>
      <c r="K912" s="16"/>
      <c r="L912" s="1"/>
    </row>
    <row r="913" customFormat="false" ht="15" hidden="false" customHeight="false" outlineLevel="0" collapsed="false">
      <c r="A913" s="1"/>
      <c r="B913" s="30" t="s">
        <v>781</v>
      </c>
      <c r="C913" s="16" t="s">
        <v>782</v>
      </c>
      <c r="D913" s="16" t="s">
        <v>17</v>
      </c>
      <c r="E913" s="64" t="n">
        <v>0.312</v>
      </c>
      <c r="F913" s="25" t="s">
        <v>176</v>
      </c>
      <c r="G913" s="17" t="n">
        <v>25.9</v>
      </c>
      <c r="H913" s="17" t="n">
        <v>8.08</v>
      </c>
      <c r="I913" s="62" t="n">
        <f aca="false">IF(OR(E913="",G913=""),"",ROUND(E913*G913,2))</f>
        <v>8.08</v>
      </c>
      <c r="J913" s="25" t="str">
        <f aca="false">IF(OR(H913="",I913=""),"",IF(ABS(H913-I913)&lt;=0.02,"OK","≠"))</f>
        <v>OK</v>
      </c>
      <c r="K913" s="16"/>
      <c r="L913" s="1"/>
    </row>
    <row r="914" customFormat="false" ht="15" hidden="false" customHeight="false" outlineLevel="0" collapsed="false">
      <c r="A914" s="1"/>
      <c r="B914" s="32" t="s">
        <v>601</v>
      </c>
      <c r="C914" s="19" t="s">
        <v>602</v>
      </c>
      <c r="D914" s="19" t="s">
        <v>13</v>
      </c>
      <c r="E914" s="65" t="n">
        <v>1</v>
      </c>
      <c r="F914" s="27" t="s">
        <v>179</v>
      </c>
      <c r="G914" s="20" t="n">
        <v>5.29</v>
      </c>
      <c r="H914" s="20" t="n">
        <v>5.29</v>
      </c>
      <c r="I914" s="62" t="n">
        <f aca="false">IF(OR(E914="",G914=""),"",ROUND(E914*G914,2))</f>
        <v>5.29</v>
      </c>
      <c r="J914" s="25" t="str">
        <f aca="false">IF(OR(H914="",I914=""),"",IF(ABS(H914-I914)&lt;=0.02,"OK","≠"))</f>
        <v>OK</v>
      </c>
      <c r="K914" s="16"/>
      <c r="L914" s="1"/>
    </row>
    <row r="915" customFormat="false" ht="15" hidden="false" customHeight="false" outlineLevel="0" collapsed="false">
      <c r="A915" s="1"/>
      <c r="B915" s="30" t="s">
        <v>601</v>
      </c>
      <c r="C915" s="16" t="s">
        <v>602</v>
      </c>
      <c r="D915" s="16" t="s">
        <v>13</v>
      </c>
      <c r="E915" s="64" t="n">
        <v>1</v>
      </c>
      <c r="F915" s="25" t="s">
        <v>179</v>
      </c>
      <c r="G915" s="17" t="n">
        <v>5.29</v>
      </c>
      <c r="H915" s="17" t="n">
        <v>5.29</v>
      </c>
      <c r="I915" s="62" t="n">
        <f aca="false">IF(OR(E915="",G915=""),"",ROUND(E915*G915,2))</f>
        <v>5.29</v>
      </c>
      <c r="J915" s="25" t="str">
        <f aca="false">IF(OR(H915="",I915=""),"",IF(ABS(H915-I915)&lt;=0.02,"OK","≠"))</f>
        <v>OK</v>
      </c>
      <c r="K915" s="16"/>
      <c r="L915" s="1"/>
    </row>
    <row r="916" customFormat="false" ht="15" hidden="false" customHeight="false" outlineLevel="0" collapsed="false">
      <c r="A916" s="1"/>
      <c r="B916" s="32" t="s">
        <v>601</v>
      </c>
      <c r="C916" s="19" t="s">
        <v>602</v>
      </c>
      <c r="D916" s="19" t="s">
        <v>13</v>
      </c>
      <c r="E916" s="65" t="n">
        <v>1</v>
      </c>
      <c r="F916" s="27" t="s">
        <v>179</v>
      </c>
      <c r="G916" s="20" t="n">
        <v>5.29</v>
      </c>
      <c r="H916" s="20" t="n">
        <v>5.29</v>
      </c>
      <c r="I916" s="62" t="n">
        <f aca="false">IF(OR(E916="",G916=""),"",ROUND(E916*G916,2))</f>
        <v>5.29</v>
      </c>
      <c r="J916" s="25" t="str">
        <f aca="false">IF(OR(H916="",I916=""),"",IF(ABS(H916-I916)&lt;=0.02,"OK","≠"))</f>
        <v>OK</v>
      </c>
      <c r="K916" s="16"/>
      <c r="L916" s="1"/>
    </row>
    <row r="917" customFormat="false" ht="15" hidden="false" customHeight="false" outlineLevel="0" collapsed="false">
      <c r="A917" s="1"/>
      <c r="B917" s="30" t="s">
        <v>783</v>
      </c>
      <c r="C917" s="16" t="s">
        <v>784</v>
      </c>
      <c r="D917" s="16" t="s">
        <v>13</v>
      </c>
      <c r="E917" s="64" t="n">
        <v>1</v>
      </c>
      <c r="F917" s="25" t="s">
        <v>179</v>
      </c>
      <c r="G917" s="17" t="n">
        <v>17.99</v>
      </c>
      <c r="H917" s="17" t="n">
        <v>17.99</v>
      </c>
      <c r="I917" s="62" t="n">
        <f aca="false">IF(OR(E917="",G917=""),"",ROUND(E917*G917,2))</f>
        <v>17.99</v>
      </c>
      <c r="J917" s="25" t="str">
        <f aca="false">IF(OR(H917="",I917=""),"",IF(ABS(H917-I917)&lt;=0.02,"OK","≠"))</f>
        <v>OK</v>
      </c>
      <c r="K917" s="16"/>
      <c r="L917" s="1"/>
    </row>
    <row r="918" customFormat="false" ht="15" hidden="false" customHeight="false" outlineLevel="0" collapsed="false">
      <c r="A918" s="1"/>
      <c r="B918" s="32" t="s">
        <v>439</v>
      </c>
      <c r="C918" s="19" t="s">
        <v>440</v>
      </c>
      <c r="D918" s="19" t="s">
        <v>16</v>
      </c>
      <c r="E918" s="65" t="n">
        <v>1</v>
      </c>
      <c r="F918" s="27" t="s">
        <v>179</v>
      </c>
      <c r="G918" s="20" t="n">
        <v>1.65</v>
      </c>
      <c r="H918" s="20" t="n">
        <v>1.65</v>
      </c>
      <c r="I918" s="62" t="n">
        <f aca="false">IF(OR(E918="",G918=""),"",ROUND(E918*G918,2))</f>
        <v>1.65</v>
      </c>
      <c r="J918" s="25" t="str">
        <f aca="false">IF(OR(H918="",I918=""),"",IF(ABS(H918-I918)&lt;=0.02,"OK","≠"))</f>
        <v>OK</v>
      </c>
      <c r="K918" s="16"/>
      <c r="L918" s="1"/>
    </row>
    <row r="919" customFormat="false" ht="15" hidden="false" customHeight="false" outlineLevel="0" collapsed="false">
      <c r="A919" s="1"/>
      <c r="B919" s="30" t="s">
        <v>439</v>
      </c>
      <c r="C919" s="16" t="s">
        <v>440</v>
      </c>
      <c r="D919" s="16" t="s">
        <v>16</v>
      </c>
      <c r="E919" s="64" t="n">
        <v>1</v>
      </c>
      <c r="F919" s="25" t="s">
        <v>179</v>
      </c>
      <c r="G919" s="17" t="n">
        <v>1.65</v>
      </c>
      <c r="H919" s="17" t="n">
        <v>1.65</v>
      </c>
      <c r="I919" s="62" t="n">
        <f aca="false">IF(OR(E919="",G919=""),"",ROUND(E919*G919,2))</f>
        <v>1.65</v>
      </c>
      <c r="J919" s="25" t="str">
        <f aca="false">IF(OR(H919="",I919=""),"",IF(ABS(H919-I919)&lt;=0.02,"OK","≠"))</f>
        <v>OK</v>
      </c>
      <c r="K919" s="16"/>
      <c r="L919" s="1"/>
    </row>
    <row r="920" customFormat="false" ht="15" hidden="false" customHeight="false" outlineLevel="0" collapsed="false">
      <c r="A920" s="1"/>
      <c r="B920" s="32" t="s">
        <v>439</v>
      </c>
      <c r="C920" s="19" t="s">
        <v>440</v>
      </c>
      <c r="D920" s="19" t="s">
        <v>16</v>
      </c>
      <c r="E920" s="65" t="n">
        <v>1</v>
      </c>
      <c r="F920" s="27" t="s">
        <v>179</v>
      </c>
      <c r="G920" s="20" t="n">
        <v>1.65</v>
      </c>
      <c r="H920" s="20" t="n">
        <v>1.65</v>
      </c>
      <c r="I920" s="62" t="n">
        <f aca="false">IF(OR(E920="",G920=""),"",ROUND(E920*G920,2))</f>
        <v>1.65</v>
      </c>
      <c r="J920" s="25" t="str">
        <f aca="false">IF(OR(H920="",I920=""),"",IF(ABS(H920-I920)&lt;=0.02,"OK","≠"))</f>
        <v>OK</v>
      </c>
      <c r="K920" s="16"/>
      <c r="L920" s="1"/>
    </row>
    <row r="921" customFormat="false" ht="15" hidden="false" customHeight="false" outlineLevel="0" collapsed="false">
      <c r="A921" s="1"/>
      <c r="B921" s="30" t="s">
        <v>439</v>
      </c>
      <c r="C921" s="16" t="s">
        <v>440</v>
      </c>
      <c r="D921" s="16" t="s">
        <v>16</v>
      </c>
      <c r="E921" s="64" t="n">
        <v>1</v>
      </c>
      <c r="F921" s="25" t="s">
        <v>179</v>
      </c>
      <c r="G921" s="17" t="n">
        <v>1.65</v>
      </c>
      <c r="H921" s="17" t="n">
        <v>1.65</v>
      </c>
      <c r="I921" s="62" t="n">
        <f aca="false">IF(OR(E921="",G921=""),"",ROUND(E921*G921,2))</f>
        <v>1.65</v>
      </c>
      <c r="J921" s="25" t="str">
        <f aca="false">IF(OR(H921="",I921=""),"",IF(ABS(H921-I921)&lt;=0.02,"OK","≠"))</f>
        <v>OK</v>
      </c>
      <c r="K921" s="16"/>
      <c r="L921" s="1"/>
    </row>
    <row r="922" customFormat="false" ht="15" hidden="false" customHeight="false" outlineLevel="0" collapsed="false">
      <c r="A922" s="1"/>
      <c r="B922" s="32" t="s">
        <v>439</v>
      </c>
      <c r="C922" s="19" t="s">
        <v>440</v>
      </c>
      <c r="D922" s="19" t="s">
        <v>16</v>
      </c>
      <c r="E922" s="65" t="n">
        <v>1</v>
      </c>
      <c r="F922" s="27" t="s">
        <v>179</v>
      </c>
      <c r="G922" s="20" t="n">
        <v>1.65</v>
      </c>
      <c r="H922" s="20" t="n">
        <v>1.65</v>
      </c>
      <c r="I922" s="62" t="n">
        <f aca="false">IF(OR(E922="",G922=""),"",ROUND(E922*G922,2))</f>
        <v>1.65</v>
      </c>
      <c r="J922" s="25" t="str">
        <f aca="false">IF(OR(H922="",I922=""),"",IF(ABS(H922-I922)&lt;=0.02,"OK","≠"))</f>
        <v>OK</v>
      </c>
      <c r="K922" s="16"/>
      <c r="L922" s="1"/>
    </row>
    <row r="923" customFormat="false" ht="15" hidden="false" customHeight="false" outlineLevel="0" collapsed="false">
      <c r="A923" s="1"/>
      <c r="B923" s="30" t="s">
        <v>439</v>
      </c>
      <c r="C923" s="16" t="s">
        <v>440</v>
      </c>
      <c r="D923" s="16" t="s">
        <v>16</v>
      </c>
      <c r="E923" s="64" t="n">
        <v>1</v>
      </c>
      <c r="F923" s="25" t="s">
        <v>179</v>
      </c>
      <c r="G923" s="17" t="n">
        <v>1.65</v>
      </c>
      <c r="H923" s="17" t="n">
        <v>1.65</v>
      </c>
      <c r="I923" s="62" t="n">
        <f aca="false">IF(OR(E923="",G923=""),"",ROUND(E923*G923,2))</f>
        <v>1.65</v>
      </c>
      <c r="J923" s="25" t="str">
        <f aca="false">IF(OR(H923="",I923=""),"",IF(ABS(H923-I923)&lt;=0.02,"OK","≠"))</f>
        <v>OK</v>
      </c>
      <c r="K923" s="16"/>
      <c r="L923" s="1"/>
    </row>
    <row r="924" customFormat="false" ht="15" hidden="false" customHeight="false" outlineLevel="0" collapsed="false">
      <c r="A924" s="1"/>
      <c r="B924" s="32" t="s">
        <v>785</v>
      </c>
      <c r="C924" s="19" t="s">
        <v>786</v>
      </c>
      <c r="D924" s="19" t="s">
        <v>12</v>
      </c>
      <c r="E924" s="65" t="n">
        <v>1</v>
      </c>
      <c r="F924" s="27" t="s">
        <v>179</v>
      </c>
      <c r="G924" s="20" t="n">
        <v>7.8</v>
      </c>
      <c r="H924" s="20" t="n">
        <v>7.8</v>
      </c>
      <c r="I924" s="62" t="n">
        <f aca="false">IF(OR(E924="",G924=""),"",ROUND(E924*G924,2))</f>
        <v>7.8</v>
      </c>
      <c r="J924" s="25" t="str">
        <f aca="false">IF(OR(H924="",I924=""),"",IF(ABS(H924-I924)&lt;=0.02,"OK","≠"))</f>
        <v>OK</v>
      </c>
      <c r="K924" s="16"/>
      <c r="L924" s="1"/>
    </row>
    <row r="925" customFormat="false" ht="15" hidden="false" customHeight="false" outlineLevel="0" collapsed="false">
      <c r="A925" s="1"/>
      <c r="B925" s="30" t="s">
        <v>785</v>
      </c>
      <c r="C925" s="16" t="s">
        <v>786</v>
      </c>
      <c r="D925" s="16" t="s">
        <v>12</v>
      </c>
      <c r="E925" s="64" t="n">
        <v>1</v>
      </c>
      <c r="F925" s="25" t="s">
        <v>179</v>
      </c>
      <c r="G925" s="17" t="n">
        <v>7.8</v>
      </c>
      <c r="H925" s="17" t="n">
        <v>7.8</v>
      </c>
      <c r="I925" s="62" t="n">
        <f aca="false">IF(OR(E925="",G925=""),"",ROUND(E925*G925,2))</f>
        <v>7.8</v>
      </c>
      <c r="J925" s="25" t="str">
        <f aca="false">IF(OR(H925="",I925=""),"",IF(ABS(H925-I925)&lt;=0.02,"OK","≠"))</f>
        <v>OK</v>
      </c>
      <c r="K925" s="16"/>
      <c r="L925" s="1"/>
    </row>
    <row r="926" customFormat="false" ht="15" hidden="false" customHeight="false" outlineLevel="0" collapsed="false">
      <c r="A926" s="1"/>
      <c r="B926" s="32" t="s">
        <v>399</v>
      </c>
      <c r="C926" s="19" t="s">
        <v>261</v>
      </c>
      <c r="D926" s="19" t="s">
        <v>12</v>
      </c>
      <c r="E926" s="65" t="n">
        <v>1</v>
      </c>
      <c r="F926" s="27" t="s">
        <v>179</v>
      </c>
      <c r="G926" s="20" t="n">
        <v>10.2</v>
      </c>
      <c r="H926" s="20" t="n">
        <v>10.2</v>
      </c>
      <c r="I926" s="62" t="n">
        <f aca="false">IF(OR(E926="",G926=""),"",ROUND(E926*G926,2))</f>
        <v>10.2</v>
      </c>
      <c r="J926" s="25" t="str">
        <f aca="false">IF(OR(H926="",I926=""),"",IF(ABS(H926-I926)&lt;=0.02,"OK","≠"))</f>
        <v>OK</v>
      </c>
      <c r="K926" s="16"/>
      <c r="L926" s="1"/>
    </row>
    <row r="927" customFormat="false" ht="15" hidden="false" customHeight="false" outlineLevel="0" collapsed="false">
      <c r="A927" s="1"/>
      <c r="B927" s="30" t="s">
        <v>787</v>
      </c>
      <c r="C927" s="16" t="s">
        <v>788</v>
      </c>
      <c r="D927" s="16" t="s">
        <v>12</v>
      </c>
      <c r="E927" s="64" t="n">
        <v>1</v>
      </c>
      <c r="F927" s="25" t="s">
        <v>179</v>
      </c>
      <c r="G927" s="17" t="n">
        <v>9.5</v>
      </c>
      <c r="H927" s="17" t="n">
        <v>9.5</v>
      </c>
      <c r="I927" s="62" t="n">
        <f aca="false">IF(OR(E927="",G927=""),"",ROUND(E927*G927,2))</f>
        <v>9.5</v>
      </c>
      <c r="J927" s="25" t="str">
        <f aca="false">IF(OR(H927="",I927=""),"",IF(ABS(H927-I927)&lt;=0.02,"OK","≠"))</f>
        <v>OK</v>
      </c>
      <c r="K927" s="16"/>
      <c r="L927" s="1"/>
    </row>
    <row r="928" customFormat="false" ht="15" hidden="false" customHeight="false" outlineLevel="0" collapsed="false">
      <c r="A928" s="1"/>
      <c r="B928" s="32" t="s">
        <v>789</v>
      </c>
      <c r="C928" s="19" t="s">
        <v>790</v>
      </c>
      <c r="D928" s="19" t="s">
        <v>12</v>
      </c>
      <c r="E928" s="65" t="n">
        <v>1</v>
      </c>
      <c r="F928" s="27" t="s">
        <v>179</v>
      </c>
      <c r="G928" s="20" t="n">
        <v>9.2</v>
      </c>
      <c r="H928" s="20" t="n">
        <v>9.2</v>
      </c>
      <c r="I928" s="62" t="n">
        <f aca="false">IF(OR(E928="",G928=""),"",ROUND(E928*G928,2))</f>
        <v>9.2</v>
      </c>
      <c r="J928" s="25" t="str">
        <f aca="false">IF(OR(H928="",I928=""),"",IF(ABS(H928-I928)&lt;=0.02,"OK","≠"))</f>
        <v>OK</v>
      </c>
      <c r="K928" s="16"/>
      <c r="L928" s="1"/>
    </row>
    <row r="929" customFormat="false" ht="15" hidden="false" customHeight="false" outlineLevel="0" collapsed="false">
      <c r="A929" s="1"/>
      <c r="B929" s="30" t="s">
        <v>791</v>
      </c>
      <c r="C929" s="16" t="s">
        <v>792</v>
      </c>
      <c r="D929" s="16" t="s">
        <v>12</v>
      </c>
      <c r="E929" s="64" t="n">
        <v>1</v>
      </c>
      <c r="F929" s="25" t="s">
        <v>179</v>
      </c>
      <c r="G929" s="17" t="n">
        <v>5.99</v>
      </c>
      <c r="H929" s="17" t="n">
        <v>5.99</v>
      </c>
      <c r="I929" s="62" t="n">
        <f aca="false">IF(OR(E929="",G929=""),"",ROUND(E929*G929,2))</f>
        <v>5.99</v>
      </c>
      <c r="J929" s="25" t="str">
        <f aca="false">IF(OR(H929="",I929=""),"",IF(ABS(H929-I929)&lt;=0.02,"OK","≠"))</f>
        <v>OK</v>
      </c>
      <c r="K929" s="16"/>
      <c r="L929" s="1"/>
    </row>
    <row r="930" customFormat="false" ht="15" hidden="false" customHeight="false" outlineLevel="0" collapsed="false">
      <c r="A930" s="1"/>
      <c r="B930" s="32" t="s">
        <v>379</v>
      </c>
      <c r="C930" s="19" t="s">
        <v>380</v>
      </c>
      <c r="D930" s="19" t="s">
        <v>12</v>
      </c>
      <c r="E930" s="65" t="n">
        <v>1</v>
      </c>
      <c r="F930" s="27" t="s">
        <v>179</v>
      </c>
      <c r="G930" s="20" t="n">
        <v>6.2</v>
      </c>
      <c r="H930" s="20" t="n">
        <v>6.2</v>
      </c>
      <c r="I930" s="62" t="n">
        <f aca="false">IF(OR(E930="",G930=""),"",ROUND(E930*G930,2))</f>
        <v>6.2</v>
      </c>
      <c r="J930" s="25" t="str">
        <f aca="false">IF(OR(H930="",I930=""),"",IF(ABS(H930-I930)&lt;=0.02,"OK","≠"))</f>
        <v>OK</v>
      </c>
      <c r="K930" s="16"/>
      <c r="L930" s="1"/>
    </row>
    <row r="931" customFormat="false" ht="15" hidden="false" customHeight="false" outlineLevel="0" collapsed="false">
      <c r="A931" s="1"/>
      <c r="B931" s="30" t="s">
        <v>793</v>
      </c>
      <c r="C931" s="16" t="s">
        <v>382</v>
      </c>
      <c r="D931" s="16" t="s">
        <v>12</v>
      </c>
      <c r="E931" s="64" t="n">
        <v>1</v>
      </c>
      <c r="F931" s="25" t="s">
        <v>179</v>
      </c>
      <c r="G931" s="17" t="n">
        <v>7.7</v>
      </c>
      <c r="H931" s="17" t="n">
        <v>7.7</v>
      </c>
      <c r="I931" s="62" t="n">
        <f aca="false">IF(OR(E931="",G931=""),"",ROUND(E931*G931,2))</f>
        <v>7.7</v>
      </c>
      <c r="J931" s="25" t="str">
        <f aca="false">IF(OR(H931="",I931=""),"",IF(ABS(H931-I931)&lt;=0.02,"OK","≠"))</f>
        <v>OK</v>
      </c>
      <c r="K931" s="16"/>
      <c r="L931" s="1"/>
    </row>
    <row r="932" customFormat="false" ht="15" hidden="false" customHeight="false" outlineLevel="0" collapsed="false">
      <c r="A932" s="1"/>
      <c r="B932" s="32" t="s">
        <v>794</v>
      </c>
      <c r="C932" s="19" t="s">
        <v>795</v>
      </c>
      <c r="D932" s="19" t="s">
        <v>12</v>
      </c>
      <c r="E932" s="65" t="n">
        <v>1</v>
      </c>
      <c r="F932" s="27" t="s">
        <v>179</v>
      </c>
      <c r="G932" s="20" t="n">
        <v>1.89</v>
      </c>
      <c r="H932" s="20" t="n">
        <v>1.89</v>
      </c>
      <c r="I932" s="62" t="n">
        <f aca="false">IF(OR(E932="",G932=""),"",ROUND(E932*G932,2))</f>
        <v>1.89</v>
      </c>
      <c r="J932" s="25" t="str">
        <f aca="false">IF(OR(H932="",I932=""),"",IF(ABS(H932-I932)&lt;=0.02,"OK","≠"))</f>
        <v>OK</v>
      </c>
      <c r="K932" s="16"/>
      <c r="L932" s="1"/>
    </row>
    <row r="933" customFormat="false" ht="15" hidden="false" customHeight="false" outlineLevel="0" collapsed="false">
      <c r="A933" s="1"/>
      <c r="B933" s="30" t="s">
        <v>796</v>
      </c>
      <c r="C933" s="16" t="s">
        <v>795</v>
      </c>
      <c r="D933" s="16" t="s">
        <v>12</v>
      </c>
      <c r="E933" s="64" t="n">
        <v>1</v>
      </c>
      <c r="F933" s="25" t="s">
        <v>179</v>
      </c>
      <c r="G933" s="17" t="n">
        <v>1.89</v>
      </c>
      <c r="H933" s="17" t="n">
        <v>1.89</v>
      </c>
      <c r="I933" s="62" t="n">
        <f aca="false">IF(OR(E933="",G933=""),"",ROUND(E933*G933,2))</f>
        <v>1.89</v>
      </c>
      <c r="J933" s="25" t="str">
        <f aca="false">IF(OR(H933="",I933=""),"",IF(ABS(H933-I933)&lt;=0.02,"OK","≠"))</f>
        <v>OK</v>
      </c>
      <c r="K933" s="16"/>
      <c r="L933" s="1"/>
    </row>
    <row r="934" customFormat="false" ht="15" hidden="false" customHeight="false" outlineLevel="0" collapsed="false">
      <c r="A934" s="1"/>
      <c r="B934" s="32" t="s">
        <v>796</v>
      </c>
      <c r="C934" s="19" t="s">
        <v>795</v>
      </c>
      <c r="D934" s="19" t="s">
        <v>12</v>
      </c>
      <c r="E934" s="65" t="n">
        <v>1</v>
      </c>
      <c r="F934" s="27" t="s">
        <v>179</v>
      </c>
      <c r="G934" s="20" t="n">
        <v>1.89</v>
      </c>
      <c r="H934" s="20" t="n">
        <v>1.89</v>
      </c>
      <c r="I934" s="62" t="n">
        <f aca="false">IF(OR(E934="",G934=""),"",ROUND(E934*G934,2))</f>
        <v>1.89</v>
      </c>
      <c r="J934" s="25" t="str">
        <f aca="false">IF(OR(H934="",I934=""),"",IF(ABS(H934-I934)&lt;=0.02,"OK","≠"))</f>
        <v>OK</v>
      </c>
      <c r="K934" s="16"/>
      <c r="L934" s="1"/>
    </row>
    <row r="935" customFormat="false" ht="15" hidden="false" customHeight="false" outlineLevel="0" collapsed="false">
      <c r="A935" s="1"/>
      <c r="B935" s="30" t="s">
        <v>796</v>
      </c>
      <c r="C935" s="16" t="s">
        <v>795</v>
      </c>
      <c r="D935" s="16" t="s">
        <v>12</v>
      </c>
      <c r="E935" s="64" t="n">
        <v>1</v>
      </c>
      <c r="F935" s="25" t="s">
        <v>179</v>
      </c>
      <c r="G935" s="17" t="n">
        <v>1.89</v>
      </c>
      <c r="H935" s="17" t="n">
        <v>1.89</v>
      </c>
      <c r="I935" s="62" t="n">
        <f aca="false">IF(OR(E935="",G935=""),"",ROUND(E935*G935,2))</f>
        <v>1.89</v>
      </c>
      <c r="J935" s="25" t="str">
        <f aca="false">IF(OR(H935="",I935=""),"",IF(ABS(H935-I935)&lt;=0.02,"OK","≠"))</f>
        <v>OK</v>
      </c>
      <c r="K935" s="16"/>
      <c r="L935" s="1"/>
    </row>
    <row r="936" customFormat="false" ht="15" hidden="false" customHeight="false" outlineLevel="0" collapsed="false">
      <c r="A936" s="1"/>
      <c r="B936" s="32" t="s">
        <v>198</v>
      </c>
      <c r="C936" s="19" t="s">
        <v>242</v>
      </c>
      <c r="D936" s="19" t="s">
        <v>12</v>
      </c>
      <c r="E936" s="65" t="n">
        <v>1</v>
      </c>
      <c r="F936" s="27" t="s">
        <v>179</v>
      </c>
      <c r="G936" s="20" t="n">
        <v>3.95</v>
      </c>
      <c r="H936" s="20" t="n">
        <v>3.95</v>
      </c>
      <c r="I936" s="62" t="n">
        <f aca="false">IF(OR(E936="",G936=""),"",ROUND(E936*G936,2))</f>
        <v>3.95</v>
      </c>
      <c r="J936" s="25" t="str">
        <f aca="false">IF(OR(H936="",I936=""),"",IF(ABS(H936-I936)&lt;=0.02,"OK","≠"))</f>
        <v>OK</v>
      </c>
      <c r="K936" s="16"/>
      <c r="L936" s="1"/>
    </row>
    <row r="937" customFormat="false" ht="15" hidden="false" customHeight="false" outlineLevel="0" collapsed="false">
      <c r="A937" s="1"/>
      <c r="B937" s="30" t="s">
        <v>198</v>
      </c>
      <c r="C937" s="16" t="s">
        <v>242</v>
      </c>
      <c r="D937" s="16" t="s">
        <v>12</v>
      </c>
      <c r="E937" s="64" t="n">
        <v>1</v>
      </c>
      <c r="F937" s="25" t="s">
        <v>179</v>
      </c>
      <c r="G937" s="17" t="n">
        <v>3.95</v>
      </c>
      <c r="H937" s="17" t="n">
        <v>3.95</v>
      </c>
      <c r="I937" s="62" t="n">
        <f aca="false">IF(OR(E937="",G937=""),"",ROUND(E937*G937,2))</f>
        <v>3.95</v>
      </c>
      <c r="J937" s="25" t="str">
        <f aca="false">IF(OR(H937="",I937=""),"",IF(ABS(H937-I937)&lt;=0.02,"OK","≠"))</f>
        <v>OK</v>
      </c>
      <c r="K937" s="16"/>
      <c r="L937" s="1"/>
    </row>
    <row r="938" customFormat="false" ht="15" hidden="false" customHeight="false" outlineLevel="0" collapsed="false">
      <c r="A938" s="1"/>
      <c r="B938" s="32" t="s">
        <v>797</v>
      </c>
      <c r="C938" s="19" t="s">
        <v>241</v>
      </c>
      <c r="D938" s="19" t="s">
        <v>12</v>
      </c>
      <c r="E938" s="65" t="n">
        <v>1</v>
      </c>
      <c r="F938" s="27" t="s">
        <v>179</v>
      </c>
      <c r="G938" s="20" t="n">
        <v>1.89</v>
      </c>
      <c r="H938" s="20" t="n">
        <v>1.89</v>
      </c>
      <c r="I938" s="62" t="n">
        <f aca="false">IF(OR(E938="",G938=""),"",ROUND(E938*G938,2))</f>
        <v>1.89</v>
      </c>
      <c r="J938" s="25" t="str">
        <f aca="false">IF(OR(H938="",I938=""),"",IF(ABS(H938-I938)&lt;=0.02,"OK","≠"))</f>
        <v>OK</v>
      </c>
      <c r="K938" s="16"/>
      <c r="L938" s="1"/>
    </row>
    <row r="939" customFormat="false" ht="15" hidden="false" customHeight="false" outlineLevel="0" collapsed="false">
      <c r="A939" s="1"/>
      <c r="B939" s="30" t="s">
        <v>198</v>
      </c>
      <c r="C939" s="16" t="s">
        <v>242</v>
      </c>
      <c r="D939" s="16" t="s">
        <v>12</v>
      </c>
      <c r="E939" s="64" t="n">
        <v>1</v>
      </c>
      <c r="F939" s="25" t="s">
        <v>179</v>
      </c>
      <c r="G939" s="17" t="n">
        <v>3.95</v>
      </c>
      <c r="H939" s="17" t="n">
        <v>3.95</v>
      </c>
      <c r="I939" s="62" t="n">
        <f aca="false">IF(OR(E939="",G939=""),"",ROUND(E939*G939,2))</f>
        <v>3.95</v>
      </c>
      <c r="J939" s="25" t="str">
        <f aca="false">IF(OR(H939="",I939=""),"",IF(ABS(H939-I939)&lt;=0.02,"OK","≠"))</f>
        <v>OK</v>
      </c>
      <c r="K939" s="16"/>
      <c r="L939" s="1"/>
    </row>
    <row r="940" customFormat="false" ht="15" hidden="false" customHeight="false" outlineLevel="0" collapsed="false">
      <c r="A940" s="1"/>
      <c r="B940" s="32" t="s">
        <v>797</v>
      </c>
      <c r="C940" s="19" t="s">
        <v>241</v>
      </c>
      <c r="D940" s="19" t="s">
        <v>12</v>
      </c>
      <c r="E940" s="65" t="n">
        <v>1</v>
      </c>
      <c r="F940" s="27" t="s">
        <v>179</v>
      </c>
      <c r="G940" s="20" t="n">
        <v>1.89</v>
      </c>
      <c r="H940" s="20" t="n">
        <v>1.89</v>
      </c>
      <c r="I940" s="62" t="n">
        <f aca="false">IF(OR(E940="",G940=""),"",ROUND(E940*G940,2))</f>
        <v>1.89</v>
      </c>
      <c r="J940" s="25" t="str">
        <f aca="false">IF(OR(H940="",I940=""),"",IF(ABS(H940-I940)&lt;=0.02,"OK","≠"))</f>
        <v>OK</v>
      </c>
      <c r="K940" s="16"/>
      <c r="L940" s="1"/>
    </row>
    <row r="941" customFormat="false" ht="15" hidden="false" customHeight="false" outlineLevel="0" collapsed="false">
      <c r="A941" s="1"/>
      <c r="B941" s="30" t="s">
        <v>798</v>
      </c>
      <c r="C941" s="16" t="s">
        <v>799</v>
      </c>
      <c r="D941" s="16" t="s">
        <v>12</v>
      </c>
      <c r="E941" s="64" t="n">
        <v>1</v>
      </c>
      <c r="F941" s="25" t="s">
        <v>179</v>
      </c>
      <c r="G941" s="17" t="n">
        <v>4.6</v>
      </c>
      <c r="H941" s="17" t="n">
        <v>4.6</v>
      </c>
      <c r="I941" s="62" t="n">
        <f aca="false">IF(OR(E941="",G941=""),"",ROUND(E941*G941,2))</f>
        <v>4.6</v>
      </c>
      <c r="J941" s="25" t="str">
        <f aca="false">IF(OR(H941="",I941=""),"",IF(ABS(H941-I941)&lt;=0.02,"OK","≠"))</f>
        <v>OK</v>
      </c>
      <c r="K941" s="16"/>
      <c r="L941" s="1"/>
    </row>
    <row r="942" customFormat="false" ht="15" hidden="false" customHeight="false" outlineLevel="0" collapsed="false">
      <c r="A942" s="1"/>
      <c r="B942" s="32" t="s">
        <v>800</v>
      </c>
      <c r="C942" s="19" t="s">
        <v>801</v>
      </c>
      <c r="D942" s="19" t="s">
        <v>12</v>
      </c>
      <c r="E942" s="65" t="n">
        <v>1</v>
      </c>
      <c r="F942" s="27" t="s">
        <v>179</v>
      </c>
      <c r="G942" s="20" t="n">
        <v>2.6</v>
      </c>
      <c r="H942" s="20" t="n">
        <v>2.6</v>
      </c>
      <c r="I942" s="62" t="n">
        <f aca="false">IF(OR(E942="",G942=""),"",ROUND(E942*G942,2))</f>
        <v>2.6</v>
      </c>
      <c r="J942" s="25" t="str">
        <f aca="false">IF(OR(H942="",I942=""),"",IF(ABS(H942-I942)&lt;=0.02,"OK","≠"))</f>
        <v>OK</v>
      </c>
      <c r="K942" s="16"/>
      <c r="L942" s="1"/>
    </row>
    <row r="943" customFormat="false" ht="15" hidden="false" customHeight="false" outlineLevel="0" collapsed="false">
      <c r="A943" s="1"/>
      <c r="B943" s="30" t="s">
        <v>802</v>
      </c>
      <c r="C943" s="16" t="s">
        <v>268</v>
      </c>
      <c r="D943" s="16" t="s">
        <v>12</v>
      </c>
      <c r="E943" s="64" t="n">
        <v>1</v>
      </c>
      <c r="F943" s="25" t="s">
        <v>179</v>
      </c>
      <c r="G943" s="17" t="n">
        <v>16.5</v>
      </c>
      <c r="H943" s="17" t="n">
        <v>16.5</v>
      </c>
      <c r="I943" s="62" t="n">
        <f aca="false">IF(OR(E943="",G943=""),"",ROUND(E943*G943,2))</f>
        <v>16.5</v>
      </c>
      <c r="J943" s="25" t="str">
        <f aca="false">IF(OR(H943="",I943=""),"",IF(ABS(H943-I943)&lt;=0.02,"OK","≠"))</f>
        <v>OK</v>
      </c>
      <c r="K943" s="16"/>
      <c r="L943" s="1"/>
    </row>
    <row r="944" customFormat="false" ht="15" hidden="false" customHeight="false" outlineLevel="0" collapsed="false">
      <c r="A944" s="1"/>
      <c r="B944" s="32" t="s">
        <v>803</v>
      </c>
      <c r="C944" s="19" t="s">
        <v>804</v>
      </c>
      <c r="D944" s="19" t="s">
        <v>12</v>
      </c>
      <c r="E944" s="65" t="n">
        <v>1</v>
      </c>
      <c r="F944" s="27" t="s">
        <v>179</v>
      </c>
      <c r="G944" s="20" t="n">
        <v>5.99</v>
      </c>
      <c r="H944" s="20" t="n">
        <v>5.99</v>
      </c>
      <c r="I944" s="62" t="n">
        <f aca="false">IF(OR(E944="",G944=""),"",ROUND(E944*G944,2))</f>
        <v>5.99</v>
      </c>
      <c r="J944" s="25" t="str">
        <f aca="false">IF(OR(H944="",I944=""),"",IF(ABS(H944-I944)&lt;=0.02,"OK","≠"))</f>
        <v>OK</v>
      </c>
      <c r="K944" s="16"/>
      <c r="L944" s="1"/>
    </row>
    <row r="945" customFormat="false" ht="15" hidden="false" customHeight="false" outlineLevel="0" collapsed="false">
      <c r="A945" s="1"/>
      <c r="B945" s="30" t="s">
        <v>445</v>
      </c>
      <c r="C945" s="16" t="s">
        <v>446</v>
      </c>
      <c r="D945" s="16" t="s">
        <v>12</v>
      </c>
      <c r="E945" s="64" t="n">
        <v>1</v>
      </c>
      <c r="F945" s="25" t="s">
        <v>179</v>
      </c>
      <c r="G945" s="17" t="n">
        <v>10.5</v>
      </c>
      <c r="H945" s="17" t="n">
        <v>10.5</v>
      </c>
      <c r="I945" s="62" t="n">
        <f aca="false">IF(OR(E945="",G945=""),"",ROUND(E945*G945,2))</f>
        <v>10.5</v>
      </c>
      <c r="J945" s="25" t="str">
        <f aca="false">IF(OR(H945="",I945=""),"",IF(ABS(H945-I945)&lt;=0.02,"OK","≠"))</f>
        <v>OK</v>
      </c>
      <c r="K945" s="16"/>
      <c r="L945" s="1"/>
    </row>
    <row r="946" customFormat="false" ht="15" hidden="false" customHeight="false" outlineLevel="0" collapsed="false">
      <c r="A946" s="1"/>
      <c r="B946" s="32" t="s">
        <v>445</v>
      </c>
      <c r="C946" s="19" t="s">
        <v>446</v>
      </c>
      <c r="D946" s="19" t="s">
        <v>12</v>
      </c>
      <c r="E946" s="65" t="n">
        <v>1</v>
      </c>
      <c r="F946" s="27" t="s">
        <v>179</v>
      </c>
      <c r="G946" s="20" t="n">
        <v>10.5</v>
      </c>
      <c r="H946" s="20" t="n">
        <v>10.5</v>
      </c>
      <c r="I946" s="62" t="n">
        <f aca="false">IF(OR(E946="",G946=""),"",ROUND(E946*G946,2))</f>
        <v>10.5</v>
      </c>
      <c r="J946" s="25" t="str">
        <f aca="false">IF(OR(H946="",I946=""),"",IF(ABS(H946-I946)&lt;=0.02,"OK","≠"))</f>
        <v>OK</v>
      </c>
      <c r="K946" s="16"/>
      <c r="L946" s="1"/>
    </row>
    <row r="947" customFormat="false" ht="15" hidden="false" customHeight="false" outlineLevel="0" collapsed="false">
      <c r="A947" s="1"/>
      <c r="B947" s="30" t="s">
        <v>404</v>
      </c>
      <c r="C947" s="16" t="s">
        <v>805</v>
      </c>
      <c r="D947" s="16" t="s">
        <v>12</v>
      </c>
      <c r="E947" s="64" t="n">
        <v>1</v>
      </c>
      <c r="F947" s="25" t="s">
        <v>179</v>
      </c>
      <c r="G947" s="17" t="n">
        <v>3.9</v>
      </c>
      <c r="H947" s="17" t="n">
        <v>3.9</v>
      </c>
      <c r="I947" s="62" t="n">
        <f aca="false">IF(OR(E947="",G947=""),"",ROUND(E947*G947,2))</f>
        <v>3.9</v>
      </c>
      <c r="J947" s="25" t="str">
        <f aca="false">IF(OR(H947="",I947=""),"",IF(ABS(H947-I947)&lt;=0.02,"OK","≠"))</f>
        <v>OK</v>
      </c>
      <c r="K947" s="16"/>
      <c r="L947" s="1"/>
    </row>
    <row r="948" customFormat="false" ht="15" hidden="false" customHeight="false" outlineLevel="0" collapsed="false">
      <c r="A948" s="1"/>
      <c r="B948" s="32" t="s">
        <v>806</v>
      </c>
      <c r="C948" s="19" t="s">
        <v>807</v>
      </c>
      <c r="D948" s="19" t="s">
        <v>12</v>
      </c>
      <c r="E948" s="65" t="n">
        <v>1</v>
      </c>
      <c r="F948" s="27" t="s">
        <v>179</v>
      </c>
      <c r="G948" s="20" t="n">
        <v>3.1</v>
      </c>
      <c r="H948" s="20" t="n">
        <v>3.1</v>
      </c>
      <c r="I948" s="62" t="n">
        <f aca="false">IF(OR(E948="",G948=""),"",ROUND(E948*G948,2))</f>
        <v>3.1</v>
      </c>
      <c r="J948" s="25" t="str">
        <f aca="false">IF(OR(H948="",I948=""),"",IF(ABS(H948-I948)&lt;=0.02,"OK","≠"))</f>
        <v>OK</v>
      </c>
      <c r="K948" s="16"/>
      <c r="L948" s="1"/>
    </row>
    <row r="949" customFormat="false" ht="15" hidden="false" customHeight="false" outlineLevel="0" collapsed="false">
      <c r="A949" s="1"/>
      <c r="B949" s="30" t="s">
        <v>808</v>
      </c>
      <c r="C949" s="16" t="s">
        <v>809</v>
      </c>
      <c r="D949" s="16" t="s">
        <v>12</v>
      </c>
      <c r="E949" s="64" t="n">
        <v>1</v>
      </c>
      <c r="F949" s="25" t="s">
        <v>179</v>
      </c>
      <c r="G949" s="17" t="n">
        <v>4.5</v>
      </c>
      <c r="H949" s="17" t="n">
        <v>4.5</v>
      </c>
      <c r="I949" s="62" t="n">
        <f aca="false">IF(OR(E949="",G949=""),"",ROUND(E949*G949,2))</f>
        <v>4.5</v>
      </c>
      <c r="J949" s="25" t="str">
        <f aca="false">IF(OR(H949="",I949=""),"",IF(ABS(H949-I949)&lt;=0.02,"OK","≠"))</f>
        <v>OK</v>
      </c>
      <c r="K949" s="16"/>
      <c r="L949" s="1"/>
    </row>
    <row r="950" customFormat="false" ht="15" hidden="false" customHeight="false" outlineLevel="0" collapsed="false">
      <c r="A950" s="1"/>
      <c r="B950" s="32" t="s">
        <v>618</v>
      </c>
      <c r="C950" s="19" t="s">
        <v>617</v>
      </c>
      <c r="D950" s="19" t="s">
        <v>12</v>
      </c>
      <c r="E950" s="65" t="n">
        <v>1</v>
      </c>
      <c r="F950" s="27" t="s">
        <v>179</v>
      </c>
      <c r="G950" s="20" t="n">
        <v>28.3</v>
      </c>
      <c r="H950" s="20" t="n">
        <v>28.3</v>
      </c>
      <c r="I950" s="62" t="n">
        <f aca="false">IF(OR(E950="",G950=""),"",ROUND(E950*G950,2))</f>
        <v>28.3</v>
      </c>
      <c r="J950" s="25" t="str">
        <f aca="false">IF(OR(H950="",I950=""),"",IF(ABS(H950-I950)&lt;=0.02,"OK","≠"))</f>
        <v>OK</v>
      </c>
      <c r="K950" s="16"/>
      <c r="L950" s="1"/>
    </row>
    <row r="951" customFormat="false" ht="15" hidden="false" customHeight="false" outlineLevel="0" collapsed="false">
      <c r="A951" s="1"/>
      <c r="B951" s="30" t="s">
        <v>376</v>
      </c>
      <c r="C951" s="16" t="s">
        <v>248</v>
      </c>
      <c r="D951" s="16" t="s">
        <v>12</v>
      </c>
      <c r="E951" s="64" t="n">
        <v>1</v>
      </c>
      <c r="F951" s="25" t="s">
        <v>179</v>
      </c>
      <c r="G951" s="17" t="n">
        <v>5.75</v>
      </c>
      <c r="H951" s="17" t="n">
        <v>5.75</v>
      </c>
      <c r="I951" s="62" t="n">
        <f aca="false">IF(OR(E951="",G951=""),"",ROUND(E951*G951,2))</f>
        <v>5.75</v>
      </c>
      <c r="J951" s="25" t="str">
        <f aca="false">IF(OR(H951="",I951=""),"",IF(ABS(H951-I951)&lt;=0.02,"OK","≠"))</f>
        <v>OK</v>
      </c>
      <c r="K951" s="16"/>
      <c r="L951" s="1"/>
    </row>
    <row r="952" customFormat="false" ht="15" hidden="false" customHeight="false" outlineLevel="0" collapsed="false">
      <c r="A952" s="1"/>
      <c r="B952" s="32" t="s">
        <v>204</v>
      </c>
      <c r="C952" s="19" t="s">
        <v>810</v>
      </c>
      <c r="D952" s="19" t="s">
        <v>12</v>
      </c>
      <c r="E952" s="65" t="n">
        <v>1</v>
      </c>
      <c r="F952" s="27" t="s">
        <v>179</v>
      </c>
      <c r="G952" s="20" t="n">
        <v>7.6</v>
      </c>
      <c r="H952" s="20" t="n">
        <v>7.6</v>
      </c>
      <c r="I952" s="62" t="n">
        <f aca="false">IF(OR(E952="",G952=""),"",ROUND(E952*G952,2))</f>
        <v>7.6</v>
      </c>
      <c r="J952" s="25" t="str">
        <f aca="false">IF(OR(H952="",I952=""),"",IF(ABS(H952-I952)&lt;=0.02,"OK","≠"))</f>
        <v>OK</v>
      </c>
      <c r="K952" s="16"/>
      <c r="L952" s="1"/>
    </row>
    <row r="953" customFormat="false" ht="15" hidden="false" customHeight="false" outlineLevel="0" collapsed="false">
      <c r="A953" s="1"/>
      <c r="B953" s="30" t="s">
        <v>811</v>
      </c>
      <c r="C953" s="16" t="s">
        <v>812</v>
      </c>
      <c r="D953" s="16" t="s">
        <v>12</v>
      </c>
      <c r="E953" s="64" t="n">
        <v>1</v>
      </c>
      <c r="F953" s="25" t="s">
        <v>179</v>
      </c>
      <c r="G953" s="17" t="n">
        <v>2.4</v>
      </c>
      <c r="H953" s="17" t="n">
        <v>2.4</v>
      </c>
      <c r="I953" s="62" t="n">
        <f aca="false">IF(OR(E953="",G953=""),"",ROUND(E953*G953,2))</f>
        <v>2.4</v>
      </c>
      <c r="J953" s="25" t="str">
        <f aca="false">IF(OR(H953="",I953=""),"",IF(ABS(H953-I953)&lt;=0.02,"OK","≠"))</f>
        <v>OK</v>
      </c>
      <c r="K953" s="16"/>
      <c r="L953" s="1"/>
    </row>
    <row r="954" customFormat="false" ht="15" hidden="false" customHeight="false" outlineLevel="0" collapsed="false">
      <c r="A954" s="1"/>
      <c r="B954" s="32" t="s">
        <v>363</v>
      </c>
      <c r="C954" s="19" t="s">
        <v>364</v>
      </c>
      <c r="D954" s="19" t="s">
        <v>12</v>
      </c>
      <c r="E954" s="65" t="n">
        <v>1</v>
      </c>
      <c r="F954" s="27" t="s">
        <v>179</v>
      </c>
      <c r="G954" s="20" t="n">
        <v>8.5</v>
      </c>
      <c r="H954" s="20" t="n">
        <v>8.5</v>
      </c>
      <c r="I954" s="62" t="n">
        <f aca="false">IF(OR(E954="",G954=""),"",ROUND(E954*G954,2))</f>
        <v>8.5</v>
      </c>
      <c r="J954" s="25" t="str">
        <f aca="false">IF(OR(H954="",I954=""),"",IF(ABS(H954-I954)&lt;=0.02,"OK","≠"))</f>
        <v>OK</v>
      </c>
      <c r="K954" s="16"/>
      <c r="L954" s="1"/>
    </row>
    <row r="955" customFormat="false" ht="15" hidden="false" customHeight="false" outlineLevel="0" collapsed="false">
      <c r="A955" s="1"/>
      <c r="B955" s="30" t="s">
        <v>813</v>
      </c>
      <c r="C955" s="16" t="s">
        <v>814</v>
      </c>
      <c r="D955" s="16" t="s">
        <v>12</v>
      </c>
      <c r="E955" s="64" t="n">
        <v>1</v>
      </c>
      <c r="F955" s="25" t="s">
        <v>179</v>
      </c>
      <c r="G955" s="17" t="n">
        <v>5.99</v>
      </c>
      <c r="H955" s="17" t="n">
        <v>5.99</v>
      </c>
      <c r="I955" s="62" t="n">
        <f aca="false">IF(OR(E955="",G955=""),"",ROUND(E955*G955,2))</f>
        <v>5.99</v>
      </c>
      <c r="J955" s="25" t="str">
        <f aca="false">IF(OR(H955="",I955=""),"",IF(ABS(H955-I955)&lt;=0.02,"OK","≠"))</f>
        <v>OK</v>
      </c>
      <c r="K955" s="16"/>
      <c r="L955" s="1"/>
    </row>
    <row r="956" customFormat="false" ht="15" hidden="false" customHeight="false" outlineLevel="0" collapsed="false">
      <c r="A956" s="1"/>
      <c r="B956" s="32" t="s">
        <v>186</v>
      </c>
      <c r="C956" s="19" t="s">
        <v>549</v>
      </c>
      <c r="D956" s="19" t="s">
        <v>12</v>
      </c>
      <c r="E956" s="65" t="n">
        <v>1</v>
      </c>
      <c r="F956" s="27" t="s">
        <v>179</v>
      </c>
      <c r="G956" s="20" t="n">
        <v>4.25</v>
      </c>
      <c r="H956" s="20" t="n">
        <v>4.25</v>
      </c>
      <c r="I956" s="62" t="n">
        <f aca="false">IF(OR(E956="",G956=""),"",ROUND(E956*G956,2))</f>
        <v>4.25</v>
      </c>
      <c r="J956" s="25" t="str">
        <f aca="false">IF(OR(H956="",I956=""),"",IF(ABS(H956-I956)&lt;=0.02,"OK","≠"))</f>
        <v>OK</v>
      </c>
      <c r="K956" s="16"/>
      <c r="L956" s="1"/>
    </row>
    <row r="957" customFormat="false" ht="15" hidden="false" customHeight="false" outlineLevel="0" collapsed="false">
      <c r="A957" s="1"/>
      <c r="B957" s="30" t="s">
        <v>186</v>
      </c>
      <c r="C957" s="16" t="s">
        <v>549</v>
      </c>
      <c r="D957" s="16" t="s">
        <v>12</v>
      </c>
      <c r="E957" s="64" t="n">
        <v>1</v>
      </c>
      <c r="F957" s="25" t="s">
        <v>179</v>
      </c>
      <c r="G957" s="17" t="n">
        <v>4.25</v>
      </c>
      <c r="H957" s="17" t="n">
        <v>4.25</v>
      </c>
      <c r="I957" s="62" t="n">
        <f aca="false">IF(OR(E957="",G957=""),"",ROUND(E957*G957,2))</f>
        <v>4.25</v>
      </c>
      <c r="J957" s="25" t="str">
        <f aca="false">IF(OR(H957="",I957=""),"",IF(ABS(H957-I957)&lt;=0.02,"OK","≠"))</f>
        <v>OK</v>
      </c>
      <c r="K957" s="16"/>
      <c r="L957" s="1"/>
    </row>
    <row r="958" customFormat="false" ht="15" hidden="false" customHeight="false" outlineLevel="0" collapsed="false">
      <c r="A958" s="1"/>
      <c r="B958" s="32" t="s">
        <v>815</v>
      </c>
      <c r="C958" s="19" t="s">
        <v>816</v>
      </c>
      <c r="D958" s="19" t="s">
        <v>13</v>
      </c>
      <c r="E958" s="65" t="n">
        <v>1</v>
      </c>
      <c r="F958" s="27" t="s">
        <v>179</v>
      </c>
      <c r="G958" s="20" t="n">
        <v>2.25</v>
      </c>
      <c r="H958" s="20" t="n">
        <v>2.25</v>
      </c>
      <c r="I958" s="62" t="n">
        <f aca="false">IF(OR(E958="",G958=""),"",ROUND(E958*G958,2))</f>
        <v>2.25</v>
      </c>
      <c r="J958" s="25" t="str">
        <f aca="false">IF(OR(H958="",I958=""),"",IF(ABS(H958-I958)&lt;=0.02,"OK","≠"))</f>
        <v>OK</v>
      </c>
      <c r="K958" s="16"/>
      <c r="L958" s="1"/>
    </row>
    <row r="959" customFormat="false" ht="15" hidden="false" customHeight="false" outlineLevel="0" collapsed="false">
      <c r="A959" s="1"/>
      <c r="B959" s="30" t="s">
        <v>815</v>
      </c>
      <c r="C959" s="16" t="s">
        <v>816</v>
      </c>
      <c r="D959" s="16" t="s">
        <v>13</v>
      </c>
      <c r="E959" s="64" t="n">
        <v>1</v>
      </c>
      <c r="F959" s="25" t="s">
        <v>179</v>
      </c>
      <c r="G959" s="17" t="n">
        <v>2.25</v>
      </c>
      <c r="H959" s="17" t="n">
        <v>2.25</v>
      </c>
      <c r="I959" s="62" t="n">
        <f aca="false">IF(OR(E959="",G959=""),"",ROUND(E959*G959,2))</f>
        <v>2.25</v>
      </c>
      <c r="J959" s="25" t="str">
        <f aca="false">IF(OR(H959="",I959=""),"",IF(ABS(H959-I959)&lt;=0.02,"OK","≠"))</f>
        <v>OK</v>
      </c>
      <c r="K959" s="16"/>
      <c r="L959" s="1"/>
    </row>
    <row r="960" customFormat="false" ht="15" hidden="false" customHeight="false" outlineLevel="0" collapsed="false">
      <c r="A960" s="1"/>
      <c r="B960" s="32" t="s">
        <v>815</v>
      </c>
      <c r="C960" s="19" t="s">
        <v>816</v>
      </c>
      <c r="D960" s="19" t="s">
        <v>13</v>
      </c>
      <c r="E960" s="65" t="n">
        <v>1</v>
      </c>
      <c r="F960" s="27" t="s">
        <v>179</v>
      </c>
      <c r="G960" s="20" t="n">
        <v>2.25</v>
      </c>
      <c r="H960" s="20" t="n">
        <v>2.25</v>
      </c>
      <c r="I960" s="62" t="n">
        <f aca="false">IF(OR(E960="",G960=""),"",ROUND(E960*G960,2))</f>
        <v>2.25</v>
      </c>
      <c r="J960" s="25" t="str">
        <f aca="false">IF(OR(H960="",I960=""),"",IF(ABS(H960-I960)&lt;=0.02,"OK","≠"))</f>
        <v>OK</v>
      </c>
      <c r="K960" s="16"/>
      <c r="L960" s="1"/>
    </row>
    <row r="961" customFormat="false" ht="15" hidden="false" customHeight="false" outlineLevel="0" collapsed="false">
      <c r="A961" s="1"/>
      <c r="B961" s="30" t="s">
        <v>817</v>
      </c>
      <c r="C961" s="16" t="s">
        <v>818</v>
      </c>
      <c r="D961" s="16" t="s">
        <v>14</v>
      </c>
      <c r="E961" s="64" t="n">
        <v>1</v>
      </c>
      <c r="F961" s="25" t="s">
        <v>179</v>
      </c>
      <c r="G961" s="17" t="n">
        <v>7.29</v>
      </c>
      <c r="H961" s="17" t="n">
        <v>7.29</v>
      </c>
      <c r="I961" s="62" t="n">
        <f aca="false">IF(OR(E961="",G961=""),"",ROUND(E961*G961,2))</f>
        <v>7.29</v>
      </c>
      <c r="J961" s="25" t="str">
        <f aca="false">IF(OR(H961="",I961=""),"",IF(ABS(H961-I961)&lt;=0.02,"OK","≠"))</f>
        <v>OK</v>
      </c>
      <c r="K961" s="16"/>
      <c r="L961" s="1"/>
    </row>
    <row r="962" customFormat="false" ht="15" hidden="false" customHeight="false" outlineLevel="0" collapsed="false">
      <c r="A962" s="1"/>
      <c r="B962" s="32" t="s">
        <v>819</v>
      </c>
      <c r="C962" s="19" t="s">
        <v>820</v>
      </c>
      <c r="D962" s="19" t="s">
        <v>12</v>
      </c>
      <c r="E962" s="65" t="n">
        <v>1</v>
      </c>
      <c r="F962" s="27" t="s">
        <v>179</v>
      </c>
      <c r="G962" s="20" t="n">
        <v>29.4</v>
      </c>
      <c r="H962" s="20" t="n">
        <v>29.4</v>
      </c>
      <c r="I962" s="62" t="n">
        <f aca="false">IF(OR(E962="",G962=""),"",ROUND(E962*G962,2))</f>
        <v>29.4</v>
      </c>
      <c r="J962" s="25" t="str">
        <f aca="false">IF(OR(H962="",I962=""),"",IF(ABS(H962-I962)&lt;=0.02,"OK","≠"))</f>
        <v>OK</v>
      </c>
      <c r="K962" s="16"/>
      <c r="L962" s="1"/>
    </row>
    <row r="963" customFormat="false" ht="15" hidden="false" customHeight="false" outlineLevel="0" collapsed="false">
      <c r="A963" s="1"/>
      <c r="B963" s="30" t="s">
        <v>821</v>
      </c>
      <c r="C963" s="16" t="s">
        <v>822</v>
      </c>
      <c r="D963" s="16" t="s">
        <v>12</v>
      </c>
      <c r="E963" s="64" t="n">
        <v>0.21</v>
      </c>
      <c r="F963" s="25" t="s">
        <v>176</v>
      </c>
      <c r="G963" s="17" t="n">
        <v>39</v>
      </c>
      <c r="H963" s="17" t="n">
        <v>8.19</v>
      </c>
      <c r="I963" s="62" t="n">
        <f aca="false">IF(OR(E963="",G963=""),"",ROUND(E963*G963,2))</f>
        <v>8.19</v>
      </c>
      <c r="J963" s="25" t="str">
        <f aca="false">IF(OR(H963="",I963=""),"",IF(ABS(H963-I963)&lt;=0.02,"OK","≠"))</f>
        <v>OK</v>
      </c>
      <c r="K963" s="16"/>
      <c r="L963" s="1"/>
    </row>
    <row r="964" customFormat="false" ht="15" hidden="false" customHeight="false" outlineLevel="0" collapsed="false">
      <c r="A964" s="1"/>
      <c r="B964" s="32" t="s">
        <v>255</v>
      </c>
      <c r="C964" s="19" t="s">
        <v>556</v>
      </c>
      <c r="D964" s="19" t="s">
        <v>12</v>
      </c>
      <c r="E964" s="65" t="n">
        <v>1</v>
      </c>
      <c r="F964" s="27" t="s">
        <v>179</v>
      </c>
      <c r="G964" s="20" t="n">
        <v>5.99</v>
      </c>
      <c r="H964" s="20" t="n">
        <v>5.99</v>
      </c>
      <c r="I964" s="62" t="n">
        <f aca="false">IF(OR(E964="",G964=""),"",ROUND(E964*G964,2))</f>
        <v>5.99</v>
      </c>
      <c r="J964" s="25" t="str">
        <f aca="false">IF(OR(H964="",I964=""),"",IF(ABS(H964-I964)&lt;=0.02,"OK","≠"))</f>
        <v>OK</v>
      </c>
      <c r="K964" s="16"/>
      <c r="L964" s="1"/>
    </row>
    <row r="965" customFormat="false" ht="15" hidden="false" customHeight="false" outlineLevel="0" collapsed="false">
      <c r="A965" s="1"/>
      <c r="B965" s="30" t="s">
        <v>823</v>
      </c>
      <c r="C965" s="16" t="s">
        <v>644</v>
      </c>
      <c r="D965" s="16" t="s">
        <v>12</v>
      </c>
      <c r="E965" s="64" t="n">
        <v>1</v>
      </c>
      <c r="F965" s="25" t="s">
        <v>179</v>
      </c>
      <c r="G965" s="17" t="n">
        <v>5.49</v>
      </c>
      <c r="H965" s="17" t="n">
        <v>5.49</v>
      </c>
      <c r="I965" s="62" t="n">
        <f aca="false">IF(OR(E965="",G965=""),"",ROUND(E965*G965,2))</f>
        <v>5.49</v>
      </c>
      <c r="J965" s="25" t="str">
        <f aca="false">IF(OR(H965="",I965=""),"",IF(ABS(H965-I965)&lt;=0.02,"OK","≠"))</f>
        <v>OK</v>
      </c>
      <c r="K965" s="16"/>
      <c r="L965" s="1"/>
    </row>
    <row r="966" customFormat="false" ht="15" hidden="false" customHeight="false" outlineLevel="0" collapsed="false">
      <c r="A966" s="1"/>
      <c r="B966" s="32" t="s">
        <v>823</v>
      </c>
      <c r="C966" s="19" t="s">
        <v>644</v>
      </c>
      <c r="D966" s="19" t="s">
        <v>12</v>
      </c>
      <c r="E966" s="65" t="n">
        <v>1</v>
      </c>
      <c r="F966" s="27" t="s">
        <v>179</v>
      </c>
      <c r="G966" s="20" t="n">
        <v>5.49</v>
      </c>
      <c r="H966" s="20" t="n">
        <v>5.49</v>
      </c>
      <c r="I966" s="62" t="n">
        <f aca="false">IF(OR(E966="",G966=""),"",ROUND(E966*G966,2))</f>
        <v>5.49</v>
      </c>
      <c r="J966" s="25" t="str">
        <f aca="false">IF(OR(H966="",I966=""),"",IF(ABS(H966-I966)&lt;=0.02,"OK","≠"))</f>
        <v>OK</v>
      </c>
      <c r="K966" s="16"/>
      <c r="L966" s="1"/>
    </row>
    <row r="967" customFormat="false" ht="15" hidden="false" customHeight="false" outlineLevel="0" collapsed="false">
      <c r="A967" s="1"/>
      <c r="B967" s="30" t="s">
        <v>251</v>
      </c>
      <c r="C967" s="16" t="s">
        <v>252</v>
      </c>
      <c r="D967" s="16" t="s">
        <v>14</v>
      </c>
      <c r="E967" s="64" t="n">
        <v>0.228</v>
      </c>
      <c r="F967" s="25" t="s">
        <v>176</v>
      </c>
      <c r="G967" s="17" t="n">
        <v>45</v>
      </c>
      <c r="H967" s="17" t="n">
        <v>10.26</v>
      </c>
      <c r="I967" s="62" t="n">
        <f aca="false">IF(OR(E967="",G967=""),"",ROUND(E967*G967,2))</f>
        <v>10.26</v>
      </c>
      <c r="J967" s="25" t="str">
        <f aca="false">IF(OR(H967="",I967=""),"",IF(ABS(H967-I967)&lt;=0.02,"OK","≠"))</f>
        <v>OK</v>
      </c>
      <c r="K967" s="16"/>
      <c r="L967" s="1"/>
    </row>
    <row r="968" customFormat="false" ht="15" hidden="false" customHeight="false" outlineLevel="0" collapsed="false">
      <c r="A968" s="1"/>
      <c r="B968" s="32" t="s">
        <v>251</v>
      </c>
      <c r="C968" s="19" t="s">
        <v>252</v>
      </c>
      <c r="D968" s="19" t="s">
        <v>14</v>
      </c>
      <c r="E968" s="65" t="n">
        <v>0.232</v>
      </c>
      <c r="F968" s="27" t="s">
        <v>176</v>
      </c>
      <c r="G968" s="20" t="n">
        <v>45</v>
      </c>
      <c r="H968" s="20" t="n">
        <v>10.44</v>
      </c>
      <c r="I968" s="62" t="n">
        <f aca="false">IF(OR(E968="",G968=""),"",ROUND(E968*G968,2))</f>
        <v>10.44</v>
      </c>
      <c r="J968" s="25" t="str">
        <f aca="false">IF(OR(H968="",I968=""),"",IF(ABS(H968-I968)&lt;=0.02,"OK","≠"))</f>
        <v>OK</v>
      </c>
      <c r="K968" s="16"/>
      <c r="L968" s="1"/>
    </row>
    <row r="969" customFormat="false" ht="15" hidden="false" customHeight="false" outlineLevel="0" collapsed="false">
      <c r="A969" s="1"/>
      <c r="B969" s="30" t="s">
        <v>196</v>
      </c>
      <c r="C969" s="16" t="s">
        <v>398</v>
      </c>
      <c r="D969" s="16" t="s">
        <v>14</v>
      </c>
      <c r="E969" s="64" t="n">
        <v>0.554</v>
      </c>
      <c r="F969" s="25" t="s">
        <v>176</v>
      </c>
      <c r="G969" s="17" t="n">
        <v>14.9</v>
      </c>
      <c r="H969" s="17" t="n">
        <v>8.25</v>
      </c>
      <c r="I969" s="62" t="n">
        <f aca="false">IF(OR(E969="",G969=""),"",ROUND(E969*G969,2))</f>
        <v>8.25</v>
      </c>
      <c r="J969" s="25" t="str">
        <f aca="false">IF(OR(H969="",I969=""),"",IF(ABS(H969-I969)&lt;=0.02,"OK","≠"))</f>
        <v>OK</v>
      </c>
      <c r="K969" s="16"/>
      <c r="L969" s="1"/>
    </row>
    <row r="970" customFormat="false" ht="15" hidden="false" customHeight="false" outlineLevel="0" collapsed="false">
      <c r="A970" s="1"/>
      <c r="B970" s="32" t="s">
        <v>824</v>
      </c>
      <c r="C970" s="19" t="s">
        <v>620</v>
      </c>
      <c r="D970" s="19" t="s">
        <v>12</v>
      </c>
      <c r="E970" s="65" t="n">
        <v>4</v>
      </c>
      <c r="F970" s="27" t="s">
        <v>179</v>
      </c>
      <c r="G970" s="20" t="n">
        <v>1.69</v>
      </c>
      <c r="H970" s="20" t="n">
        <v>6.76</v>
      </c>
      <c r="I970" s="62" t="n">
        <f aca="false">IF(OR(E970="",G970=""),"",ROUND(E970*G970,2))</f>
        <v>6.76</v>
      </c>
      <c r="J970" s="25" t="str">
        <f aca="false">IF(OR(H970="",I970=""),"",IF(ABS(H970-I970)&lt;=0.02,"OK","≠"))</f>
        <v>OK</v>
      </c>
      <c r="K970" s="16"/>
      <c r="L970" s="1"/>
    </row>
    <row r="971" customFormat="false" ht="15" hidden="false" customHeight="false" outlineLevel="0" collapsed="false">
      <c r="A971" s="1"/>
      <c r="B971" s="30" t="s">
        <v>825</v>
      </c>
      <c r="C971" s="16" t="s">
        <v>826</v>
      </c>
      <c r="D971" s="16" t="s">
        <v>19</v>
      </c>
      <c r="E971" s="64" t="n">
        <v>1</v>
      </c>
      <c r="F971" s="25" t="s">
        <v>179</v>
      </c>
      <c r="G971" s="17" t="n">
        <v>10.5</v>
      </c>
      <c r="H971" s="17" t="n">
        <v>10.5</v>
      </c>
      <c r="I971" s="62" t="n">
        <f aca="false">IF(OR(E971="",G971=""),"",ROUND(E971*G971,2))</f>
        <v>10.5</v>
      </c>
      <c r="J971" s="25" t="str">
        <f aca="false">IF(OR(H971="",I971=""),"",IF(ABS(H971-I971)&lt;=0.02,"OK","≠"))</f>
        <v>OK</v>
      </c>
      <c r="K971" s="16"/>
      <c r="L971" s="1"/>
    </row>
    <row r="972" customFormat="false" ht="15" hidden="false" customHeight="false" outlineLevel="0" collapsed="false">
      <c r="A972" s="1"/>
      <c r="B972" s="32" t="s">
        <v>827</v>
      </c>
      <c r="C972" s="19" t="s">
        <v>828</v>
      </c>
      <c r="D972" s="19" t="s">
        <v>18</v>
      </c>
      <c r="E972" s="65" t="n">
        <v>1</v>
      </c>
      <c r="F972" s="27" t="s">
        <v>179</v>
      </c>
      <c r="G972" s="20" t="n">
        <v>8.5</v>
      </c>
      <c r="H972" s="20" t="n">
        <v>8.5</v>
      </c>
      <c r="I972" s="62" t="n">
        <f aca="false">IF(OR(E972="",G972=""),"",ROUND(E972*G972,2))</f>
        <v>8.5</v>
      </c>
      <c r="J972" s="25" t="str">
        <f aca="false">IF(OR(H972="",I972=""),"",IF(ABS(H972-I972)&lt;=0.02,"OK","≠"))</f>
        <v>OK</v>
      </c>
      <c r="K972" s="16"/>
      <c r="L972" s="1"/>
    </row>
    <row r="973" customFormat="false" ht="15" hidden="false" customHeight="false" outlineLevel="0" collapsed="false">
      <c r="A973" s="1"/>
      <c r="B973" s="30" t="s">
        <v>829</v>
      </c>
      <c r="C973" s="16" t="s">
        <v>830</v>
      </c>
      <c r="D973" s="16" t="s">
        <v>19</v>
      </c>
      <c r="E973" s="64" t="n">
        <v>1</v>
      </c>
      <c r="F973" s="25" t="s">
        <v>179</v>
      </c>
      <c r="G973" s="17" t="n">
        <v>2.85</v>
      </c>
      <c r="H973" s="17" t="n">
        <v>2.85</v>
      </c>
      <c r="I973" s="62" t="n">
        <f aca="false">IF(OR(E973="",G973=""),"",ROUND(E973*G973,2))</f>
        <v>2.85</v>
      </c>
      <c r="J973" s="25" t="str">
        <f aca="false">IF(OR(H973="",I973=""),"",IF(ABS(H973-I973)&lt;=0.02,"OK","≠"))</f>
        <v>OK</v>
      </c>
      <c r="K973" s="16"/>
      <c r="L973" s="1"/>
    </row>
    <row r="974" customFormat="false" ht="15" hidden="false" customHeight="false" outlineLevel="0" collapsed="false">
      <c r="A974" s="1"/>
      <c r="B974" s="32" t="s">
        <v>831</v>
      </c>
      <c r="C974" s="19" t="s">
        <v>832</v>
      </c>
      <c r="D974" s="19" t="s">
        <v>18</v>
      </c>
      <c r="E974" s="65" t="n">
        <v>1</v>
      </c>
      <c r="F974" s="27" t="s">
        <v>179</v>
      </c>
      <c r="G974" s="20" t="n">
        <v>2.65</v>
      </c>
      <c r="H974" s="20" t="n">
        <v>2.65</v>
      </c>
      <c r="I974" s="62" t="n">
        <f aca="false">IF(OR(E974="",G974=""),"",ROUND(E974*G974,2))</f>
        <v>2.65</v>
      </c>
      <c r="J974" s="25" t="str">
        <f aca="false">IF(OR(H974="",I974=""),"",IF(ABS(H974-I974)&lt;=0.02,"OK","≠"))</f>
        <v>OK</v>
      </c>
      <c r="K974" s="16"/>
      <c r="L974" s="1"/>
    </row>
    <row r="975" customFormat="false" ht="15" hidden="false" customHeight="false" outlineLevel="0" collapsed="false">
      <c r="A975" s="1"/>
      <c r="B975" s="30" t="s">
        <v>833</v>
      </c>
      <c r="C975" s="16" t="s">
        <v>834</v>
      </c>
      <c r="D975" s="16" t="s">
        <v>18</v>
      </c>
      <c r="E975" s="64" t="n">
        <v>1</v>
      </c>
      <c r="F975" s="25" t="s">
        <v>179</v>
      </c>
      <c r="G975" s="17" t="n">
        <v>3.59</v>
      </c>
      <c r="H975" s="17" t="n">
        <v>3.59</v>
      </c>
      <c r="I975" s="62" t="n">
        <f aca="false">IF(OR(E975="",G975=""),"",ROUND(E975*G975,2))</f>
        <v>3.59</v>
      </c>
      <c r="J975" s="25" t="str">
        <f aca="false">IF(OR(H975="",I975=""),"",IF(ABS(H975-I975)&lt;=0.02,"OK","≠"))</f>
        <v>OK</v>
      </c>
      <c r="K975" s="16"/>
      <c r="L975" s="1"/>
    </row>
    <row r="976" customFormat="false" ht="15" hidden="false" customHeight="false" outlineLevel="0" collapsed="false">
      <c r="A976" s="1"/>
      <c r="B976" s="32" t="s">
        <v>835</v>
      </c>
      <c r="C976" s="19" t="s">
        <v>568</v>
      </c>
      <c r="D976" s="19" t="s">
        <v>19</v>
      </c>
      <c r="E976" s="65" t="n">
        <v>1</v>
      </c>
      <c r="F976" s="27" t="s">
        <v>179</v>
      </c>
      <c r="G976" s="20" t="n">
        <v>3.99</v>
      </c>
      <c r="H976" s="20" t="n">
        <v>3.99</v>
      </c>
      <c r="I976" s="62" t="n">
        <f aca="false">IF(OR(E976="",G976=""),"",ROUND(E976*G976,2))</f>
        <v>3.99</v>
      </c>
      <c r="J976" s="25" t="str">
        <f aca="false">IF(OR(H976="",I976=""),"",IF(ABS(H976-I976)&lt;=0.02,"OK","≠"))</f>
        <v>OK</v>
      </c>
      <c r="K976" s="16"/>
      <c r="L976" s="1"/>
    </row>
    <row r="977" customFormat="false" ht="15" hidden="false" customHeight="false" outlineLevel="0" collapsed="false">
      <c r="A977" s="1"/>
      <c r="B977" s="1"/>
      <c r="C977" s="1"/>
      <c r="D977" s="1"/>
      <c r="E977" s="1"/>
      <c r="F977" s="1"/>
      <c r="G977" s="1"/>
      <c r="H977" s="1"/>
      <c r="I977" s="1"/>
      <c r="J977" s="1"/>
      <c r="K977" s="1"/>
      <c r="L977" s="1"/>
    </row>
    <row r="978" customFormat="false" ht="19.5" hidden="false" customHeight="true" outlineLevel="0" collapsed="false">
      <c r="A978" s="1"/>
      <c r="B978" s="63" t="s">
        <v>836</v>
      </c>
      <c r="C978" s="63"/>
      <c r="D978" s="63"/>
      <c r="E978" s="63"/>
      <c r="F978" s="63"/>
      <c r="G978" s="63"/>
      <c r="H978" s="63"/>
      <c r="I978" s="63"/>
      <c r="J978" s="63"/>
      <c r="K978" s="63"/>
      <c r="L978" s="1"/>
    </row>
    <row r="979" customFormat="false" ht="15" hidden="false" customHeight="false" outlineLevel="0" collapsed="false">
      <c r="A979" s="1"/>
      <c r="B979" s="50" t="s">
        <v>34</v>
      </c>
      <c r="C979" s="45" t="s">
        <v>38</v>
      </c>
      <c r="D979" s="45"/>
      <c r="E979" s="50" t="s">
        <v>157</v>
      </c>
      <c r="F979" s="50"/>
      <c r="G979" s="45" t="s">
        <v>837</v>
      </c>
      <c r="H979" s="45"/>
      <c r="I979" s="45"/>
      <c r="J979" s="45"/>
      <c r="K979" s="45"/>
      <c r="L979" s="1"/>
    </row>
    <row r="980" customFormat="false" ht="15" hidden="false" customHeight="false" outlineLevel="0" collapsed="false">
      <c r="A980" s="1"/>
      <c r="B980" s="50" t="s">
        <v>78</v>
      </c>
      <c r="C980" s="39" t="n">
        <v>46207</v>
      </c>
      <c r="D980" s="39"/>
      <c r="E980" s="50" t="s">
        <v>80</v>
      </c>
      <c r="F980" s="50"/>
      <c r="G980" s="45" t="s">
        <v>173</v>
      </c>
      <c r="H980" s="45"/>
      <c r="I980" s="45"/>
      <c r="J980" s="45"/>
      <c r="K980" s="45"/>
      <c r="L980" s="1"/>
    </row>
    <row r="981" customFormat="false" ht="15" hidden="false" customHeight="false" outlineLevel="0" collapsed="false">
      <c r="A981" s="1"/>
      <c r="B981" s="50" t="s">
        <v>158</v>
      </c>
      <c r="C981" s="55" t="n">
        <v>3</v>
      </c>
      <c r="D981" s="55"/>
      <c r="E981" s="50" t="s">
        <v>159</v>
      </c>
      <c r="F981" s="50"/>
      <c r="G981" s="56" t="n">
        <v>24.72</v>
      </c>
      <c r="H981" s="56"/>
      <c r="I981" s="56"/>
      <c r="J981" s="56"/>
      <c r="K981" s="56"/>
      <c r="L981" s="1"/>
    </row>
    <row r="982" customFormat="false" ht="15" hidden="false" customHeight="false" outlineLevel="0" collapsed="false">
      <c r="A982" s="1"/>
      <c r="B982" s="50" t="s">
        <v>160</v>
      </c>
      <c r="C982" s="55" t="n">
        <f aca="false">COUNT(H986:H988)</f>
        <v>3</v>
      </c>
      <c r="D982" s="55"/>
      <c r="E982" s="50" t="s">
        <v>161</v>
      </c>
      <c r="F982" s="50"/>
      <c r="G982" s="56" t="n">
        <f aca="false">ROUND(SUM(H986:H988),2)</f>
        <v>24.72</v>
      </c>
      <c r="H982" s="56"/>
      <c r="I982" s="56"/>
      <c r="J982" s="56"/>
      <c r="K982" s="56"/>
      <c r="L982" s="1"/>
    </row>
    <row r="983" customFormat="false" ht="15" hidden="false" customHeight="false" outlineLevel="0" collapsed="false">
      <c r="A983" s="1"/>
      <c r="B983" s="50" t="s">
        <v>162</v>
      </c>
      <c r="C983" s="55" t="n">
        <f aca="false">ROUND(SUMPRODUCT(((F986:F988="KG")+(F986:F988="G"))*1)+SUMPRODUCT((F986:F988&lt;&gt;"KG")*(F986:F988&lt;&gt;"G")*E986:E988),0)</f>
        <v>3</v>
      </c>
      <c r="D983" s="55"/>
      <c r="E983" s="50" t="s">
        <v>163</v>
      </c>
      <c r="F983" s="50"/>
      <c r="G983" s="56" t="n">
        <f aca="false">IF(G981="","",ROUND(G981-G982,2))</f>
        <v>0</v>
      </c>
      <c r="H983" s="56"/>
      <c r="I983" s="56"/>
      <c r="J983" s="56"/>
      <c r="K983" s="56"/>
      <c r="L983" s="1"/>
    </row>
    <row r="984" customFormat="false" ht="15" hidden="false" customHeight="false" outlineLevel="0" collapsed="false">
      <c r="A984" s="1"/>
      <c r="B984" s="50" t="s">
        <v>84</v>
      </c>
      <c r="C984" s="57" t="str">
        <f aca="false">IF(C982=0,"— aguardando lançamento",IF(G981="","SEM TOTAL OFICIAL — informe o total do cupom",IF(AND(OR(C981="",C981=C982,C981=C983),ABS(G983)&lt;=0.05),"FECHADO — itens e valor conferem",IF(ABS(G983)&lt;=0.05,"REVISAR — qtd. de itens não bate","REVISAR — diferença de R$ "&amp;ABS(G983)))))</f>
        <v>FECHADO — itens e valor conferem</v>
      </c>
      <c r="D984" s="57"/>
      <c r="E984" s="57"/>
      <c r="F984" s="57"/>
      <c r="G984" s="50" t="s">
        <v>164</v>
      </c>
      <c r="H984" s="30"/>
      <c r="I984" s="30"/>
      <c r="J984" s="30"/>
      <c r="K984" s="30"/>
      <c r="L984" s="1"/>
    </row>
    <row r="985" customFormat="false" ht="15" hidden="false" customHeight="false" outlineLevel="0" collapsed="false">
      <c r="A985" s="1"/>
      <c r="B985" s="15" t="s">
        <v>165</v>
      </c>
      <c r="C985" s="15" t="s">
        <v>52</v>
      </c>
      <c r="D985" s="15" t="s">
        <v>9</v>
      </c>
      <c r="E985" s="15" t="s">
        <v>166</v>
      </c>
      <c r="F985" s="15" t="s">
        <v>167</v>
      </c>
      <c r="G985" s="15" t="s">
        <v>168</v>
      </c>
      <c r="H985" s="15" t="s">
        <v>10</v>
      </c>
      <c r="I985" s="15" t="s">
        <v>169</v>
      </c>
      <c r="J985" s="15" t="s">
        <v>170</v>
      </c>
      <c r="K985" s="15"/>
      <c r="L985" s="1"/>
    </row>
    <row r="986" customFormat="false" ht="15" hidden="false" customHeight="false" outlineLevel="0" collapsed="false">
      <c r="A986" s="1"/>
      <c r="B986" s="30" t="s">
        <v>283</v>
      </c>
      <c r="C986" s="16" t="s">
        <v>284</v>
      </c>
      <c r="D986" s="16" t="s">
        <v>15</v>
      </c>
      <c r="E986" s="64" t="n">
        <v>1.396</v>
      </c>
      <c r="F986" s="25" t="s">
        <v>176</v>
      </c>
      <c r="G986" s="17" t="n">
        <v>5.88</v>
      </c>
      <c r="H986" s="17" t="n">
        <v>8.21</v>
      </c>
      <c r="I986" s="62" t="n">
        <f aca="false">IF(OR(E986="",G986=""),"",ROUND(E986*G986,2))</f>
        <v>8.21</v>
      </c>
      <c r="J986" s="25" t="str">
        <f aca="false">IF(OR(H986="",I986=""),"",IF(ABS(H986-I986)&lt;=0.02,"OK","≠"))</f>
        <v>OK</v>
      </c>
      <c r="K986" s="16"/>
      <c r="L986" s="1"/>
    </row>
    <row r="987" customFormat="false" ht="15" hidden="false" customHeight="false" outlineLevel="0" collapsed="false">
      <c r="A987" s="1"/>
      <c r="B987" s="32" t="s">
        <v>285</v>
      </c>
      <c r="C987" s="19" t="s">
        <v>286</v>
      </c>
      <c r="D987" s="19" t="s">
        <v>15</v>
      </c>
      <c r="E987" s="65" t="n">
        <v>0.9</v>
      </c>
      <c r="F987" s="27" t="s">
        <v>176</v>
      </c>
      <c r="G987" s="20" t="n">
        <v>11.68</v>
      </c>
      <c r="H987" s="20" t="n">
        <v>10.51</v>
      </c>
      <c r="I987" s="62" t="n">
        <f aca="false">IF(OR(E987="",G987=""),"",ROUND(E987*G987,2))</f>
        <v>10.51</v>
      </c>
      <c r="J987" s="25" t="str">
        <f aca="false">IF(OR(H987="",I987=""),"",IF(ABS(H987-I987)&lt;=0.02,"OK","≠"))</f>
        <v>OK</v>
      </c>
      <c r="K987" s="16"/>
      <c r="L987" s="1"/>
    </row>
    <row r="988" customFormat="false" ht="15" hidden="false" customHeight="false" outlineLevel="0" collapsed="false">
      <c r="A988" s="1"/>
      <c r="B988" s="30" t="s">
        <v>594</v>
      </c>
      <c r="C988" s="16" t="s">
        <v>595</v>
      </c>
      <c r="D988" s="16" t="s">
        <v>15</v>
      </c>
      <c r="E988" s="64" t="n">
        <v>1</v>
      </c>
      <c r="F988" s="25" t="s">
        <v>179</v>
      </c>
      <c r="G988" s="17" t="n">
        <v>6</v>
      </c>
      <c r="H988" s="17" t="n">
        <v>6</v>
      </c>
      <c r="I988" s="62" t="n">
        <f aca="false">IF(OR(E988="",G988=""),"",ROUND(E988*G988,2))</f>
        <v>6</v>
      </c>
      <c r="J988" s="25" t="str">
        <f aca="false">IF(OR(H988="",I988=""),"",IF(ABS(H988-I988)&lt;=0.02,"OK","≠"))</f>
        <v>OK</v>
      </c>
      <c r="K988" s="16"/>
      <c r="L988" s="1"/>
    </row>
    <row r="989" customFormat="false" ht="15" hidden="false" customHeight="false" outlineLevel="0" collapsed="false">
      <c r="A989" s="1"/>
      <c r="B989" s="1"/>
      <c r="C989" s="1"/>
      <c r="D989" s="1"/>
      <c r="E989" s="1"/>
      <c r="F989" s="1"/>
      <c r="G989" s="1"/>
      <c r="H989" s="1"/>
      <c r="I989" s="1"/>
      <c r="J989" s="1"/>
      <c r="K989" s="1"/>
      <c r="L989" s="1"/>
    </row>
    <row r="990" customFormat="false" ht="19.5" hidden="false" customHeight="true" outlineLevel="0" collapsed="false">
      <c r="A990" s="1"/>
      <c r="B990" s="63" t="s">
        <v>838</v>
      </c>
      <c r="C990" s="63"/>
      <c r="D990" s="63"/>
      <c r="E990" s="63"/>
      <c r="F990" s="63"/>
      <c r="G990" s="63"/>
      <c r="H990" s="63"/>
      <c r="I990" s="63"/>
      <c r="J990" s="63"/>
      <c r="K990" s="63"/>
      <c r="L990" s="1"/>
    </row>
    <row r="991" customFormat="false" ht="15" hidden="false" customHeight="false" outlineLevel="0" collapsed="false">
      <c r="A991" s="1"/>
      <c r="B991" s="50" t="s">
        <v>34</v>
      </c>
      <c r="C991" s="45" t="s">
        <v>36</v>
      </c>
      <c r="D991" s="45"/>
      <c r="E991" s="50" t="s">
        <v>157</v>
      </c>
      <c r="F991" s="50"/>
      <c r="G991" s="45" t="s">
        <v>839</v>
      </c>
      <c r="H991" s="45"/>
      <c r="I991" s="45"/>
      <c r="J991" s="45"/>
      <c r="K991" s="45"/>
      <c r="L991" s="1"/>
    </row>
    <row r="992" customFormat="false" ht="15" hidden="false" customHeight="false" outlineLevel="0" collapsed="false">
      <c r="A992" s="1"/>
      <c r="B992" s="50" t="s">
        <v>78</v>
      </c>
      <c r="C992" s="39" t="n">
        <v>46208</v>
      </c>
      <c r="D992" s="39"/>
      <c r="E992" s="50" t="s">
        <v>80</v>
      </c>
      <c r="F992" s="50"/>
      <c r="G992" s="45" t="s">
        <v>173</v>
      </c>
      <c r="H992" s="45"/>
      <c r="I992" s="45"/>
      <c r="J992" s="45"/>
      <c r="K992" s="45"/>
      <c r="L992" s="1"/>
    </row>
    <row r="993" customFormat="false" ht="15" hidden="false" customHeight="false" outlineLevel="0" collapsed="false">
      <c r="A993" s="1"/>
      <c r="B993" s="50" t="s">
        <v>158</v>
      </c>
      <c r="C993" s="55" t="n">
        <v>7</v>
      </c>
      <c r="D993" s="55"/>
      <c r="E993" s="50" t="s">
        <v>159</v>
      </c>
      <c r="F993" s="50"/>
      <c r="G993" s="56" t="n">
        <v>74.35</v>
      </c>
      <c r="H993" s="56"/>
      <c r="I993" s="56"/>
      <c r="J993" s="56"/>
      <c r="K993" s="56"/>
      <c r="L993" s="1"/>
    </row>
    <row r="994" customFormat="false" ht="15" hidden="false" customHeight="false" outlineLevel="0" collapsed="false">
      <c r="A994" s="1"/>
      <c r="B994" s="50" t="s">
        <v>160</v>
      </c>
      <c r="C994" s="55" t="n">
        <f aca="false">COUNT(H998:H1004)</f>
        <v>7</v>
      </c>
      <c r="D994" s="55"/>
      <c r="E994" s="50" t="s">
        <v>161</v>
      </c>
      <c r="F994" s="50"/>
      <c r="G994" s="56" t="n">
        <f aca="false">ROUND(SUM(H998:H1004),2)</f>
        <v>74.35</v>
      </c>
      <c r="H994" s="56"/>
      <c r="I994" s="56"/>
      <c r="J994" s="56"/>
      <c r="K994" s="56"/>
      <c r="L994" s="1"/>
    </row>
    <row r="995" customFormat="false" ht="15" hidden="false" customHeight="false" outlineLevel="0" collapsed="false">
      <c r="A995" s="1"/>
      <c r="B995" s="50" t="s">
        <v>162</v>
      </c>
      <c r="C995" s="55" t="n">
        <f aca="false">ROUND(SUMPRODUCT(((F998:F1004="KG")+(F998:F1004="G"))*1)+SUMPRODUCT((F998:F1004&lt;&gt;"KG")*(F998:F1004&lt;&gt;"G")*E998:E1004),0)</f>
        <v>7</v>
      </c>
      <c r="D995" s="55"/>
      <c r="E995" s="50" t="s">
        <v>163</v>
      </c>
      <c r="F995" s="50"/>
      <c r="G995" s="56" t="n">
        <f aca="false">IF(G993="","",ROUND(G993-G994,2))</f>
        <v>0</v>
      </c>
      <c r="H995" s="56"/>
      <c r="I995" s="56"/>
      <c r="J995" s="56"/>
      <c r="K995" s="56"/>
      <c r="L995" s="1"/>
    </row>
    <row r="996" customFormat="false" ht="15" hidden="false" customHeight="false" outlineLevel="0" collapsed="false">
      <c r="A996" s="1"/>
      <c r="B996" s="50" t="s">
        <v>84</v>
      </c>
      <c r="C996" s="57" t="str">
        <f aca="false">IF(C994=0,"— aguardando lançamento",IF(G993="","SEM TOTAL OFICIAL — informe o total do cupom",IF(AND(OR(C993="",C993=C994,C993=C995),ABS(G995)&lt;=0.05),"FECHADO — itens e valor conferem",IF(ABS(G995)&lt;=0.05,"REVISAR — qtd. de itens não bate","REVISAR — diferença de R$ "&amp;ABS(G995)))))</f>
        <v>FECHADO — itens e valor conferem</v>
      </c>
      <c r="D996" s="57"/>
      <c r="E996" s="57"/>
      <c r="F996" s="57"/>
      <c r="G996" s="50" t="s">
        <v>164</v>
      </c>
      <c r="H996" s="30"/>
      <c r="I996" s="30"/>
      <c r="J996" s="30"/>
      <c r="K996" s="30"/>
      <c r="L996" s="1"/>
    </row>
    <row r="997" customFormat="false" ht="15" hidden="false" customHeight="false" outlineLevel="0" collapsed="false">
      <c r="A997" s="1"/>
      <c r="B997" s="15" t="s">
        <v>165</v>
      </c>
      <c r="C997" s="15" t="s">
        <v>52</v>
      </c>
      <c r="D997" s="15" t="s">
        <v>9</v>
      </c>
      <c r="E997" s="15" t="s">
        <v>166</v>
      </c>
      <c r="F997" s="15" t="s">
        <v>167</v>
      </c>
      <c r="G997" s="15" t="s">
        <v>168</v>
      </c>
      <c r="H997" s="15" t="s">
        <v>10</v>
      </c>
      <c r="I997" s="15" t="s">
        <v>169</v>
      </c>
      <c r="J997" s="15" t="s">
        <v>170</v>
      </c>
      <c r="K997" s="15"/>
      <c r="L997" s="1"/>
    </row>
    <row r="998" customFormat="false" ht="15" hidden="false" customHeight="false" outlineLevel="0" collapsed="false">
      <c r="A998" s="1"/>
      <c r="B998" s="30" t="s">
        <v>840</v>
      </c>
      <c r="C998" s="16" t="s">
        <v>446</v>
      </c>
      <c r="D998" s="16" t="s">
        <v>12</v>
      </c>
      <c r="E998" s="64" t="n">
        <v>1</v>
      </c>
      <c r="F998" s="25" t="s">
        <v>179</v>
      </c>
      <c r="G998" s="17" t="n">
        <v>10.5</v>
      </c>
      <c r="H998" s="17" t="n">
        <v>10.5</v>
      </c>
      <c r="I998" s="62" t="n">
        <f aca="false">IF(OR(E998="",G998=""),"",ROUND(E998*G998,2))</f>
        <v>10.5</v>
      </c>
      <c r="J998" s="25" t="str">
        <f aca="false">IF(OR(H998="",I998=""),"",IF(ABS(H998-I998)&lt;=0.02,"OK","≠"))</f>
        <v>OK</v>
      </c>
      <c r="K998" s="16"/>
      <c r="L998" s="1"/>
    </row>
    <row r="999" customFormat="false" ht="15" hidden="false" customHeight="false" outlineLevel="0" collapsed="false">
      <c r="A999" s="1"/>
      <c r="B999" s="32" t="s">
        <v>840</v>
      </c>
      <c r="C999" s="19" t="s">
        <v>446</v>
      </c>
      <c r="D999" s="19" t="s">
        <v>12</v>
      </c>
      <c r="E999" s="65" t="n">
        <v>1</v>
      </c>
      <c r="F999" s="27" t="s">
        <v>179</v>
      </c>
      <c r="G999" s="20" t="n">
        <v>10.5</v>
      </c>
      <c r="H999" s="20" t="n">
        <v>10.5</v>
      </c>
      <c r="I999" s="62" t="n">
        <f aca="false">IF(OR(E999="",G999=""),"",ROUND(E999*G999,2))</f>
        <v>10.5</v>
      </c>
      <c r="J999" s="25" t="str">
        <f aca="false">IF(OR(H999="",I999=""),"",IF(ABS(H999-I999)&lt;=0.02,"OK","≠"))</f>
        <v>OK</v>
      </c>
      <c r="K999" s="16"/>
      <c r="L999" s="1"/>
    </row>
    <row r="1000" customFormat="false" ht="15" hidden="false" customHeight="false" outlineLevel="0" collapsed="false">
      <c r="A1000" s="1"/>
      <c r="B1000" s="30" t="s">
        <v>841</v>
      </c>
      <c r="C1000" s="16" t="s">
        <v>842</v>
      </c>
      <c r="D1000" s="16" t="s">
        <v>12</v>
      </c>
      <c r="E1000" s="64" t="n">
        <v>1</v>
      </c>
      <c r="F1000" s="25" t="s">
        <v>179</v>
      </c>
      <c r="G1000" s="17" t="n">
        <v>7.9</v>
      </c>
      <c r="H1000" s="17" t="n">
        <v>7.9</v>
      </c>
      <c r="I1000" s="62" t="n">
        <f aca="false">IF(OR(E1000="",G1000=""),"",ROUND(E1000*G1000,2))</f>
        <v>7.9</v>
      </c>
      <c r="J1000" s="25" t="str">
        <f aca="false">IF(OR(H1000="",I1000=""),"",IF(ABS(H1000-I1000)&lt;=0.02,"OK","≠"))</f>
        <v>OK</v>
      </c>
      <c r="K1000" s="16"/>
      <c r="L1000" s="1"/>
    </row>
    <row r="1001" customFormat="false" ht="15" hidden="false" customHeight="false" outlineLevel="0" collapsed="false">
      <c r="A1001" s="1"/>
      <c r="B1001" s="32" t="s">
        <v>208</v>
      </c>
      <c r="C1001" s="19" t="s">
        <v>323</v>
      </c>
      <c r="D1001" s="19" t="s">
        <v>12</v>
      </c>
      <c r="E1001" s="65" t="n">
        <v>0.382</v>
      </c>
      <c r="F1001" s="27" t="s">
        <v>176</v>
      </c>
      <c r="G1001" s="20" t="n">
        <v>34</v>
      </c>
      <c r="H1001" s="20" t="n">
        <v>12.99</v>
      </c>
      <c r="I1001" s="62" t="n">
        <f aca="false">IF(OR(E1001="",G1001=""),"",ROUND(E1001*G1001,2))</f>
        <v>12.99</v>
      </c>
      <c r="J1001" s="25" t="str">
        <f aca="false">IF(OR(H1001="",I1001=""),"",IF(ABS(H1001-I1001)&lt;=0.02,"OK","≠"))</f>
        <v>OK</v>
      </c>
      <c r="K1001" s="16"/>
      <c r="L1001" s="1"/>
    </row>
    <row r="1002" customFormat="false" ht="15" hidden="false" customHeight="false" outlineLevel="0" collapsed="false">
      <c r="A1002" s="1"/>
      <c r="B1002" s="30" t="s">
        <v>843</v>
      </c>
      <c r="C1002" s="16" t="s">
        <v>844</v>
      </c>
      <c r="D1002" s="16" t="s">
        <v>14</v>
      </c>
      <c r="E1002" s="64" t="n">
        <v>0.238</v>
      </c>
      <c r="F1002" s="25" t="s">
        <v>176</v>
      </c>
      <c r="G1002" s="17" t="n">
        <v>99</v>
      </c>
      <c r="H1002" s="17" t="n">
        <v>23.56</v>
      </c>
      <c r="I1002" s="62" t="n">
        <f aca="false">IF(OR(E1002="",G1002=""),"",ROUND(E1002*G1002,2))</f>
        <v>23.56</v>
      </c>
      <c r="J1002" s="25" t="str">
        <f aca="false">IF(OR(H1002="",I1002=""),"",IF(ABS(H1002-I1002)&lt;=0.02,"OK","≠"))</f>
        <v>OK</v>
      </c>
      <c r="K1002" s="16"/>
      <c r="L1002" s="1"/>
    </row>
    <row r="1003" customFormat="false" ht="15" hidden="false" customHeight="false" outlineLevel="0" collapsed="false">
      <c r="A1003" s="1"/>
      <c r="B1003" s="32" t="s">
        <v>418</v>
      </c>
      <c r="C1003" s="19" t="s">
        <v>419</v>
      </c>
      <c r="D1003" s="19" t="s">
        <v>19</v>
      </c>
      <c r="E1003" s="65" t="n">
        <v>1</v>
      </c>
      <c r="F1003" s="27" t="s">
        <v>179</v>
      </c>
      <c r="G1003" s="20" t="n">
        <v>3.4</v>
      </c>
      <c r="H1003" s="20" t="n">
        <v>3.4</v>
      </c>
      <c r="I1003" s="62" t="n">
        <f aca="false">IF(OR(E1003="",G1003=""),"",ROUND(E1003*G1003,2))</f>
        <v>3.4</v>
      </c>
      <c r="J1003" s="25" t="str">
        <f aca="false">IF(OR(H1003="",I1003=""),"",IF(ABS(H1003-I1003)&lt;=0.02,"OK","≠"))</f>
        <v>OK</v>
      </c>
      <c r="K1003" s="16"/>
      <c r="L1003" s="1"/>
    </row>
    <row r="1004" customFormat="false" ht="15" hidden="false" customHeight="false" outlineLevel="0" collapsed="false">
      <c r="A1004" s="1"/>
      <c r="B1004" s="30" t="s">
        <v>212</v>
      </c>
      <c r="C1004" s="16" t="s">
        <v>647</v>
      </c>
      <c r="D1004" s="16" t="s">
        <v>13</v>
      </c>
      <c r="E1004" s="64" t="n">
        <v>1</v>
      </c>
      <c r="F1004" s="25" t="s">
        <v>179</v>
      </c>
      <c r="G1004" s="17" t="n">
        <v>5.5</v>
      </c>
      <c r="H1004" s="17" t="n">
        <v>5.5</v>
      </c>
      <c r="I1004" s="62" t="n">
        <f aca="false">IF(OR(E1004="",G1004=""),"",ROUND(E1004*G1004,2))</f>
        <v>5.5</v>
      </c>
      <c r="J1004" s="25" t="str">
        <f aca="false">IF(OR(H1004="",I1004=""),"",IF(ABS(H1004-I1004)&lt;=0.02,"OK","≠"))</f>
        <v>OK</v>
      </c>
      <c r="K1004" s="16"/>
      <c r="L1004" s="1"/>
    </row>
    <row r="1005" customFormat="false" ht="15" hidden="false" customHeight="false" outlineLevel="0" collapsed="false">
      <c r="A1005" s="1"/>
      <c r="B1005" s="1"/>
      <c r="C1005" s="1"/>
      <c r="D1005" s="1"/>
      <c r="E1005" s="1"/>
      <c r="F1005" s="1"/>
      <c r="G1005" s="1"/>
      <c r="H1005" s="1"/>
      <c r="I1005" s="1"/>
      <c r="J1005" s="1"/>
      <c r="K1005" s="1"/>
      <c r="L1005" s="1"/>
    </row>
    <row r="1006" customFormat="false" ht="19.5" hidden="false" customHeight="true" outlineLevel="0" collapsed="false">
      <c r="A1006" s="1"/>
      <c r="B1006" s="63" t="s">
        <v>845</v>
      </c>
      <c r="C1006" s="63"/>
      <c r="D1006" s="63"/>
      <c r="E1006" s="63"/>
      <c r="F1006" s="63"/>
      <c r="G1006" s="63"/>
      <c r="H1006" s="63"/>
      <c r="I1006" s="63"/>
      <c r="J1006" s="63"/>
      <c r="K1006" s="63"/>
      <c r="L1006" s="1"/>
    </row>
    <row r="1007" customFormat="false" ht="15" hidden="false" customHeight="false" outlineLevel="0" collapsed="false">
      <c r="A1007" s="1"/>
      <c r="B1007" s="50" t="s">
        <v>34</v>
      </c>
      <c r="C1007" s="45" t="s">
        <v>38</v>
      </c>
      <c r="D1007" s="45"/>
      <c r="E1007" s="50" t="s">
        <v>157</v>
      </c>
      <c r="F1007" s="50"/>
      <c r="G1007" s="45" t="s">
        <v>846</v>
      </c>
      <c r="H1007" s="45"/>
      <c r="I1007" s="45"/>
      <c r="J1007" s="45"/>
      <c r="K1007" s="45"/>
      <c r="L1007" s="1"/>
    </row>
    <row r="1008" customFormat="false" ht="15" hidden="false" customHeight="false" outlineLevel="0" collapsed="false">
      <c r="A1008" s="1"/>
      <c r="B1008" s="50" t="s">
        <v>78</v>
      </c>
      <c r="C1008" s="39" t="n">
        <v>46209</v>
      </c>
      <c r="D1008" s="39"/>
      <c r="E1008" s="50" t="s">
        <v>80</v>
      </c>
      <c r="F1008" s="50"/>
      <c r="G1008" s="45" t="s">
        <v>173</v>
      </c>
      <c r="H1008" s="45"/>
      <c r="I1008" s="45"/>
      <c r="J1008" s="45"/>
      <c r="K1008" s="45"/>
      <c r="L1008" s="1"/>
    </row>
    <row r="1009" customFormat="false" ht="15" hidden="false" customHeight="false" outlineLevel="0" collapsed="false">
      <c r="A1009" s="1"/>
      <c r="B1009" s="50" t="s">
        <v>158</v>
      </c>
      <c r="C1009" s="55" t="n">
        <v>2</v>
      </c>
      <c r="D1009" s="55"/>
      <c r="E1009" s="50" t="s">
        <v>159</v>
      </c>
      <c r="F1009" s="50"/>
      <c r="G1009" s="56" t="n">
        <v>10.08</v>
      </c>
      <c r="H1009" s="56"/>
      <c r="I1009" s="56"/>
      <c r="J1009" s="56"/>
      <c r="K1009" s="56"/>
      <c r="L1009" s="1"/>
    </row>
    <row r="1010" customFormat="false" ht="15" hidden="false" customHeight="false" outlineLevel="0" collapsed="false">
      <c r="A1010" s="1"/>
      <c r="B1010" s="50" t="s">
        <v>160</v>
      </c>
      <c r="C1010" s="55" t="n">
        <f aca="false">COUNT(H1014:H1015)</f>
        <v>2</v>
      </c>
      <c r="D1010" s="55"/>
      <c r="E1010" s="50" t="s">
        <v>161</v>
      </c>
      <c r="F1010" s="50"/>
      <c r="G1010" s="56" t="n">
        <f aca="false">ROUND(SUM(H1014:H1015),2)</f>
        <v>10.08</v>
      </c>
      <c r="H1010" s="56"/>
      <c r="I1010" s="56"/>
      <c r="J1010" s="56"/>
      <c r="K1010" s="56"/>
      <c r="L1010" s="1"/>
    </row>
    <row r="1011" customFormat="false" ht="15" hidden="false" customHeight="false" outlineLevel="0" collapsed="false">
      <c r="A1011" s="1"/>
      <c r="B1011" s="50" t="s">
        <v>162</v>
      </c>
      <c r="C1011" s="55" t="n">
        <f aca="false">ROUND(SUMPRODUCT(((F1014:F1015="KG")+(F1014:F1015="G"))*1)+SUMPRODUCT((F1014:F1015&lt;&gt;"KG")*(F1014:F1015&lt;&gt;"G")*E1014:E1015),0)</f>
        <v>2</v>
      </c>
      <c r="D1011" s="55"/>
      <c r="E1011" s="50" t="s">
        <v>163</v>
      </c>
      <c r="F1011" s="50"/>
      <c r="G1011" s="56" t="n">
        <f aca="false">IF(G1009="","",ROUND(G1009-G1010,2))</f>
        <v>0</v>
      </c>
      <c r="H1011" s="56"/>
      <c r="I1011" s="56"/>
      <c r="J1011" s="56"/>
      <c r="K1011" s="56"/>
      <c r="L1011" s="1"/>
    </row>
    <row r="1012" customFormat="false" ht="15" hidden="false" customHeight="false" outlineLevel="0" collapsed="false">
      <c r="A1012" s="1"/>
      <c r="B1012" s="50" t="s">
        <v>84</v>
      </c>
      <c r="C1012" s="57" t="str">
        <f aca="false">IF(C1010=0,"— aguardando lançamento",IF(G1009="","SEM TOTAL OFICIAL — informe o total do cupom",IF(AND(OR(C1009="",C1009=C1010,C1009=C1011),ABS(G1011)&lt;=0.05),"FECHADO — itens e valor conferem",IF(ABS(G1011)&lt;=0.05,"REVISAR — qtd. de itens não bate","REVISAR — diferença de R$ "&amp;ABS(G1011)))))</f>
        <v>FECHADO — itens e valor conferem</v>
      </c>
      <c r="D1012" s="57"/>
      <c r="E1012" s="57"/>
      <c r="F1012" s="57"/>
      <c r="G1012" s="50" t="s">
        <v>164</v>
      </c>
      <c r="H1012" s="30"/>
      <c r="I1012" s="30"/>
      <c r="J1012" s="30"/>
      <c r="K1012" s="30"/>
      <c r="L1012" s="1"/>
    </row>
    <row r="1013" customFormat="false" ht="15" hidden="false" customHeight="false" outlineLevel="0" collapsed="false">
      <c r="A1013" s="1"/>
      <c r="B1013" s="15" t="s">
        <v>165</v>
      </c>
      <c r="C1013" s="15" t="s">
        <v>52</v>
      </c>
      <c r="D1013" s="15" t="s">
        <v>9</v>
      </c>
      <c r="E1013" s="15" t="s">
        <v>166</v>
      </c>
      <c r="F1013" s="15" t="s">
        <v>167</v>
      </c>
      <c r="G1013" s="15" t="s">
        <v>168</v>
      </c>
      <c r="H1013" s="15" t="s">
        <v>10</v>
      </c>
      <c r="I1013" s="15" t="s">
        <v>169</v>
      </c>
      <c r="J1013" s="15" t="s">
        <v>170</v>
      </c>
      <c r="K1013" s="15"/>
      <c r="L1013" s="1"/>
    </row>
    <row r="1014" customFormat="false" ht="15" hidden="false" customHeight="false" outlineLevel="0" collapsed="false">
      <c r="A1014" s="1"/>
      <c r="B1014" s="30" t="s">
        <v>474</v>
      </c>
      <c r="C1014" s="16" t="s">
        <v>475</v>
      </c>
      <c r="D1014" s="16" t="s">
        <v>15</v>
      </c>
      <c r="E1014" s="64" t="n">
        <v>0.886</v>
      </c>
      <c r="F1014" s="25" t="s">
        <v>176</v>
      </c>
      <c r="G1014" s="17" t="n">
        <v>2.88</v>
      </c>
      <c r="H1014" s="17" t="n">
        <v>2.55</v>
      </c>
      <c r="I1014" s="62" t="n">
        <f aca="false">IF(OR(E1014="",G1014=""),"",ROUND(E1014*G1014,2))</f>
        <v>2.55</v>
      </c>
      <c r="J1014" s="25" t="str">
        <f aca="false">IF(OR(H1014="",I1014=""),"",IF(ABS(H1014-I1014)&lt;=0.02,"OK","≠"))</f>
        <v>OK</v>
      </c>
      <c r="K1014" s="16"/>
      <c r="L1014" s="1"/>
    </row>
    <row r="1015" customFormat="false" ht="15" hidden="false" customHeight="false" outlineLevel="0" collapsed="false">
      <c r="A1015" s="1"/>
      <c r="B1015" s="32" t="s">
        <v>283</v>
      </c>
      <c r="C1015" s="19" t="s">
        <v>284</v>
      </c>
      <c r="D1015" s="19" t="s">
        <v>15</v>
      </c>
      <c r="E1015" s="65" t="n">
        <v>1.28</v>
      </c>
      <c r="F1015" s="27" t="s">
        <v>176</v>
      </c>
      <c r="G1015" s="20" t="n">
        <v>5.88</v>
      </c>
      <c r="H1015" s="20" t="n">
        <v>7.53</v>
      </c>
      <c r="I1015" s="62" t="n">
        <f aca="false">IF(OR(E1015="",G1015=""),"",ROUND(E1015*G1015,2))</f>
        <v>7.53</v>
      </c>
      <c r="J1015" s="25" t="str">
        <f aca="false">IF(OR(H1015="",I1015=""),"",IF(ABS(H1015-I1015)&lt;=0.02,"OK","≠"))</f>
        <v>OK</v>
      </c>
      <c r="K1015" s="16"/>
      <c r="L1015" s="1"/>
    </row>
    <row r="1016" customFormat="false" ht="15" hidden="false" customHeight="false" outlineLevel="0" collapsed="false">
      <c r="A1016" s="1"/>
      <c r="B1016" s="1"/>
      <c r="C1016" s="1"/>
      <c r="D1016" s="1"/>
      <c r="E1016" s="1"/>
      <c r="F1016" s="1"/>
      <c r="G1016" s="1"/>
      <c r="H1016" s="1"/>
      <c r="I1016" s="1"/>
      <c r="J1016" s="1"/>
      <c r="K1016" s="1"/>
      <c r="L1016" s="1"/>
    </row>
    <row r="1017" customFormat="false" ht="19.5" hidden="false" customHeight="true" outlineLevel="0" collapsed="false">
      <c r="A1017" s="1"/>
      <c r="B1017" s="63" t="s">
        <v>847</v>
      </c>
      <c r="C1017" s="63"/>
      <c r="D1017" s="63"/>
      <c r="E1017" s="63"/>
      <c r="F1017" s="63"/>
      <c r="G1017" s="63"/>
      <c r="H1017" s="63"/>
      <c r="I1017" s="63"/>
      <c r="J1017" s="63"/>
      <c r="K1017" s="63"/>
      <c r="L1017" s="1"/>
    </row>
    <row r="1018" customFormat="false" ht="15" hidden="false" customHeight="false" outlineLevel="0" collapsed="false">
      <c r="A1018" s="1"/>
      <c r="B1018" s="50" t="s">
        <v>34</v>
      </c>
      <c r="C1018" s="45" t="s">
        <v>37</v>
      </c>
      <c r="D1018" s="45"/>
      <c r="E1018" s="50" t="s">
        <v>157</v>
      </c>
      <c r="F1018" s="50"/>
      <c r="G1018" s="45" t="s">
        <v>848</v>
      </c>
      <c r="H1018" s="45"/>
      <c r="I1018" s="45"/>
      <c r="J1018" s="45"/>
      <c r="K1018" s="45"/>
      <c r="L1018" s="1"/>
    </row>
    <row r="1019" customFormat="false" ht="15" hidden="false" customHeight="false" outlineLevel="0" collapsed="false">
      <c r="A1019" s="1"/>
      <c r="B1019" s="50" t="s">
        <v>78</v>
      </c>
      <c r="C1019" s="39" t="n">
        <v>46209</v>
      </c>
      <c r="D1019" s="39"/>
      <c r="E1019" s="50" t="s">
        <v>80</v>
      </c>
      <c r="F1019" s="50"/>
      <c r="G1019" s="45" t="s">
        <v>173</v>
      </c>
      <c r="H1019" s="45"/>
      <c r="I1019" s="45"/>
      <c r="J1019" s="45"/>
      <c r="K1019" s="45"/>
      <c r="L1019" s="1"/>
    </row>
    <row r="1020" customFormat="false" ht="15" hidden="false" customHeight="false" outlineLevel="0" collapsed="false">
      <c r="A1020" s="1"/>
      <c r="B1020" s="50" t="s">
        <v>158</v>
      </c>
      <c r="C1020" s="55" t="n">
        <v>3</v>
      </c>
      <c r="D1020" s="55"/>
      <c r="E1020" s="50" t="s">
        <v>159</v>
      </c>
      <c r="F1020" s="50"/>
      <c r="G1020" s="56" t="n">
        <v>35</v>
      </c>
      <c r="H1020" s="56"/>
      <c r="I1020" s="56"/>
      <c r="J1020" s="56"/>
      <c r="K1020" s="56"/>
      <c r="L1020" s="1"/>
    </row>
    <row r="1021" customFormat="false" ht="15" hidden="false" customHeight="false" outlineLevel="0" collapsed="false">
      <c r="A1021" s="1"/>
      <c r="B1021" s="50" t="s">
        <v>160</v>
      </c>
      <c r="C1021" s="55" t="n">
        <f aca="false">COUNT(H1025:H1027)</f>
        <v>3</v>
      </c>
      <c r="D1021" s="55"/>
      <c r="E1021" s="50" t="s">
        <v>161</v>
      </c>
      <c r="F1021" s="50"/>
      <c r="G1021" s="56" t="n">
        <f aca="false">ROUND(SUM(H1025:H1027),2)</f>
        <v>35</v>
      </c>
      <c r="H1021" s="56"/>
      <c r="I1021" s="56"/>
      <c r="J1021" s="56"/>
      <c r="K1021" s="56"/>
      <c r="L1021" s="1"/>
    </row>
    <row r="1022" customFormat="false" ht="15" hidden="false" customHeight="false" outlineLevel="0" collapsed="false">
      <c r="A1022" s="1"/>
      <c r="B1022" s="50" t="s">
        <v>162</v>
      </c>
      <c r="C1022" s="55" t="n">
        <f aca="false">ROUND(SUMPRODUCT(((F1025:F1027="KG")+(F1025:F1027="G"))*1)+SUMPRODUCT((F1025:F1027&lt;&gt;"KG")*(F1025:F1027&lt;&gt;"G")*E1025:E1027),0)</f>
        <v>5</v>
      </c>
      <c r="D1022" s="55"/>
      <c r="E1022" s="50" t="s">
        <v>163</v>
      </c>
      <c r="F1022" s="50"/>
      <c r="G1022" s="56" t="n">
        <f aca="false">IF(G1020="","",ROUND(G1020-G1021,2))</f>
        <v>0</v>
      </c>
      <c r="H1022" s="56"/>
      <c r="I1022" s="56"/>
      <c r="J1022" s="56"/>
      <c r="K1022" s="56"/>
      <c r="L1022" s="1"/>
    </row>
    <row r="1023" customFormat="false" ht="15" hidden="false" customHeight="false" outlineLevel="0" collapsed="false">
      <c r="A1023" s="1"/>
      <c r="B1023" s="50" t="s">
        <v>84</v>
      </c>
      <c r="C1023" s="57" t="str">
        <f aca="false">IF(C1021=0,"— aguardando lançamento",IF(G1020="","SEM TOTAL OFICIAL — informe o total do cupom",IF(AND(OR(C1020="",C1020=C1021,C1020=C1022),ABS(G1022)&lt;=0.05),"FECHADO — itens e valor conferem",IF(ABS(G1022)&lt;=0.05,"REVISAR — qtd. de itens não bate","REVISAR — diferença de R$ "&amp;ABS(G1022)))))</f>
        <v>FECHADO — itens e valor conferem</v>
      </c>
      <c r="D1023" s="57"/>
      <c r="E1023" s="57"/>
      <c r="F1023" s="57"/>
      <c r="G1023" s="50" t="s">
        <v>164</v>
      </c>
      <c r="H1023" s="30"/>
      <c r="I1023" s="30"/>
      <c r="J1023" s="30"/>
      <c r="K1023" s="30"/>
      <c r="L1023" s="1"/>
    </row>
    <row r="1024" customFormat="false" ht="15" hidden="false" customHeight="false" outlineLevel="0" collapsed="false">
      <c r="A1024" s="1"/>
      <c r="B1024" s="15" t="s">
        <v>165</v>
      </c>
      <c r="C1024" s="15" t="s">
        <v>52</v>
      </c>
      <c r="D1024" s="15" t="s">
        <v>9</v>
      </c>
      <c r="E1024" s="15" t="s">
        <v>166</v>
      </c>
      <c r="F1024" s="15" t="s">
        <v>167</v>
      </c>
      <c r="G1024" s="15" t="s">
        <v>168</v>
      </c>
      <c r="H1024" s="15" t="s">
        <v>10</v>
      </c>
      <c r="I1024" s="15" t="s">
        <v>169</v>
      </c>
      <c r="J1024" s="15" t="s">
        <v>170</v>
      </c>
      <c r="K1024" s="15"/>
      <c r="L1024" s="1"/>
    </row>
    <row r="1025" customFormat="false" ht="15" hidden="false" customHeight="false" outlineLevel="0" collapsed="false">
      <c r="A1025" s="1"/>
      <c r="B1025" s="30" t="s">
        <v>458</v>
      </c>
      <c r="C1025" s="16" t="s">
        <v>740</v>
      </c>
      <c r="D1025" s="16" t="s">
        <v>14</v>
      </c>
      <c r="E1025" s="64" t="n">
        <v>0.325</v>
      </c>
      <c r="F1025" s="25" t="s">
        <v>176</v>
      </c>
      <c r="G1025" s="17" t="n">
        <v>17.9</v>
      </c>
      <c r="H1025" s="17" t="n">
        <v>5.82</v>
      </c>
      <c r="I1025" s="62" t="n">
        <f aca="false">IF(OR(E1025="",G1025=""),"",ROUND(E1025*G1025,2))</f>
        <v>5.82</v>
      </c>
      <c r="J1025" s="25" t="str">
        <f aca="false">IF(OR(H1025="",I1025=""),"",IF(ABS(H1025-I1025)&lt;=0.02,"OK","≠"))</f>
        <v>OK</v>
      </c>
      <c r="K1025" s="16"/>
      <c r="L1025" s="1"/>
    </row>
    <row r="1026" customFormat="false" ht="15" hidden="false" customHeight="false" outlineLevel="0" collapsed="false">
      <c r="A1026" s="1"/>
      <c r="B1026" s="32" t="s">
        <v>849</v>
      </c>
      <c r="C1026" s="19" t="s">
        <v>850</v>
      </c>
      <c r="D1026" s="19" t="s">
        <v>14</v>
      </c>
      <c r="E1026" s="65" t="n">
        <v>2</v>
      </c>
      <c r="F1026" s="27" t="s">
        <v>179</v>
      </c>
      <c r="G1026" s="20" t="n">
        <v>7.9</v>
      </c>
      <c r="H1026" s="20" t="n">
        <v>15.8</v>
      </c>
      <c r="I1026" s="62" t="n">
        <f aca="false">IF(OR(E1026="",G1026=""),"",ROUND(E1026*G1026,2))</f>
        <v>15.8</v>
      </c>
      <c r="J1026" s="25" t="str">
        <f aca="false">IF(OR(H1026="",I1026=""),"",IF(ABS(H1026-I1026)&lt;=0.02,"OK","≠"))</f>
        <v>OK</v>
      </c>
      <c r="K1026" s="16"/>
      <c r="L1026" s="1"/>
    </row>
    <row r="1027" customFormat="false" ht="15" hidden="false" customHeight="false" outlineLevel="0" collapsed="false">
      <c r="A1027" s="1"/>
      <c r="B1027" s="30" t="s">
        <v>230</v>
      </c>
      <c r="C1027" s="16" t="s">
        <v>760</v>
      </c>
      <c r="D1027" s="16" t="s">
        <v>13</v>
      </c>
      <c r="E1027" s="64" t="n">
        <v>2</v>
      </c>
      <c r="F1027" s="25" t="s">
        <v>179</v>
      </c>
      <c r="G1027" s="17" t="n">
        <v>6.69</v>
      </c>
      <c r="H1027" s="17" t="n">
        <v>13.38</v>
      </c>
      <c r="I1027" s="62" t="n">
        <f aca="false">IF(OR(E1027="",G1027=""),"",ROUND(E1027*G1027,2))</f>
        <v>13.38</v>
      </c>
      <c r="J1027" s="25" t="str">
        <f aca="false">IF(OR(H1027="",I1027=""),"",IF(ABS(H1027-I1027)&lt;=0.02,"OK","≠"))</f>
        <v>OK</v>
      </c>
      <c r="K1027" s="16"/>
      <c r="L1027" s="1"/>
    </row>
    <row r="1028" customFormat="false" ht="15" hidden="false" customHeight="false" outlineLevel="0" collapsed="false">
      <c r="A1028" s="1"/>
      <c r="B1028" s="1"/>
      <c r="C1028" s="1"/>
      <c r="D1028" s="1"/>
      <c r="E1028" s="1"/>
      <c r="F1028" s="1"/>
      <c r="G1028" s="1"/>
      <c r="H1028" s="1"/>
      <c r="I1028" s="1"/>
      <c r="J1028" s="1"/>
      <c r="K1028" s="1"/>
      <c r="L1028" s="1"/>
    </row>
    <row r="1029" customFormat="false" ht="19.5" hidden="false" customHeight="true" outlineLevel="0" collapsed="false">
      <c r="A1029" s="1"/>
      <c r="B1029" s="63" t="s">
        <v>851</v>
      </c>
      <c r="C1029" s="63"/>
      <c r="D1029" s="63"/>
      <c r="E1029" s="63"/>
      <c r="F1029" s="63"/>
      <c r="G1029" s="63"/>
      <c r="H1029" s="63"/>
      <c r="I1029" s="63"/>
      <c r="J1029" s="63"/>
      <c r="K1029" s="63"/>
      <c r="L1029" s="1"/>
    </row>
    <row r="1030" customFormat="false" ht="15" hidden="false" customHeight="false" outlineLevel="0" collapsed="false">
      <c r="A1030" s="1"/>
      <c r="B1030" s="50" t="s">
        <v>34</v>
      </c>
      <c r="C1030" s="45" t="s">
        <v>36</v>
      </c>
      <c r="D1030" s="45"/>
      <c r="E1030" s="50" t="s">
        <v>157</v>
      </c>
      <c r="F1030" s="50"/>
      <c r="G1030" s="45" t="s">
        <v>852</v>
      </c>
      <c r="H1030" s="45"/>
      <c r="I1030" s="45"/>
      <c r="J1030" s="45"/>
      <c r="K1030" s="45"/>
      <c r="L1030" s="1"/>
    </row>
    <row r="1031" customFormat="false" ht="15" hidden="false" customHeight="false" outlineLevel="0" collapsed="false">
      <c r="A1031" s="1"/>
      <c r="B1031" s="50" t="s">
        <v>78</v>
      </c>
      <c r="C1031" s="39" t="n">
        <v>46210</v>
      </c>
      <c r="D1031" s="39"/>
      <c r="E1031" s="50" t="s">
        <v>80</v>
      </c>
      <c r="F1031" s="50"/>
      <c r="G1031" s="45" t="s">
        <v>173</v>
      </c>
      <c r="H1031" s="45"/>
      <c r="I1031" s="45"/>
      <c r="J1031" s="45"/>
      <c r="K1031" s="45"/>
      <c r="L1031" s="1"/>
    </row>
    <row r="1032" customFormat="false" ht="15" hidden="false" customHeight="false" outlineLevel="0" collapsed="false">
      <c r="A1032" s="1"/>
      <c r="B1032" s="50" t="s">
        <v>158</v>
      </c>
      <c r="C1032" s="55" t="n">
        <v>38</v>
      </c>
      <c r="D1032" s="55"/>
      <c r="E1032" s="50" t="s">
        <v>159</v>
      </c>
      <c r="F1032" s="50"/>
      <c r="G1032" s="56" t="n">
        <v>192.25</v>
      </c>
      <c r="H1032" s="56"/>
      <c r="I1032" s="56"/>
      <c r="J1032" s="56"/>
      <c r="K1032" s="56"/>
      <c r="L1032" s="1"/>
    </row>
    <row r="1033" customFormat="false" ht="15" hidden="false" customHeight="false" outlineLevel="0" collapsed="false">
      <c r="A1033" s="1"/>
      <c r="B1033" s="50" t="s">
        <v>160</v>
      </c>
      <c r="C1033" s="55" t="n">
        <f aca="false">COUNT(H1037:H1056)</f>
        <v>20</v>
      </c>
      <c r="D1033" s="55"/>
      <c r="E1033" s="50" t="s">
        <v>161</v>
      </c>
      <c r="F1033" s="50"/>
      <c r="G1033" s="56" t="n">
        <f aca="false">ROUND(SUM(H1037:H1056),2)</f>
        <v>192.25</v>
      </c>
      <c r="H1033" s="56"/>
      <c r="I1033" s="56"/>
      <c r="J1033" s="56"/>
      <c r="K1033" s="56"/>
      <c r="L1033" s="1"/>
    </row>
    <row r="1034" customFormat="false" ht="15" hidden="false" customHeight="false" outlineLevel="0" collapsed="false">
      <c r="A1034" s="1"/>
      <c r="B1034" s="50" t="s">
        <v>162</v>
      </c>
      <c r="C1034" s="55" t="n">
        <f aca="false">ROUND(SUMPRODUCT(((F1037:F1056="KG")+(F1037:F1056="G"))*1)+SUMPRODUCT((F1037:F1056&lt;&gt;"KG")*(F1037:F1056&lt;&gt;"G")*E1037:E1056),0)</f>
        <v>38</v>
      </c>
      <c r="D1034" s="55"/>
      <c r="E1034" s="50" t="s">
        <v>163</v>
      </c>
      <c r="F1034" s="50"/>
      <c r="G1034" s="56" t="n">
        <f aca="false">IF(G1032="","",ROUND(G1032-G1033,2))</f>
        <v>0</v>
      </c>
      <c r="H1034" s="56"/>
      <c r="I1034" s="56"/>
      <c r="J1034" s="56"/>
      <c r="K1034" s="56"/>
      <c r="L1034" s="1"/>
    </row>
    <row r="1035" customFormat="false" ht="15" hidden="false" customHeight="false" outlineLevel="0" collapsed="false">
      <c r="A1035" s="1"/>
      <c r="B1035" s="50" t="s">
        <v>84</v>
      </c>
      <c r="C1035" s="57" t="str">
        <f aca="false">IF(C1033=0,"— aguardando lançamento",IF(G1032="","SEM TOTAL OFICIAL — informe o total do cupom",IF(AND(OR(C1032="",C1032=C1033,C1032=C1034),ABS(G1034)&lt;=0.05),"FECHADO — itens e valor conferem",IF(ABS(G1034)&lt;=0.05,"REVISAR — qtd. de itens não bate","REVISAR — diferença de R$ "&amp;ABS(G1034)))))</f>
        <v>FECHADO — itens e valor conferem</v>
      </c>
      <c r="D1035" s="57"/>
      <c r="E1035" s="57"/>
      <c r="F1035" s="57"/>
      <c r="G1035" s="50" t="s">
        <v>164</v>
      </c>
      <c r="H1035" s="30"/>
      <c r="I1035" s="30"/>
      <c r="J1035" s="30"/>
      <c r="K1035" s="30"/>
      <c r="L1035" s="1"/>
    </row>
    <row r="1036" customFormat="false" ht="15" hidden="false" customHeight="false" outlineLevel="0" collapsed="false">
      <c r="A1036" s="1"/>
      <c r="B1036" s="15" t="s">
        <v>165</v>
      </c>
      <c r="C1036" s="15" t="s">
        <v>52</v>
      </c>
      <c r="D1036" s="15" t="s">
        <v>9</v>
      </c>
      <c r="E1036" s="15" t="s">
        <v>166</v>
      </c>
      <c r="F1036" s="15" t="s">
        <v>167</v>
      </c>
      <c r="G1036" s="15" t="s">
        <v>168</v>
      </c>
      <c r="H1036" s="15" t="s">
        <v>10</v>
      </c>
      <c r="I1036" s="15" t="s">
        <v>169</v>
      </c>
      <c r="J1036" s="15" t="s">
        <v>170</v>
      </c>
      <c r="K1036" s="15"/>
      <c r="L1036" s="1"/>
    </row>
    <row r="1037" customFormat="false" ht="15" hidden="false" customHeight="false" outlineLevel="0" collapsed="false">
      <c r="A1037" s="1"/>
      <c r="B1037" s="30" t="s">
        <v>853</v>
      </c>
      <c r="C1037" s="16" t="s">
        <v>854</v>
      </c>
      <c r="D1037" s="16" t="s">
        <v>16</v>
      </c>
      <c r="E1037" s="64" t="n">
        <v>1</v>
      </c>
      <c r="F1037" s="25" t="s">
        <v>179</v>
      </c>
      <c r="G1037" s="17" t="n">
        <v>4.49</v>
      </c>
      <c r="H1037" s="17" t="n">
        <v>4.49</v>
      </c>
      <c r="I1037" s="62" t="n">
        <f aca="false">IF(OR(E1037="",G1037=""),"",ROUND(E1037*G1037,2))</f>
        <v>4.49</v>
      </c>
      <c r="J1037" s="25" t="str">
        <f aca="false">IF(OR(H1037="",I1037=""),"",IF(ABS(H1037-I1037)&lt;=0.02,"OK","≠"))</f>
        <v>OK</v>
      </c>
      <c r="K1037" s="16"/>
      <c r="L1037" s="1"/>
    </row>
    <row r="1038" customFormat="false" ht="15" hidden="false" customHeight="false" outlineLevel="0" collapsed="false">
      <c r="A1038" s="1"/>
      <c r="B1038" s="32" t="s">
        <v>324</v>
      </c>
      <c r="C1038" s="19" t="s">
        <v>325</v>
      </c>
      <c r="D1038" s="19" t="s">
        <v>13</v>
      </c>
      <c r="E1038" s="65" t="n">
        <v>1</v>
      </c>
      <c r="F1038" s="27" t="s">
        <v>179</v>
      </c>
      <c r="G1038" s="20" t="n">
        <v>8.5</v>
      </c>
      <c r="H1038" s="20" t="n">
        <v>8.5</v>
      </c>
      <c r="I1038" s="62" t="n">
        <f aca="false">IF(OR(E1038="",G1038=""),"",ROUND(E1038*G1038,2))</f>
        <v>8.5</v>
      </c>
      <c r="J1038" s="25" t="str">
        <f aca="false">IF(OR(H1038="",I1038=""),"",IF(ABS(H1038-I1038)&lt;=0.02,"OK","≠"))</f>
        <v>OK</v>
      </c>
      <c r="K1038" s="16"/>
      <c r="L1038" s="1"/>
    </row>
    <row r="1039" customFormat="false" ht="15" hidden="false" customHeight="false" outlineLevel="0" collapsed="false">
      <c r="A1039" s="1"/>
      <c r="B1039" s="30" t="s">
        <v>855</v>
      </c>
      <c r="C1039" s="16" t="s">
        <v>856</v>
      </c>
      <c r="D1039" s="16" t="s">
        <v>13</v>
      </c>
      <c r="E1039" s="64" t="n">
        <v>1</v>
      </c>
      <c r="F1039" s="25" t="s">
        <v>179</v>
      </c>
      <c r="G1039" s="17" t="n">
        <v>7.9</v>
      </c>
      <c r="H1039" s="17" t="n">
        <v>7.9</v>
      </c>
      <c r="I1039" s="62" t="n">
        <f aca="false">IF(OR(E1039="",G1039=""),"",ROUND(E1039*G1039,2))</f>
        <v>7.9</v>
      </c>
      <c r="J1039" s="25" t="str">
        <f aca="false">IF(OR(H1039="",I1039=""),"",IF(ABS(H1039-I1039)&lt;=0.02,"OK","≠"))</f>
        <v>OK</v>
      </c>
      <c r="K1039" s="16"/>
      <c r="L1039" s="1"/>
    </row>
    <row r="1040" customFormat="false" ht="15" hidden="false" customHeight="false" outlineLevel="0" collapsed="false">
      <c r="A1040" s="1"/>
      <c r="B1040" s="32" t="s">
        <v>605</v>
      </c>
      <c r="C1040" s="19" t="s">
        <v>606</v>
      </c>
      <c r="D1040" s="19" t="s">
        <v>16</v>
      </c>
      <c r="E1040" s="65" t="n">
        <v>3</v>
      </c>
      <c r="F1040" s="27" t="s">
        <v>179</v>
      </c>
      <c r="G1040" s="20" t="n">
        <v>3.45</v>
      </c>
      <c r="H1040" s="20" t="n">
        <v>10.35</v>
      </c>
      <c r="I1040" s="62" t="n">
        <f aca="false">IF(OR(E1040="",G1040=""),"",ROUND(E1040*G1040,2))</f>
        <v>10.35</v>
      </c>
      <c r="J1040" s="25" t="str">
        <f aca="false">IF(OR(H1040="",I1040=""),"",IF(ABS(H1040-I1040)&lt;=0.02,"OK","≠"))</f>
        <v>OK</v>
      </c>
      <c r="K1040" s="16"/>
      <c r="L1040" s="1"/>
    </row>
    <row r="1041" customFormat="false" ht="15" hidden="false" customHeight="false" outlineLevel="0" collapsed="false">
      <c r="A1041" s="1"/>
      <c r="B1041" s="30" t="s">
        <v>857</v>
      </c>
      <c r="C1041" s="16" t="s">
        <v>858</v>
      </c>
      <c r="D1041" s="16" t="s">
        <v>12</v>
      </c>
      <c r="E1041" s="64" t="n">
        <v>1</v>
      </c>
      <c r="F1041" s="25" t="s">
        <v>179</v>
      </c>
      <c r="G1041" s="17" t="n">
        <v>6.99</v>
      </c>
      <c r="H1041" s="17" t="n">
        <v>6.99</v>
      </c>
      <c r="I1041" s="62" t="n">
        <f aca="false">IF(OR(E1041="",G1041=""),"",ROUND(E1041*G1041,2))</f>
        <v>6.99</v>
      </c>
      <c r="J1041" s="25" t="str">
        <f aca="false">IF(OR(H1041="",I1041=""),"",IF(ABS(H1041-I1041)&lt;=0.02,"OK","≠"))</f>
        <v>OK</v>
      </c>
      <c r="K1041" s="16"/>
      <c r="L1041" s="1"/>
    </row>
    <row r="1042" customFormat="false" ht="15" hidden="false" customHeight="false" outlineLevel="0" collapsed="false">
      <c r="A1042" s="1"/>
      <c r="B1042" s="32" t="s">
        <v>212</v>
      </c>
      <c r="C1042" s="19" t="s">
        <v>647</v>
      </c>
      <c r="D1042" s="19" t="s">
        <v>13</v>
      </c>
      <c r="E1042" s="65" t="n">
        <v>1</v>
      </c>
      <c r="F1042" s="27" t="s">
        <v>179</v>
      </c>
      <c r="G1042" s="20" t="n">
        <v>5.5</v>
      </c>
      <c r="H1042" s="20" t="n">
        <v>5.5</v>
      </c>
      <c r="I1042" s="62" t="n">
        <f aca="false">IF(OR(E1042="",G1042=""),"",ROUND(E1042*G1042,2))</f>
        <v>5.5</v>
      </c>
      <c r="J1042" s="25" t="str">
        <f aca="false">IF(OR(H1042="",I1042=""),"",IF(ABS(H1042-I1042)&lt;=0.02,"OK","≠"))</f>
        <v>OK</v>
      </c>
      <c r="K1042" s="16"/>
      <c r="L1042" s="1"/>
    </row>
    <row r="1043" customFormat="false" ht="15" hidden="false" customHeight="false" outlineLevel="0" collapsed="false">
      <c r="A1043" s="1"/>
      <c r="B1043" s="30" t="s">
        <v>859</v>
      </c>
      <c r="C1043" s="16" t="s">
        <v>860</v>
      </c>
      <c r="D1043" s="16" t="s">
        <v>12</v>
      </c>
      <c r="E1043" s="64" t="n">
        <v>1</v>
      </c>
      <c r="F1043" s="25" t="s">
        <v>179</v>
      </c>
      <c r="G1043" s="17" t="n">
        <v>13.5</v>
      </c>
      <c r="H1043" s="17" t="n">
        <v>13.5</v>
      </c>
      <c r="I1043" s="62" t="n">
        <f aca="false">IF(OR(E1043="",G1043=""),"",ROUND(E1043*G1043,2))</f>
        <v>13.5</v>
      </c>
      <c r="J1043" s="25" t="str">
        <f aca="false">IF(OR(H1043="",I1043=""),"",IF(ABS(H1043-I1043)&lt;=0.02,"OK","≠"))</f>
        <v>OK</v>
      </c>
      <c r="K1043" s="16"/>
      <c r="L1043" s="1"/>
    </row>
    <row r="1044" customFormat="false" ht="15" hidden="false" customHeight="false" outlineLevel="0" collapsed="false">
      <c r="A1044" s="1"/>
      <c r="B1044" s="32" t="s">
        <v>861</v>
      </c>
      <c r="C1044" s="19" t="s">
        <v>862</v>
      </c>
      <c r="D1044" s="19" t="s">
        <v>12</v>
      </c>
      <c r="E1044" s="65" t="n">
        <v>1</v>
      </c>
      <c r="F1044" s="27" t="s">
        <v>179</v>
      </c>
      <c r="G1044" s="20" t="n">
        <v>7.65</v>
      </c>
      <c r="H1044" s="20" t="n">
        <v>7.65</v>
      </c>
      <c r="I1044" s="62" t="n">
        <f aca="false">IF(OR(E1044="",G1044=""),"",ROUND(E1044*G1044,2))</f>
        <v>7.65</v>
      </c>
      <c r="J1044" s="25" t="str">
        <f aca="false">IF(OR(H1044="",I1044=""),"",IF(ABS(H1044-I1044)&lt;=0.02,"OK","≠"))</f>
        <v>OK</v>
      </c>
      <c r="K1044" s="16"/>
      <c r="L1044" s="1"/>
    </row>
    <row r="1045" customFormat="false" ht="15" hidden="false" customHeight="false" outlineLevel="0" collapsed="false">
      <c r="A1045" s="1"/>
      <c r="B1045" s="30" t="s">
        <v>863</v>
      </c>
      <c r="C1045" s="16" t="s">
        <v>862</v>
      </c>
      <c r="D1045" s="16" t="s">
        <v>12</v>
      </c>
      <c r="E1045" s="64" t="n">
        <v>1</v>
      </c>
      <c r="F1045" s="25" t="s">
        <v>179</v>
      </c>
      <c r="G1045" s="17" t="n">
        <v>7.65</v>
      </c>
      <c r="H1045" s="17" t="n">
        <v>7.65</v>
      </c>
      <c r="I1045" s="62" t="n">
        <f aca="false">IF(OR(E1045="",G1045=""),"",ROUND(E1045*G1045,2))</f>
        <v>7.65</v>
      </c>
      <c r="J1045" s="25" t="str">
        <f aca="false">IF(OR(H1045="",I1045=""),"",IF(ABS(H1045-I1045)&lt;=0.02,"OK","≠"))</f>
        <v>OK</v>
      </c>
      <c r="K1045" s="16"/>
      <c r="L1045" s="1"/>
    </row>
    <row r="1046" customFormat="false" ht="15" hidden="false" customHeight="false" outlineLevel="0" collapsed="false">
      <c r="A1046" s="1"/>
      <c r="B1046" s="32" t="s">
        <v>864</v>
      </c>
      <c r="C1046" s="19" t="s">
        <v>862</v>
      </c>
      <c r="D1046" s="19" t="s">
        <v>12</v>
      </c>
      <c r="E1046" s="65" t="n">
        <v>1</v>
      </c>
      <c r="F1046" s="27" t="s">
        <v>179</v>
      </c>
      <c r="G1046" s="20" t="n">
        <v>7.65</v>
      </c>
      <c r="H1046" s="20" t="n">
        <v>7.65</v>
      </c>
      <c r="I1046" s="62" t="n">
        <f aca="false">IF(OR(E1046="",G1046=""),"",ROUND(E1046*G1046,2))</f>
        <v>7.65</v>
      </c>
      <c r="J1046" s="25" t="str">
        <f aca="false">IF(OR(H1046="",I1046=""),"",IF(ABS(H1046-I1046)&lt;=0.02,"OK","≠"))</f>
        <v>OK</v>
      </c>
      <c r="K1046" s="16"/>
      <c r="L1046" s="1"/>
    </row>
    <row r="1047" customFormat="false" ht="15" hidden="false" customHeight="false" outlineLevel="0" collapsed="false">
      <c r="A1047" s="1"/>
      <c r="B1047" s="30" t="s">
        <v>724</v>
      </c>
      <c r="C1047" s="16" t="s">
        <v>725</v>
      </c>
      <c r="D1047" s="16" t="s">
        <v>12</v>
      </c>
      <c r="E1047" s="64" t="n">
        <v>1</v>
      </c>
      <c r="F1047" s="25" t="s">
        <v>179</v>
      </c>
      <c r="G1047" s="17" t="n">
        <v>4.99</v>
      </c>
      <c r="H1047" s="17" t="n">
        <v>4.99</v>
      </c>
      <c r="I1047" s="62" t="n">
        <f aca="false">IF(OR(E1047="",G1047=""),"",ROUND(E1047*G1047,2))</f>
        <v>4.99</v>
      </c>
      <c r="J1047" s="25" t="str">
        <f aca="false">IF(OR(H1047="",I1047=""),"",IF(ABS(H1047-I1047)&lt;=0.02,"OK","≠"))</f>
        <v>OK</v>
      </c>
      <c r="K1047" s="16"/>
      <c r="L1047" s="1"/>
    </row>
    <row r="1048" customFormat="false" ht="15" hidden="false" customHeight="false" outlineLevel="0" collapsed="false">
      <c r="A1048" s="1"/>
      <c r="B1048" s="32" t="s">
        <v>785</v>
      </c>
      <c r="C1048" s="19" t="s">
        <v>610</v>
      </c>
      <c r="D1048" s="19" t="s">
        <v>12</v>
      </c>
      <c r="E1048" s="65" t="n">
        <v>1</v>
      </c>
      <c r="F1048" s="27" t="s">
        <v>179</v>
      </c>
      <c r="G1048" s="20" t="n">
        <v>7.8</v>
      </c>
      <c r="H1048" s="20" t="n">
        <v>7.8</v>
      </c>
      <c r="I1048" s="62" t="n">
        <f aca="false">IF(OR(E1048="",G1048=""),"",ROUND(E1048*G1048,2))</f>
        <v>7.8</v>
      </c>
      <c r="J1048" s="25" t="str">
        <f aca="false">IF(OR(H1048="",I1048=""),"",IF(ABS(H1048-I1048)&lt;=0.02,"OK","≠"))</f>
        <v>OK</v>
      </c>
      <c r="K1048" s="16"/>
      <c r="L1048" s="1"/>
    </row>
    <row r="1049" customFormat="false" ht="15" hidden="false" customHeight="false" outlineLevel="0" collapsed="false">
      <c r="A1049" s="1"/>
      <c r="B1049" s="30" t="s">
        <v>618</v>
      </c>
      <c r="C1049" s="16" t="s">
        <v>617</v>
      </c>
      <c r="D1049" s="16" t="s">
        <v>12</v>
      </c>
      <c r="E1049" s="64" t="n">
        <v>1</v>
      </c>
      <c r="F1049" s="25" t="s">
        <v>179</v>
      </c>
      <c r="G1049" s="17" t="n">
        <v>28.3</v>
      </c>
      <c r="H1049" s="17" t="n">
        <v>28.3</v>
      </c>
      <c r="I1049" s="62" t="n">
        <f aca="false">IF(OR(E1049="",G1049=""),"",ROUND(E1049*G1049,2))</f>
        <v>28.3</v>
      </c>
      <c r="J1049" s="25" t="str">
        <f aca="false">IF(OR(H1049="",I1049=""),"",IF(ABS(H1049-I1049)&lt;=0.02,"OK","≠"))</f>
        <v>OK</v>
      </c>
      <c r="K1049" s="16"/>
      <c r="L1049" s="1"/>
    </row>
    <row r="1050" customFormat="false" ht="15" hidden="false" customHeight="false" outlineLevel="0" collapsed="false">
      <c r="A1050" s="1"/>
      <c r="B1050" s="32" t="s">
        <v>865</v>
      </c>
      <c r="C1050" s="19" t="s">
        <v>635</v>
      </c>
      <c r="D1050" s="19" t="s">
        <v>12</v>
      </c>
      <c r="E1050" s="65" t="n">
        <v>1</v>
      </c>
      <c r="F1050" s="27" t="s">
        <v>179</v>
      </c>
      <c r="G1050" s="20" t="n">
        <v>10.5</v>
      </c>
      <c r="H1050" s="20" t="n">
        <v>10.5</v>
      </c>
      <c r="I1050" s="62" t="n">
        <f aca="false">IF(OR(E1050="",G1050=""),"",ROUND(E1050*G1050,2))</f>
        <v>10.5</v>
      </c>
      <c r="J1050" s="25" t="str">
        <f aca="false">IF(OR(H1050="",I1050=""),"",IF(ABS(H1050-I1050)&lt;=0.02,"OK","≠"))</f>
        <v>OK</v>
      </c>
      <c r="K1050" s="16"/>
      <c r="L1050" s="1"/>
    </row>
    <row r="1051" customFormat="false" ht="15" hidden="false" customHeight="false" outlineLevel="0" collapsed="false">
      <c r="A1051" s="1"/>
      <c r="B1051" s="30" t="s">
        <v>619</v>
      </c>
      <c r="C1051" s="16" t="s">
        <v>620</v>
      </c>
      <c r="D1051" s="16" t="s">
        <v>14</v>
      </c>
      <c r="E1051" s="64" t="n">
        <v>6</v>
      </c>
      <c r="F1051" s="25" t="s">
        <v>179</v>
      </c>
      <c r="G1051" s="17" t="n">
        <v>1.69</v>
      </c>
      <c r="H1051" s="17" t="n">
        <v>10.14</v>
      </c>
      <c r="I1051" s="62" t="n">
        <f aca="false">IF(OR(E1051="",G1051=""),"",ROUND(E1051*G1051,2))</f>
        <v>10.14</v>
      </c>
      <c r="J1051" s="25" t="str">
        <f aca="false">IF(OR(H1051="",I1051=""),"",IF(ABS(H1051-I1051)&lt;=0.02,"OK","≠"))</f>
        <v>OK</v>
      </c>
      <c r="K1051" s="16"/>
      <c r="L1051" s="1"/>
    </row>
    <row r="1052" customFormat="false" ht="15" hidden="false" customHeight="false" outlineLevel="0" collapsed="false">
      <c r="A1052" s="1"/>
      <c r="B1052" s="32" t="s">
        <v>719</v>
      </c>
      <c r="C1052" s="19" t="s">
        <v>252</v>
      </c>
      <c r="D1052" s="19" t="s">
        <v>14</v>
      </c>
      <c r="E1052" s="65" t="n">
        <v>0.258</v>
      </c>
      <c r="F1052" s="27" t="s">
        <v>176</v>
      </c>
      <c r="G1052" s="20" t="n">
        <v>35</v>
      </c>
      <c r="H1052" s="20" t="n">
        <v>9.03</v>
      </c>
      <c r="I1052" s="62" t="n">
        <f aca="false">IF(OR(E1052="",G1052=""),"",ROUND(E1052*G1052,2))</f>
        <v>9.03</v>
      </c>
      <c r="J1052" s="25" t="str">
        <f aca="false">IF(OR(H1052="",I1052=""),"",IF(ABS(H1052-I1052)&lt;=0.02,"OK","≠"))</f>
        <v>OK</v>
      </c>
      <c r="K1052" s="16"/>
      <c r="L1052" s="1"/>
    </row>
    <row r="1053" customFormat="false" ht="15" hidden="false" customHeight="false" outlineLevel="0" collapsed="false">
      <c r="A1053" s="1"/>
      <c r="B1053" s="30" t="s">
        <v>866</v>
      </c>
      <c r="C1053" s="16" t="s">
        <v>867</v>
      </c>
      <c r="D1053" s="16" t="s">
        <v>12</v>
      </c>
      <c r="E1053" s="64" t="n">
        <v>1</v>
      </c>
      <c r="F1053" s="25" t="s">
        <v>176</v>
      </c>
      <c r="G1053" s="17" t="n">
        <v>8.9</v>
      </c>
      <c r="H1053" s="17" t="n">
        <v>8.9</v>
      </c>
      <c r="I1053" s="62" t="n">
        <f aca="false">IF(OR(E1053="",G1053=""),"",ROUND(E1053*G1053,2))</f>
        <v>8.9</v>
      </c>
      <c r="J1053" s="25" t="str">
        <f aca="false">IF(OR(H1053="",I1053=""),"",IF(ABS(H1053-I1053)&lt;=0.02,"OK","≠"))</f>
        <v>OK</v>
      </c>
      <c r="K1053" s="16"/>
      <c r="L1053" s="1"/>
    </row>
    <row r="1054" customFormat="false" ht="15" hidden="false" customHeight="false" outlineLevel="0" collapsed="false">
      <c r="A1054" s="1"/>
      <c r="B1054" s="32" t="s">
        <v>196</v>
      </c>
      <c r="C1054" s="19" t="s">
        <v>398</v>
      </c>
      <c r="D1054" s="19" t="s">
        <v>14</v>
      </c>
      <c r="E1054" s="65" t="n">
        <v>0.412</v>
      </c>
      <c r="F1054" s="27" t="s">
        <v>176</v>
      </c>
      <c r="G1054" s="20" t="n">
        <v>14.9</v>
      </c>
      <c r="H1054" s="20" t="n">
        <v>6.14</v>
      </c>
      <c r="I1054" s="62" t="n">
        <f aca="false">IF(OR(E1054="",G1054=""),"",ROUND(E1054*G1054,2))</f>
        <v>6.14</v>
      </c>
      <c r="J1054" s="25" t="str">
        <f aca="false">IF(OR(H1054="",I1054=""),"",IF(ABS(H1054-I1054)&lt;=0.02,"OK","≠"))</f>
        <v>OK</v>
      </c>
      <c r="K1054" s="16"/>
      <c r="L1054" s="1"/>
    </row>
    <row r="1055" customFormat="false" ht="15" hidden="false" customHeight="false" outlineLevel="0" collapsed="false">
      <c r="A1055" s="1"/>
      <c r="B1055" s="30" t="s">
        <v>868</v>
      </c>
      <c r="C1055" s="16" t="s">
        <v>869</v>
      </c>
      <c r="D1055" s="16" t="s">
        <v>14</v>
      </c>
      <c r="E1055" s="64" t="n">
        <v>0.132</v>
      </c>
      <c r="F1055" s="25" t="s">
        <v>176</v>
      </c>
      <c r="G1055" s="17" t="n">
        <v>49</v>
      </c>
      <c r="H1055" s="17" t="n">
        <v>6.47</v>
      </c>
      <c r="I1055" s="62" t="n">
        <f aca="false">IF(OR(E1055="",G1055=""),"",ROUND(E1055*G1055,2))</f>
        <v>6.47</v>
      </c>
      <c r="J1055" s="25" t="str">
        <f aca="false">IF(OR(H1055="",I1055=""),"",IF(ABS(H1055-I1055)&lt;=0.02,"OK","≠"))</f>
        <v>OK</v>
      </c>
      <c r="K1055" s="16"/>
      <c r="L1055" s="1"/>
    </row>
    <row r="1056" customFormat="false" ht="15" hidden="false" customHeight="false" outlineLevel="0" collapsed="false">
      <c r="A1056" s="1"/>
      <c r="B1056" s="32" t="s">
        <v>439</v>
      </c>
      <c r="C1056" s="19" t="s">
        <v>440</v>
      </c>
      <c r="D1056" s="19" t="s">
        <v>16</v>
      </c>
      <c r="E1056" s="65" t="n">
        <v>12</v>
      </c>
      <c r="F1056" s="27" t="s">
        <v>179</v>
      </c>
      <c r="G1056" s="20" t="n">
        <v>1.65</v>
      </c>
      <c r="H1056" s="20" t="n">
        <v>19.8</v>
      </c>
      <c r="I1056" s="62" t="n">
        <f aca="false">IF(OR(E1056="",G1056=""),"",ROUND(E1056*G1056,2))</f>
        <v>19.8</v>
      </c>
      <c r="J1056" s="25" t="str">
        <f aca="false">IF(OR(H1056="",I1056=""),"",IF(ABS(H1056-I1056)&lt;=0.02,"OK","≠"))</f>
        <v>OK</v>
      </c>
      <c r="K1056" s="16"/>
      <c r="L1056" s="1"/>
    </row>
    <row r="1057" customFormat="false" ht="15" hidden="false" customHeight="false" outlineLevel="0" collapsed="false">
      <c r="A1057" s="1"/>
      <c r="B1057" s="1"/>
      <c r="C1057" s="1"/>
      <c r="D1057" s="1"/>
      <c r="E1057" s="1"/>
      <c r="F1057" s="1"/>
      <c r="G1057" s="1"/>
      <c r="H1057" s="1"/>
      <c r="I1057" s="1"/>
      <c r="J1057" s="1"/>
      <c r="K1057" s="1"/>
      <c r="L1057" s="1"/>
    </row>
    <row r="1058" customFormat="false" ht="19.5" hidden="false" customHeight="true" outlineLevel="0" collapsed="false">
      <c r="A1058" s="1"/>
      <c r="B1058" s="63" t="s">
        <v>870</v>
      </c>
      <c r="C1058" s="63"/>
      <c r="D1058" s="63"/>
      <c r="E1058" s="63"/>
      <c r="F1058" s="63"/>
      <c r="G1058" s="63"/>
      <c r="H1058" s="63"/>
      <c r="I1058" s="63"/>
      <c r="J1058" s="63"/>
      <c r="K1058" s="63"/>
      <c r="L1058" s="1"/>
    </row>
    <row r="1059" customFormat="false" ht="15" hidden="false" customHeight="false" outlineLevel="0" collapsed="false">
      <c r="A1059" s="1"/>
      <c r="B1059" s="50" t="s">
        <v>34</v>
      </c>
      <c r="C1059" s="45" t="s">
        <v>36</v>
      </c>
      <c r="D1059" s="45"/>
      <c r="E1059" s="50" t="s">
        <v>157</v>
      </c>
      <c r="F1059" s="50"/>
      <c r="G1059" s="45" t="s">
        <v>871</v>
      </c>
      <c r="H1059" s="45"/>
      <c r="I1059" s="45"/>
      <c r="J1059" s="45"/>
      <c r="K1059" s="45"/>
      <c r="L1059" s="1"/>
    </row>
    <row r="1060" customFormat="false" ht="15" hidden="false" customHeight="false" outlineLevel="0" collapsed="false">
      <c r="A1060" s="1"/>
      <c r="B1060" s="50" t="s">
        <v>78</v>
      </c>
      <c r="C1060" s="39" t="n">
        <v>46212</v>
      </c>
      <c r="D1060" s="39"/>
      <c r="E1060" s="50" t="s">
        <v>80</v>
      </c>
      <c r="F1060" s="50"/>
      <c r="G1060" s="45" t="s">
        <v>173</v>
      </c>
      <c r="H1060" s="45"/>
      <c r="I1060" s="45"/>
      <c r="J1060" s="45"/>
      <c r="K1060" s="45"/>
      <c r="L1060" s="1"/>
    </row>
    <row r="1061" customFormat="false" ht="15" hidden="false" customHeight="false" outlineLevel="0" collapsed="false">
      <c r="A1061" s="1"/>
      <c r="B1061" s="50" t="s">
        <v>158</v>
      </c>
      <c r="C1061" s="55" t="n">
        <v>31</v>
      </c>
      <c r="D1061" s="55"/>
      <c r="E1061" s="50" t="s">
        <v>159</v>
      </c>
      <c r="F1061" s="50"/>
      <c r="G1061" s="56" t="n">
        <v>265.82</v>
      </c>
      <c r="H1061" s="56"/>
      <c r="I1061" s="56"/>
      <c r="J1061" s="56"/>
      <c r="K1061" s="56"/>
      <c r="L1061" s="1"/>
    </row>
    <row r="1062" customFormat="false" ht="15" hidden="false" customHeight="false" outlineLevel="0" collapsed="false">
      <c r="A1062" s="1"/>
      <c r="B1062" s="50" t="s">
        <v>160</v>
      </c>
      <c r="C1062" s="55" t="n">
        <f aca="false">COUNT(H1066:H1089)</f>
        <v>24</v>
      </c>
      <c r="D1062" s="55"/>
      <c r="E1062" s="50" t="s">
        <v>161</v>
      </c>
      <c r="F1062" s="50"/>
      <c r="G1062" s="56" t="n">
        <f aca="false">ROUND(SUM(H1066:H1089),2)</f>
        <v>265.82</v>
      </c>
      <c r="H1062" s="56"/>
      <c r="I1062" s="56"/>
      <c r="J1062" s="56"/>
      <c r="K1062" s="56"/>
      <c r="L1062" s="1"/>
    </row>
    <row r="1063" customFormat="false" ht="15" hidden="false" customHeight="false" outlineLevel="0" collapsed="false">
      <c r="A1063" s="1"/>
      <c r="B1063" s="50" t="s">
        <v>162</v>
      </c>
      <c r="C1063" s="55" t="n">
        <f aca="false">ROUND(SUMPRODUCT(((F1066:F1089="KG")+(F1066:F1089="G"))*1)+SUMPRODUCT((F1066:F1089&lt;&gt;"KG")*(F1066:F1089&lt;&gt;"G")*E1066:E1089),0)</f>
        <v>31</v>
      </c>
      <c r="D1063" s="55"/>
      <c r="E1063" s="50" t="s">
        <v>163</v>
      </c>
      <c r="F1063" s="50"/>
      <c r="G1063" s="56" t="n">
        <f aca="false">IF(G1061="","",ROUND(G1061-G1062,2))</f>
        <v>0</v>
      </c>
      <c r="H1063" s="56"/>
      <c r="I1063" s="56"/>
      <c r="J1063" s="56"/>
      <c r="K1063" s="56"/>
      <c r="L1063" s="1"/>
    </row>
    <row r="1064" customFormat="false" ht="15" hidden="false" customHeight="false" outlineLevel="0" collapsed="false">
      <c r="A1064" s="1"/>
      <c r="B1064" s="50" t="s">
        <v>84</v>
      </c>
      <c r="C1064" s="57" t="str">
        <f aca="false">IF(C1062=0,"— aguardando lançamento",IF(G1061="","SEM TOTAL OFICIAL — informe o total do cupom",IF(AND(OR(C1061="",C1061=C1062,C1061=C1063),ABS(G1063)&lt;=0.05),"FECHADO — itens e valor conferem",IF(ABS(G1063)&lt;=0.05,"REVISAR — qtd. de itens não bate","REVISAR — diferença de R$ "&amp;ABS(G1063)))))</f>
        <v>FECHADO — itens e valor conferem</v>
      </c>
      <c r="D1064" s="57"/>
      <c r="E1064" s="57"/>
      <c r="F1064" s="57"/>
      <c r="G1064" s="50" t="s">
        <v>164</v>
      </c>
      <c r="H1064" s="30"/>
      <c r="I1064" s="30"/>
      <c r="J1064" s="30"/>
      <c r="K1064" s="30"/>
      <c r="L1064" s="1"/>
    </row>
    <row r="1065" customFormat="false" ht="15" hidden="false" customHeight="false" outlineLevel="0" collapsed="false">
      <c r="A1065" s="1"/>
      <c r="B1065" s="15" t="s">
        <v>165</v>
      </c>
      <c r="C1065" s="15" t="s">
        <v>52</v>
      </c>
      <c r="D1065" s="15" t="s">
        <v>9</v>
      </c>
      <c r="E1065" s="15" t="s">
        <v>166</v>
      </c>
      <c r="F1065" s="15" t="s">
        <v>167</v>
      </c>
      <c r="G1065" s="15" t="s">
        <v>168</v>
      </c>
      <c r="H1065" s="15" t="s">
        <v>10</v>
      </c>
      <c r="I1065" s="15" t="s">
        <v>169</v>
      </c>
      <c r="J1065" s="15" t="s">
        <v>170</v>
      </c>
      <c r="K1065" s="15"/>
      <c r="L1065" s="1"/>
    </row>
    <row r="1066" customFormat="false" ht="15" hidden="false" customHeight="false" outlineLevel="0" collapsed="false">
      <c r="A1066" s="1"/>
      <c r="B1066" s="30" t="s">
        <v>420</v>
      </c>
      <c r="C1066" s="16" t="s">
        <v>421</v>
      </c>
      <c r="D1066" s="16" t="s">
        <v>18</v>
      </c>
      <c r="E1066" s="64" t="n">
        <v>1</v>
      </c>
      <c r="F1066" s="25" t="s">
        <v>179</v>
      </c>
      <c r="G1066" s="17" t="n">
        <v>12.99</v>
      </c>
      <c r="H1066" s="17" t="n">
        <v>12.99</v>
      </c>
      <c r="I1066" s="62" t="n">
        <f aca="false">IF(OR(E1066="",G1066=""),"",ROUND(E1066*G1066,2))</f>
        <v>12.99</v>
      </c>
      <c r="J1066" s="25" t="str">
        <f aca="false">IF(OR(H1066="",I1066=""),"",IF(ABS(H1066-I1066)&lt;=0.02,"OK","≠"))</f>
        <v>OK</v>
      </c>
      <c r="K1066" s="16"/>
      <c r="L1066" s="1"/>
    </row>
    <row r="1067" customFormat="false" ht="15" hidden="false" customHeight="false" outlineLevel="0" collapsed="false">
      <c r="A1067" s="1"/>
      <c r="B1067" s="32" t="s">
        <v>872</v>
      </c>
      <c r="C1067" s="19" t="s">
        <v>873</v>
      </c>
      <c r="D1067" s="19" t="s">
        <v>12</v>
      </c>
      <c r="E1067" s="65" t="n">
        <v>1</v>
      </c>
      <c r="F1067" s="27" t="s">
        <v>179</v>
      </c>
      <c r="G1067" s="20" t="n">
        <v>3.65</v>
      </c>
      <c r="H1067" s="20" t="n">
        <v>3.65</v>
      </c>
      <c r="I1067" s="62" t="n">
        <f aca="false">IF(OR(E1067="",G1067=""),"",ROUND(E1067*G1067,2))</f>
        <v>3.65</v>
      </c>
      <c r="J1067" s="25" t="str">
        <f aca="false">IF(OR(H1067="",I1067=""),"",IF(ABS(H1067-I1067)&lt;=0.02,"OK","≠"))</f>
        <v>OK</v>
      </c>
      <c r="K1067" s="16"/>
      <c r="L1067" s="1"/>
    </row>
    <row r="1068" customFormat="false" ht="15" hidden="false" customHeight="false" outlineLevel="0" collapsed="false">
      <c r="A1068" s="1"/>
      <c r="B1068" s="30" t="s">
        <v>251</v>
      </c>
      <c r="C1068" s="16" t="s">
        <v>252</v>
      </c>
      <c r="D1068" s="16" t="s">
        <v>14</v>
      </c>
      <c r="E1068" s="64" t="n">
        <v>0.208</v>
      </c>
      <c r="F1068" s="25" t="s">
        <v>176</v>
      </c>
      <c r="G1068" s="17" t="n">
        <v>45</v>
      </c>
      <c r="H1068" s="17" t="n">
        <v>9.36</v>
      </c>
      <c r="I1068" s="62" t="n">
        <f aca="false">IF(OR(E1068="",G1068=""),"",ROUND(E1068*G1068,2))</f>
        <v>9.36</v>
      </c>
      <c r="J1068" s="25" t="str">
        <f aca="false">IF(OR(H1068="",I1068=""),"",IF(ABS(H1068-I1068)&lt;=0.02,"OK","≠"))</f>
        <v>OK</v>
      </c>
      <c r="K1068" s="16"/>
      <c r="L1068" s="1"/>
    </row>
    <row r="1069" customFormat="false" ht="15" hidden="false" customHeight="false" outlineLevel="0" collapsed="false">
      <c r="A1069" s="1"/>
      <c r="B1069" s="32" t="s">
        <v>859</v>
      </c>
      <c r="C1069" s="19" t="s">
        <v>860</v>
      </c>
      <c r="D1069" s="19" t="s">
        <v>12</v>
      </c>
      <c r="E1069" s="65" t="n">
        <v>1</v>
      </c>
      <c r="F1069" s="27" t="s">
        <v>179</v>
      </c>
      <c r="G1069" s="20" t="n">
        <v>13.5</v>
      </c>
      <c r="H1069" s="20" t="n">
        <v>13.5</v>
      </c>
      <c r="I1069" s="62" t="n">
        <f aca="false">IF(OR(E1069="",G1069=""),"",ROUND(E1069*G1069,2))</f>
        <v>13.5</v>
      </c>
      <c r="J1069" s="25" t="str">
        <f aca="false">IF(OR(H1069="",I1069=""),"",IF(ABS(H1069-I1069)&lt;=0.02,"OK","≠"))</f>
        <v>OK</v>
      </c>
      <c r="K1069" s="16"/>
      <c r="L1069" s="1"/>
    </row>
    <row r="1070" customFormat="false" ht="15" hidden="false" customHeight="false" outlineLevel="0" collapsed="false">
      <c r="A1070" s="1"/>
      <c r="B1070" s="30" t="s">
        <v>865</v>
      </c>
      <c r="C1070" s="16" t="s">
        <v>635</v>
      </c>
      <c r="D1070" s="16" t="s">
        <v>12</v>
      </c>
      <c r="E1070" s="64" t="n">
        <v>2</v>
      </c>
      <c r="F1070" s="25" t="s">
        <v>179</v>
      </c>
      <c r="G1070" s="17" t="n">
        <v>10.5</v>
      </c>
      <c r="H1070" s="17" t="n">
        <v>21</v>
      </c>
      <c r="I1070" s="62" t="n">
        <f aca="false">IF(OR(E1070="",G1070=""),"",ROUND(E1070*G1070,2))</f>
        <v>21</v>
      </c>
      <c r="J1070" s="25" t="str">
        <f aca="false">IF(OR(H1070="",I1070=""),"",IF(ABS(H1070-I1070)&lt;=0.02,"OK","≠"))</f>
        <v>OK</v>
      </c>
      <c r="K1070" s="16"/>
      <c r="L1070" s="1"/>
    </row>
    <row r="1071" customFormat="false" ht="15" hidden="false" customHeight="false" outlineLevel="0" collapsed="false">
      <c r="A1071" s="1"/>
      <c r="B1071" s="32" t="s">
        <v>399</v>
      </c>
      <c r="C1071" s="19" t="s">
        <v>261</v>
      </c>
      <c r="D1071" s="19" t="s">
        <v>12</v>
      </c>
      <c r="E1071" s="65" t="n">
        <v>1</v>
      </c>
      <c r="F1071" s="27" t="s">
        <v>179</v>
      </c>
      <c r="G1071" s="20" t="n">
        <v>10.2</v>
      </c>
      <c r="H1071" s="20" t="n">
        <v>10.2</v>
      </c>
      <c r="I1071" s="62" t="n">
        <f aca="false">IF(OR(E1071="",G1071=""),"",ROUND(E1071*G1071,2))</f>
        <v>10.2</v>
      </c>
      <c r="J1071" s="25" t="str">
        <f aca="false">IF(OR(H1071="",I1071=""),"",IF(ABS(H1071-I1071)&lt;=0.02,"OK","≠"))</f>
        <v>OK</v>
      </c>
      <c r="K1071" s="16"/>
      <c r="L1071" s="1"/>
    </row>
    <row r="1072" customFormat="false" ht="15" hidden="false" customHeight="false" outlineLevel="0" collapsed="false">
      <c r="A1072" s="1"/>
      <c r="B1072" s="30" t="s">
        <v>817</v>
      </c>
      <c r="C1072" s="16" t="s">
        <v>818</v>
      </c>
      <c r="D1072" s="16" t="s">
        <v>14</v>
      </c>
      <c r="E1072" s="64" t="n">
        <v>1</v>
      </c>
      <c r="F1072" s="25" t="s">
        <v>179</v>
      </c>
      <c r="G1072" s="17" t="n">
        <v>8.59</v>
      </c>
      <c r="H1072" s="17" t="n">
        <v>8.59</v>
      </c>
      <c r="I1072" s="62" t="n">
        <f aca="false">IF(OR(E1072="",G1072=""),"",ROUND(E1072*G1072,2))</f>
        <v>8.59</v>
      </c>
      <c r="J1072" s="25" t="str">
        <f aca="false">IF(OR(H1072="",I1072=""),"",IF(ABS(H1072-I1072)&lt;=0.02,"OK","≠"))</f>
        <v>OK</v>
      </c>
      <c r="K1072" s="16"/>
      <c r="L1072" s="1"/>
    </row>
    <row r="1073" customFormat="false" ht="15" hidden="false" customHeight="false" outlineLevel="0" collapsed="false">
      <c r="A1073" s="1"/>
      <c r="B1073" s="32" t="s">
        <v>196</v>
      </c>
      <c r="C1073" s="19" t="s">
        <v>398</v>
      </c>
      <c r="D1073" s="19" t="s">
        <v>14</v>
      </c>
      <c r="E1073" s="65" t="n">
        <v>0.428</v>
      </c>
      <c r="F1073" s="27" t="s">
        <v>176</v>
      </c>
      <c r="G1073" s="20" t="n">
        <v>14.9</v>
      </c>
      <c r="H1073" s="20" t="n">
        <v>6.38</v>
      </c>
      <c r="I1073" s="62" t="n">
        <f aca="false">IF(OR(E1073="",G1073=""),"",ROUND(E1073*G1073,2))</f>
        <v>6.38</v>
      </c>
      <c r="J1073" s="25" t="str">
        <f aca="false">IF(OR(H1073="",I1073=""),"",IF(ABS(H1073-I1073)&lt;=0.02,"OK","≠"))</f>
        <v>OK</v>
      </c>
      <c r="K1073" s="16"/>
      <c r="L1073" s="1"/>
    </row>
    <row r="1074" customFormat="false" ht="15" hidden="false" customHeight="false" outlineLevel="0" collapsed="false">
      <c r="A1074" s="1"/>
      <c r="B1074" s="30" t="s">
        <v>874</v>
      </c>
      <c r="C1074" s="16" t="s">
        <v>875</v>
      </c>
      <c r="D1074" s="16" t="s">
        <v>12</v>
      </c>
      <c r="E1074" s="64" t="n">
        <v>2</v>
      </c>
      <c r="F1074" s="25" t="s">
        <v>179</v>
      </c>
      <c r="G1074" s="17" t="n">
        <v>2.29</v>
      </c>
      <c r="H1074" s="17" t="n">
        <v>4.58</v>
      </c>
      <c r="I1074" s="62" t="n">
        <f aca="false">IF(OR(E1074="",G1074=""),"",ROUND(E1074*G1074,2))</f>
        <v>4.58</v>
      </c>
      <c r="J1074" s="25" t="str">
        <f aca="false">IF(OR(H1074="",I1074=""),"",IF(ABS(H1074-I1074)&lt;=0.02,"OK","≠"))</f>
        <v>OK</v>
      </c>
      <c r="K1074" s="16"/>
      <c r="L1074" s="1"/>
    </row>
    <row r="1075" customFormat="false" ht="15" hidden="false" customHeight="false" outlineLevel="0" collapsed="false">
      <c r="A1075" s="1"/>
      <c r="B1075" s="32" t="s">
        <v>876</v>
      </c>
      <c r="C1075" s="19" t="s">
        <v>875</v>
      </c>
      <c r="D1075" s="19" t="s">
        <v>12</v>
      </c>
      <c r="E1075" s="65" t="n">
        <v>2</v>
      </c>
      <c r="F1075" s="27" t="s">
        <v>179</v>
      </c>
      <c r="G1075" s="20" t="n">
        <v>2.29</v>
      </c>
      <c r="H1075" s="20" t="n">
        <v>4.58</v>
      </c>
      <c r="I1075" s="62" t="n">
        <f aca="false">IF(OR(E1075="",G1075=""),"",ROUND(E1075*G1075,2))</f>
        <v>4.58</v>
      </c>
      <c r="J1075" s="25" t="str">
        <f aca="false">IF(OR(H1075="",I1075=""),"",IF(ABS(H1075-I1075)&lt;=0.02,"OK","≠"))</f>
        <v>OK</v>
      </c>
      <c r="K1075" s="16"/>
      <c r="L1075" s="1"/>
    </row>
    <row r="1076" customFormat="false" ht="15" hidden="false" customHeight="false" outlineLevel="0" collapsed="false">
      <c r="A1076" s="1"/>
      <c r="B1076" s="30" t="s">
        <v>609</v>
      </c>
      <c r="C1076" s="16" t="s">
        <v>610</v>
      </c>
      <c r="D1076" s="16" t="s">
        <v>12</v>
      </c>
      <c r="E1076" s="64" t="n">
        <v>2</v>
      </c>
      <c r="F1076" s="25" t="s">
        <v>179</v>
      </c>
      <c r="G1076" s="17" t="n">
        <v>11.95</v>
      </c>
      <c r="H1076" s="17" t="n">
        <v>23.9</v>
      </c>
      <c r="I1076" s="62" t="n">
        <f aca="false">IF(OR(E1076="",G1076=""),"",ROUND(E1076*G1076,2))</f>
        <v>23.9</v>
      </c>
      <c r="J1076" s="25" t="str">
        <f aca="false">IF(OR(H1076="",I1076=""),"",IF(ABS(H1076-I1076)&lt;=0.02,"OK","≠"))</f>
        <v>OK</v>
      </c>
      <c r="K1076" s="16"/>
      <c r="L1076" s="1"/>
    </row>
    <row r="1077" customFormat="false" ht="15" hidden="false" customHeight="false" outlineLevel="0" collapsed="false">
      <c r="A1077" s="1"/>
      <c r="B1077" s="32" t="s">
        <v>877</v>
      </c>
      <c r="C1077" s="19" t="s">
        <v>353</v>
      </c>
      <c r="D1077" s="19" t="s">
        <v>12</v>
      </c>
      <c r="E1077" s="65" t="n">
        <v>1</v>
      </c>
      <c r="F1077" s="27" t="s">
        <v>179</v>
      </c>
      <c r="G1077" s="20" t="n">
        <v>10.4</v>
      </c>
      <c r="H1077" s="20" t="n">
        <v>10.4</v>
      </c>
      <c r="I1077" s="62" t="n">
        <f aca="false">IF(OR(E1077="",G1077=""),"",ROUND(E1077*G1077,2))</f>
        <v>10.4</v>
      </c>
      <c r="J1077" s="25" t="str">
        <f aca="false">IF(OR(H1077="",I1077=""),"",IF(ABS(H1077-I1077)&lt;=0.02,"OK","≠"))</f>
        <v>OK</v>
      </c>
      <c r="K1077" s="16"/>
      <c r="L1077" s="1"/>
    </row>
    <row r="1078" customFormat="false" ht="15" hidden="false" customHeight="false" outlineLevel="0" collapsed="false">
      <c r="A1078" s="1"/>
      <c r="B1078" s="30" t="s">
        <v>857</v>
      </c>
      <c r="C1078" s="16" t="s">
        <v>858</v>
      </c>
      <c r="D1078" s="16" t="s">
        <v>12</v>
      </c>
      <c r="E1078" s="64" t="n">
        <v>1</v>
      </c>
      <c r="F1078" s="25" t="s">
        <v>179</v>
      </c>
      <c r="G1078" s="17" t="n">
        <v>6.99</v>
      </c>
      <c r="H1078" s="17" t="n">
        <v>6.99</v>
      </c>
      <c r="I1078" s="62" t="n">
        <f aca="false">IF(OR(E1078="",G1078=""),"",ROUND(E1078*G1078,2))</f>
        <v>6.99</v>
      </c>
      <c r="J1078" s="25" t="str">
        <f aca="false">IF(OR(H1078="",I1078=""),"",IF(ABS(H1078-I1078)&lt;=0.02,"OK","≠"))</f>
        <v>OK</v>
      </c>
      <c r="K1078" s="16"/>
      <c r="L1078" s="1"/>
    </row>
    <row r="1079" customFormat="false" ht="15" hidden="false" customHeight="false" outlineLevel="0" collapsed="false">
      <c r="A1079" s="1"/>
      <c r="B1079" s="32" t="s">
        <v>863</v>
      </c>
      <c r="C1079" s="19" t="s">
        <v>862</v>
      </c>
      <c r="D1079" s="19" t="s">
        <v>12</v>
      </c>
      <c r="E1079" s="65" t="n">
        <v>2</v>
      </c>
      <c r="F1079" s="27" t="s">
        <v>179</v>
      </c>
      <c r="G1079" s="20" t="n">
        <v>7.65</v>
      </c>
      <c r="H1079" s="20" t="n">
        <v>15.3</v>
      </c>
      <c r="I1079" s="62" t="n">
        <f aca="false">IF(OR(E1079="",G1079=""),"",ROUND(E1079*G1079,2))</f>
        <v>15.3</v>
      </c>
      <c r="J1079" s="25" t="str">
        <f aca="false">IF(OR(H1079="",I1079=""),"",IF(ABS(H1079-I1079)&lt;=0.02,"OK","≠"))</f>
        <v>OK</v>
      </c>
      <c r="K1079" s="16"/>
      <c r="L1079" s="1"/>
    </row>
    <row r="1080" customFormat="false" ht="15" hidden="false" customHeight="false" outlineLevel="0" collapsed="false">
      <c r="A1080" s="1"/>
      <c r="B1080" s="30" t="s">
        <v>878</v>
      </c>
      <c r="C1080" s="16" t="s">
        <v>862</v>
      </c>
      <c r="D1080" s="16" t="s">
        <v>12</v>
      </c>
      <c r="E1080" s="64" t="n">
        <v>2</v>
      </c>
      <c r="F1080" s="25" t="s">
        <v>179</v>
      </c>
      <c r="G1080" s="17" t="n">
        <v>7.65</v>
      </c>
      <c r="H1080" s="17" t="n">
        <v>15.3</v>
      </c>
      <c r="I1080" s="62" t="n">
        <f aca="false">IF(OR(E1080="",G1080=""),"",ROUND(E1080*G1080,2))</f>
        <v>15.3</v>
      </c>
      <c r="J1080" s="25" t="str">
        <f aca="false">IF(OR(H1080="",I1080=""),"",IF(ABS(H1080-I1080)&lt;=0.02,"OK","≠"))</f>
        <v>OK</v>
      </c>
      <c r="K1080" s="16"/>
      <c r="L1080" s="1"/>
    </row>
    <row r="1081" customFormat="false" ht="15" hidden="false" customHeight="false" outlineLevel="0" collapsed="false">
      <c r="A1081" s="1"/>
      <c r="B1081" s="32" t="s">
        <v>879</v>
      </c>
      <c r="C1081" s="19" t="s">
        <v>880</v>
      </c>
      <c r="D1081" s="19" t="s">
        <v>16</v>
      </c>
      <c r="E1081" s="65" t="n">
        <v>1</v>
      </c>
      <c r="F1081" s="27" t="s">
        <v>179</v>
      </c>
      <c r="G1081" s="20" t="n">
        <v>8.3</v>
      </c>
      <c r="H1081" s="20" t="n">
        <v>8.3</v>
      </c>
      <c r="I1081" s="62" t="n">
        <f aca="false">IF(OR(E1081="",G1081=""),"",ROUND(E1081*G1081,2))</f>
        <v>8.3</v>
      </c>
      <c r="J1081" s="25" t="str">
        <f aca="false">IF(OR(H1081="",I1081=""),"",IF(ABS(H1081-I1081)&lt;=0.02,"OK","≠"))</f>
        <v>OK</v>
      </c>
      <c r="K1081" s="16"/>
      <c r="L1081" s="1"/>
    </row>
    <row r="1082" customFormat="false" ht="15" hidden="false" customHeight="false" outlineLevel="0" collapsed="false">
      <c r="A1082" s="1"/>
      <c r="B1082" s="30" t="s">
        <v>881</v>
      </c>
      <c r="C1082" s="16" t="s">
        <v>882</v>
      </c>
      <c r="D1082" s="16" t="s">
        <v>17</v>
      </c>
      <c r="E1082" s="64" t="n">
        <v>0.518</v>
      </c>
      <c r="F1082" s="25" t="s">
        <v>176</v>
      </c>
      <c r="G1082" s="17" t="n">
        <v>32.5</v>
      </c>
      <c r="H1082" s="17" t="n">
        <v>16.84</v>
      </c>
      <c r="I1082" s="62" t="n">
        <f aca="false">IF(OR(E1082="",G1082=""),"",ROUND(E1082*G1082,2))</f>
        <v>16.84</v>
      </c>
      <c r="J1082" s="25" t="str">
        <f aca="false">IF(OR(H1082="",I1082=""),"",IF(ABS(H1082-I1082)&lt;=0.02,"OK","≠"))</f>
        <v>OK</v>
      </c>
      <c r="K1082" s="16"/>
      <c r="L1082" s="1"/>
    </row>
    <row r="1083" customFormat="false" ht="15" hidden="false" customHeight="false" outlineLevel="0" collapsed="false">
      <c r="A1083" s="1"/>
      <c r="B1083" s="32" t="s">
        <v>883</v>
      </c>
      <c r="C1083" s="19" t="s">
        <v>884</v>
      </c>
      <c r="D1083" s="19" t="s">
        <v>13</v>
      </c>
      <c r="E1083" s="65" t="n">
        <v>1</v>
      </c>
      <c r="F1083" s="27" t="s">
        <v>179</v>
      </c>
      <c r="G1083" s="20" t="n">
        <v>7.85</v>
      </c>
      <c r="H1083" s="20" t="n">
        <v>7.85</v>
      </c>
      <c r="I1083" s="62" t="n">
        <f aca="false">IF(OR(E1083="",G1083=""),"",ROUND(E1083*G1083,2))</f>
        <v>7.85</v>
      </c>
      <c r="J1083" s="25" t="str">
        <f aca="false">IF(OR(H1083="",I1083=""),"",IF(ABS(H1083-I1083)&lt;=0.02,"OK","≠"))</f>
        <v>OK</v>
      </c>
      <c r="K1083" s="16"/>
      <c r="L1083" s="1"/>
    </row>
    <row r="1084" customFormat="false" ht="15" hidden="false" customHeight="false" outlineLevel="0" collapsed="false">
      <c r="A1084" s="1"/>
      <c r="B1084" s="30" t="s">
        <v>605</v>
      </c>
      <c r="C1084" s="16" t="s">
        <v>606</v>
      </c>
      <c r="D1084" s="16" t="s">
        <v>16</v>
      </c>
      <c r="E1084" s="64" t="n">
        <v>2</v>
      </c>
      <c r="F1084" s="25" t="s">
        <v>179</v>
      </c>
      <c r="G1084" s="17" t="n">
        <v>3.45</v>
      </c>
      <c r="H1084" s="17" t="n">
        <v>6.9</v>
      </c>
      <c r="I1084" s="62" t="n">
        <f aca="false">IF(OR(E1084="",G1084=""),"",ROUND(E1084*G1084,2))</f>
        <v>6.9</v>
      </c>
      <c r="J1084" s="25" t="str">
        <f aca="false">IF(OR(H1084="",I1084=""),"",IF(ABS(H1084-I1084)&lt;=0.02,"OK","≠"))</f>
        <v>OK</v>
      </c>
      <c r="K1084" s="16"/>
      <c r="L1084" s="1"/>
    </row>
    <row r="1085" customFormat="false" ht="15" hidden="false" customHeight="false" outlineLevel="0" collapsed="false">
      <c r="A1085" s="1"/>
      <c r="B1085" s="32" t="s">
        <v>885</v>
      </c>
      <c r="C1085" s="19" t="s">
        <v>886</v>
      </c>
      <c r="D1085" s="19" t="s">
        <v>12</v>
      </c>
      <c r="E1085" s="65" t="n">
        <v>1</v>
      </c>
      <c r="F1085" s="27" t="s">
        <v>179</v>
      </c>
      <c r="G1085" s="20" t="n">
        <v>26</v>
      </c>
      <c r="H1085" s="20" t="n">
        <v>26</v>
      </c>
      <c r="I1085" s="62" t="n">
        <f aca="false">IF(OR(E1085="",G1085=""),"",ROUND(E1085*G1085,2))</f>
        <v>26</v>
      </c>
      <c r="J1085" s="25" t="str">
        <f aca="false">IF(OR(H1085="",I1085=""),"",IF(ABS(H1085-I1085)&lt;=0.02,"OK","≠"))</f>
        <v>OK</v>
      </c>
      <c r="K1085" s="16"/>
      <c r="L1085" s="1"/>
    </row>
    <row r="1086" customFormat="false" ht="15" hidden="false" customHeight="false" outlineLevel="0" collapsed="false">
      <c r="A1086" s="1"/>
      <c r="B1086" s="30" t="s">
        <v>887</v>
      </c>
      <c r="C1086" s="16" t="s">
        <v>888</v>
      </c>
      <c r="D1086" s="16" t="s">
        <v>13</v>
      </c>
      <c r="E1086" s="64" t="n">
        <v>1</v>
      </c>
      <c r="F1086" s="25" t="s">
        <v>179</v>
      </c>
      <c r="G1086" s="17" t="n">
        <v>9</v>
      </c>
      <c r="H1086" s="17" t="n">
        <v>9</v>
      </c>
      <c r="I1086" s="62" t="n">
        <f aca="false">IF(OR(E1086="",G1086=""),"",ROUND(E1086*G1086,2))</f>
        <v>9</v>
      </c>
      <c r="J1086" s="25" t="str">
        <f aca="false">IF(OR(H1086="",I1086=""),"",IF(ABS(H1086-I1086)&lt;=0.02,"OK","≠"))</f>
        <v>OK</v>
      </c>
      <c r="K1086" s="16"/>
      <c r="L1086" s="1"/>
    </row>
    <row r="1087" customFormat="false" ht="15" hidden="false" customHeight="false" outlineLevel="0" collapsed="false">
      <c r="A1087" s="1"/>
      <c r="B1087" s="32" t="s">
        <v>889</v>
      </c>
      <c r="C1087" s="19" t="s">
        <v>884</v>
      </c>
      <c r="D1087" s="19" t="s">
        <v>13</v>
      </c>
      <c r="E1087" s="65" t="n">
        <v>1</v>
      </c>
      <c r="F1087" s="27" t="s">
        <v>179</v>
      </c>
      <c r="G1087" s="20" t="n">
        <v>7.85</v>
      </c>
      <c r="H1087" s="20" t="n">
        <v>7.85</v>
      </c>
      <c r="I1087" s="62" t="n">
        <f aca="false">IF(OR(E1087="",G1087=""),"",ROUND(E1087*G1087,2))</f>
        <v>7.85</v>
      </c>
      <c r="J1087" s="25" t="str">
        <f aca="false">IF(OR(H1087="",I1087=""),"",IF(ABS(H1087-I1087)&lt;=0.02,"OK","≠"))</f>
        <v>OK</v>
      </c>
      <c r="K1087" s="16"/>
      <c r="L1087" s="1"/>
    </row>
    <row r="1088" customFormat="false" ht="15" hidden="false" customHeight="false" outlineLevel="0" collapsed="false">
      <c r="A1088" s="1"/>
      <c r="B1088" s="30" t="s">
        <v>890</v>
      </c>
      <c r="C1088" s="16" t="s">
        <v>284</v>
      </c>
      <c r="D1088" s="16" t="s">
        <v>15</v>
      </c>
      <c r="E1088" s="64" t="n">
        <v>1.597</v>
      </c>
      <c r="F1088" s="25" t="s">
        <v>176</v>
      </c>
      <c r="G1088" s="17" t="n">
        <v>6.99</v>
      </c>
      <c r="H1088" s="17" t="n">
        <v>11.16</v>
      </c>
      <c r="I1088" s="62" t="n">
        <f aca="false">IF(OR(E1088="",G1088=""),"",ROUND(E1088*G1088,2))</f>
        <v>11.16</v>
      </c>
      <c r="J1088" s="25" t="str">
        <f aca="false">IF(OR(H1088="",I1088=""),"",IF(ABS(H1088-I1088)&lt;=0.02,"OK","≠"))</f>
        <v>OK</v>
      </c>
      <c r="K1088" s="16"/>
      <c r="L1088" s="1"/>
    </row>
    <row r="1089" customFormat="false" ht="15" hidden="false" customHeight="false" outlineLevel="0" collapsed="false">
      <c r="A1089" s="1"/>
      <c r="B1089" s="32" t="s">
        <v>891</v>
      </c>
      <c r="C1089" s="19" t="s">
        <v>892</v>
      </c>
      <c r="D1089" s="19" t="s">
        <v>15</v>
      </c>
      <c r="E1089" s="65" t="n">
        <v>1</v>
      </c>
      <c r="F1089" s="27" t="s">
        <v>179</v>
      </c>
      <c r="G1089" s="20" t="n">
        <v>5.2</v>
      </c>
      <c r="H1089" s="20" t="n">
        <v>5.2</v>
      </c>
      <c r="I1089" s="62" t="n">
        <f aca="false">IF(OR(E1089="",G1089=""),"",ROUND(E1089*G1089,2))</f>
        <v>5.2</v>
      </c>
      <c r="J1089" s="25" t="str">
        <f aca="false">IF(OR(H1089="",I1089=""),"",IF(ABS(H1089-I1089)&lt;=0.02,"OK","≠"))</f>
        <v>OK</v>
      </c>
      <c r="K1089" s="16"/>
      <c r="L1089" s="1"/>
    </row>
    <row r="1090" customFormat="false" ht="15" hidden="false" customHeight="false" outlineLevel="0" collapsed="false">
      <c r="A1090" s="1"/>
      <c r="B1090" s="1"/>
      <c r="C1090" s="1"/>
      <c r="D1090" s="1"/>
      <c r="E1090" s="1"/>
      <c r="F1090" s="1"/>
      <c r="G1090" s="1"/>
      <c r="H1090" s="1"/>
      <c r="I1090" s="1"/>
      <c r="J1090" s="1"/>
      <c r="K1090" s="1"/>
      <c r="L1090" s="1"/>
    </row>
    <row r="1091" customFormat="false" ht="19.5" hidden="false" customHeight="true" outlineLevel="0" collapsed="false">
      <c r="A1091" s="1"/>
      <c r="B1091" s="63" t="s">
        <v>893</v>
      </c>
      <c r="C1091" s="63"/>
      <c r="D1091" s="63"/>
      <c r="E1091" s="63"/>
      <c r="F1091" s="63"/>
      <c r="G1091" s="63"/>
      <c r="H1091" s="63"/>
      <c r="I1091" s="63"/>
      <c r="J1091" s="63"/>
      <c r="K1091" s="63"/>
      <c r="L1091" s="1"/>
    </row>
    <row r="1092" customFormat="false" ht="15" hidden="false" customHeight="false" outlineLevel="0" collapsed="false">
      <c r="A1092" s="1"/>
      <c r="B1092" s="50" t="s">
        <v>34</v>
      </c>
      <c r="C1092" s="45" t="s">
        <v>36</v>
      </c>
      <c r="D1092" s="45"/>
      <c r="E1092" s="50" t="s">
        <v>157</v>
      </c>
      <c r="F1092" s="50"/>
      <c r="G1092" s="45" t="s">
        <v>894</v>
      </c>
      <c r="H1092" s="45"/>
      <c r="I1092" s="45"/>
      <c r="J1092" s="45"/>
      <c r="K1092" s="45"/>
      <c r="L1092" s="1"/>
    </row>
    <row r="1093" customFormat="false" ht="15" hidden="false" customHeight="false" outlineLevel="0" collapsed="false">
      <c r="A1093" s="1"/>
      <c r="B1093" s="50" t="s">
        <v>78</v>
      </c>
      <c r="C1093" s="39" t="n">
        <v>46215</v>
      </c>
      <c r="D1093" s="39"/>
      <c r="E1093" s="50" t="s">
        <v>80</v>
      </c>
      <c r="F1093" s="50"/>
      <c r="G1093" s="45" t="s">
        <v>173</v>
      </c>
      <c r="H1093" s="45"/>
      <c r="I1093" s="45"/>
      <c r="J1093" s="45"/>
      <c r="K1093" s="45"/>
      <c r="L1093" s="1"/>
    </row>
    <row r="1094" customFormat="false" ht="15" hidden="false" customHeight="false" outlineLevel="0" collapsed="false">
      <c r="A1094" s="1"/>
      <c r="B1094" s="50" t="s">
        <v>158</v>
      </c>
      <c r="C1094" s="55" t="n">
        <v>26</v>
      </c>
      <c r="D1094" s="55"/>
      <c r="E1094" s="50" t="s">
        <v>159</v>
      </c>
      <c r="F1094" s="50"/>
      <c r="G1094" s="56" t="n">
        <v>134.58</v>
      </c>
      <c r="H1094" s="56"/>
      <c r="I1094" s="56"/>
      <c r="J1094" s="56"/>
      <c r="K1094" s="56"/>
      <c r="L1094" s="1"/>
    </row>
    <row r="1095" customFormat="false" ht="15" hidden="false" customHeight="false" outlineLevel="0" collapsed="false">
      <c r="A1095" s="1"/>
      <c r="B1095" s="50" t="s">
        <v>160</v>
      </c>
      <c r="C1095" s="55" t="n">
        <f aca="false">COUNT(H1099:H1111)</f>
        <v>13</v>
      </c>
      <c r="D1095" s="55"/>
      <c r="E1095" s="50" t="s">
        <v>161</v>
      </c>
      <c r="F1095" s="50"/>
      <c r="G1095" s="56" t="n">
        <f aca="false">ROUND(SUM(H1099:H1111),2)</f>
        <v>134.58</v>
      </c>
      <c r="H1095" s="56"/>
      <c r="I1095" s="56"/>
      <c r="J1095" s="56"/>
      <c r="K1095" s="56"/>
      <c r="L1095" s="1"/>
    </row>
    <row r="1096" customFormat="false" ht="15" hidden="false" customHeight="false" outlineLevel="0" collapsed="false">
      <c r="A1096" s="1"/>
      <c r="B1096" s="50" t="s">
        <v>162</v>
      </c>
      <c r="C1096" s="55" t="n">
        <f aca="false">ROUND(SUMPRODUCT(((F1099:F1111="KG")+(F1099:F1111="G"))*1)+SUMPRODUCT((F1099:F1111&lt;&gt;"KG")*(F1099:F1111&lt;&gt;"G")*E1099:E1111),0)</f>
        <v>26</v>
      </c>
      <c r="D1096" s="55"/>
      <c r="E1096" s="50" t="s">
        <v>163</v>
      </c>
      <c r="F1096" s="50"/>
      <c r="G1096" s="56" t="n">
        <f aca="false">IF(G1094="","",ROUND(G1094-G1095,2))</f>
        <v>0</v>
      </c>
      <c r="H1096" s="56"/>
      <c r="I1096" s="56"/>
      <c r="J1096" s="56"/>
      <c r="K1096" s="56"/>
      <c r="L1096" s="1"/>
    </row>
    <row r="1097" customFormat="false" ht="15" hidden="false" customHeight="false" outlineLevel="0" collapsed="false">
      <c r="A1097" s="1"/>
      <c r="B1097" s="50" t="s">
        <v>84</v>
      </c>
      <c r="C1097" s="57" t="str">
        <f aca="false">IF(C1095=0,"— aguardando lançamento",IF(G1094="","SEM TOTAL OFICIAL — informe o total do cupom",IF(AND(OR(C1094="",C1094=C1095,C1094=C1096),ABS(G1096)&lt;=0.05),"FECHADO — itens e valor conferem",IF(ABS(G1096)&lt;=0.05,"REVISAR — qtd. de itens não bate","REVISAR — diferença de R$ "&amp;ABS(G1096)))))</f>
        <v>FECHADO — itens e valor conferem</v>
      </c>
      <c r="D1097" s="57"/>
      <c r="E1097" s="57"/>
      <c r="F1097" s="57"/>
      <c r="G1097" s="50" t="s">
        <v>164</v>
      </c>
      <c r="H1097" s="30"/>
      <c r="I1097" s="30"/>
      <c r="J1097" s="30"/>
      <c r="K1097" s="30"/>
      <c r="L1097" s="1"/>
    </row>
    <row r="1098" customFormat="false" ht="15" hidden="false" customHeight="false" outlineLevel="0" collapsed="false">
      <c r="A1098" s="1"/>
      <c r="B1098" s="15" t="s">
        <v>165</v>
      </c>
      <c r="C1098" s="15" t="s">
        <v>52</v>
      </c>
      <c r="D1098" s="15" t="s">
        <v>9</v>
      </c>
      <c r="E1098" s="15" t="s">
        <v>166</v>
      </c>
      <c r="F1098" s="15" t="s">
        <v>167</v>
      </c>
      <c r="G1098" s="15" t="s">
        <v>168</v>
      </c>
      <c r="H1098" s="15" t="s">
        <v>10</v>
      </c>
      <c r="I1098" s="15" t="s">
        <v>169</v>
      </c>
      <c r="J1098" s="15" t="s">
        <v>170</v>
      </c>
      <c r="K1098" s="15"/>
      <c r="L1098" s="1"/>
    </row>
    <row r="1099" customFormat="false" ht="15" hidden="false" customHeight="false" outlineLevel="0" collapsed="false">
      <c r="A1099" s="1"/>
      <c r="B1099" s="30" t="s">
        <v>439</v>
      </c>
      <c r="C1099" s="16" t="s">
        <v>440</v>
      </c>
      <c r="D1099" s="16" t="s">
        <v>16</v>
      </c>
      <c r="E1099" s="64" t="n">
        <v>12</v>
      </c>
      <c r="F1099" s="25" t="s">
        <v>179</v>
      </c>
      <c r="G1099" s="17" t="n">
        <v>1.65</v>
      </c>
      <c r="H1099" s="17" t="n">
        <v>19.8</v>
      </c>
      <c r="I1099" s="62" t="n">
        <f aca="false">IF(OR(E1099="",G1099=""),"",ROUND(E1099*G1099,2))</f>
        <v>19.8</v>
      </c>
      <c r="J1099" s="25" t="str">
        <f aca="false">IF(OR(H1099="",I1099=""),"",IF(ABS(H1099-I1099)&lt;=0.02,"OK","≠"))</f>
        <v>OK</v>
      </c>
      <c r="K1099" s="16"/>
      <c r="L1099" s="1"/>
    </row>
    <row r="1100" customFormat="false" ht="15" hidden="false" customHeight="false" outlineLevel="0" collapsed="false">
      <c r="A1100" s="1"/>
      <c r="B1100" s="32" t="s">
        <v>895</v>
      </c>
      <c r="C1100" s="19" t="s">
        <v>896</v>
      </c>
      <c r="D1100" s="19" t="s">
        <v>13</v>
      </c>
      <c r="E1100" s="65" t="n">
        <v>1</v>
      </c>
      <c r="F1100" s="27" t="s">
        <v>179</v>
      </c>
      <c r="G1100" s="20" t="n">
        <v>5.59</v>
      </c>
      <c r="H1100" s="20" t="n">
        <v>5.59</v>
      </c>
      <c r="I1100" s="62" t="n">
        <f aca="false">IF(OR(E1100="",G1100=""),"",ROUND(E1100*G1100,2))</f>
        <v>5.59</v>
      </c>
      <c r="J1100" s="25" t="str">
        <f aca="false">IF(OR(H1100="",I1100=""),"",IF(ABS(H1100-I1100)&lt;=0.02,"OK","≠"))</f>
        <v>OK</v>
      </c>
      <c r="K1100" s="16"/>
      <c r="L1100" s="1"/>
    </row>
    <row r="1101" customFormat="false" ht="15" hidden="false" customHeight="false" outlineLevel="0" collapsed="false">
      <c r="A1101" s="1"/>
      <c r="B1101" s="30" t="s">
        <v>897</v>
      </c>
      <c r="C1101" s="16" t="s">
        <v>898</v>
      </c>
      <c r="D1101" s="16" t="s">
        <v>12</v>
      </c>
      <c r="E1101" s="64" t="n">
        <v>1</v>
      </c>
      <c r="F1101" s="25" t="s">
        <v>179</v>
      </c>
      <c r="G1101" s="17" t="n">
        <v>9.35</v>
      </c>
      <c r="H1101" s="17" t="n">
        <v>9.35</v>
      </c>
      <c r="I1101" s="62" t="n">
        <f aca="false">IF(OR(E1101="",G1101=""),"",ROUND(E1101*G1101,2))</f>
        <v>9.35</v>
      </c>
      <c r="J1101" s="25" t="str">
        <f aca="false">IF(OR(H1101="",I1101=""),"",IF(ABS(H1101-I1101)&lt;=0.02,"OK","≠"))</f>
        <v>OK</v>
      </c>
      <c r="K1101" s="16"/>
      <c r="L1101" s="1"/>
    </row>
    <row r="1102" customFormat="false" ht="15" hidden="false" customHeight="false" outlineLevel="0" collapsed="false">
      <c r="A1102" s="1"/>
      <c r="B1102" s="32" t="s">
        <v>230</v>
      </c>
      <c r="C1102" s="19" t="s">
        <v>574</v>
      </c>
      <c r="D1102" s="19" t="s">
        <v>13</v>
      </c>
      <c r="E1102" s="65" t="n">
        <v>1</v>
      </c>
      <c r="F1102" s="27" t="s">
        <v>179</v>
      </c>
      <c r="G1102" s="20" t="n">
        <v>6.65</v>
      </c>
      <c r="H1102" s="20" t="n">
        <v>6.65</v>
      </c>
      <c r="I1102" s="62" t="n">
        <f aca="false">IF(OR(E1102="",G1102=""),"",ROUND(E1102*G1102,2))</f>
        <v>6.65</v>
      </c>
      <c r="J1102" s="25" t="str">
        <f aca="false">IF(OR(H1102="",I1102=""),"",IF(ABS(H1102-I1102)&lt;=0.02,"OK","≠"))</f>
        <v>OK</v>
      </c>
      <c r="K1102" s="16"/>
      <c r="L1102" s="1"/>
    </row>
    <row r="1103" customFormat="false" ht="15" hidden="false" customHeight="false" outlineLevel="0" collapsed="false">
      <c r="A1103" s="1"/>
      <c r="B1103" s="30" t="s">
        <v>883</v>
      </c>
      <c r="C1103" s="16" t="s">
        <v>884</v>
      </c>
      <c r="D1103" s="16" t="s">
        <v>13</v>
      </c>
      <c r="E1103" s="64" t="n">
        <v>1</v>
      </c>
      <c r="F1103" s="25" t="s">
        <v>179</v>
      </c>
      <c r="G1103" s="17" t="n">
        <v>7.85</v>
      </c>
      <c r="H1103" s="17" t="n">
        <v>7.85</v>
      </c>
      <c r="I1103" s="62" t="n">
        <f aca="false">IF(OR(E1103="",G1103=""),"",ROUND(E1103*G1103,2))</f>
        <v>7.85</v>
      </c>
      <c r="J1103" s="25" t="str">
        <f aca="false">IF(OR(H1103="",I1103=""),"",IF(ABS(H1103-I1103)&lt;=0.02,"OK","≠"))</f>
        <v>OK</v>
      </c>
      <c r="K1103" s="16"/>
      <c r="L1103" s="1"/>
    </row>
    <row r="1104" customFormat="false" ht="15" hidden="false" customHeight="false" outlineLevel="0" collapsed="false">
      <c r="A1104" s="1"/>
      <c r="B1104" s="32" t="s">
        <v>605</v>
      </c>
      <c r="C1104" s="19" t="s">
        <v>606</v>
      </c>
      <c r="D1104" s="19" t="s">
        <v>16</v>
      </c>
      <c r="E1104" s="65" t="n">
        <v>3</v>
      </c>
      <c r="F1104" s="27" t="s">
        <v>179</v>
      </c>
      <c r="G1104" s="20" t="n">
        <v>3.45</v>
      </c>
      <c r="H1104" s="20" t="n">
        <v>10.35</v>
      </c>
      <c r="I1104" s="62" t="n">
        <f aca="false">IF(OR(E1104="",G1104=""),"",ROUND(E1104*G1104,2))</f>
        <v>10.35</v>
      </c>
      <c r="J1104" s="25" t="str">
        <f aca="false">IF(OR(H1104="",I1104=""),"",IF(ABS(H1104-I1104)&lt;=0.02,"OK","≠"))</f>
        <v>OK</v>
      </c>
      <c r="K1104" s="16"/>
      <c r="L1104" s="1"/>
    </row>
    <row r="1105" customFormat="false" ht="15" hidden="false" customHeight="false" outlineLevel="0" collapsed="false">
      <c r="A1105" s="1"/>
      <c r="B1105" s="30" t="s">
        <v>899</v>
      </c>
      <c r="C1105" s="16" t="s">
        <v>900</v>
      </c>
      <c r="D1105" s="16" t="s">
        <v>12</v>
      </c>
      <c r="E1105" s="64" t="n">
        <v>1</v>
      </c>
      <c r="F1105" s="25" t="s">
        <v>179</v>
      </c>
      <c r="G1105" s="17" t="n">
        <v>19.6</v>
      </c>
      <c r="H1105" s="17" t="n">
        <v>19.6</v>
      </c>
      <c r="I1105" s="62" t="n">
        <f aca="false">IF(OR(E1105="",G1105=""),"",ROUND(E1105*G1105,2))</f>
        <v>19.6</v>
      </c>
      <c r="J1105" s="25" t="str">
        <f aca="false">IF(OR(H1105="",I1105=""),"",IF(ABS(H1105-I1105)&lt;=0.02,"OK","≠"))</f>
        <v>OK</v>
      </c>
      <c r="K1105" s="16"/>
      <c r="L1105" s="1"/>
    </row>
    <row r="1106" customFormat="false" ht="15" hidden="false" customHeight="false" outlineLevel="0" collapsed="false">
      <c r="A1106" s="1"/>
      <c r="B1106" s="32" t="s">
        <v>251</v>
      </c>
      <c r="C1106" s="19" t="s">
        <v>252</v>
      </c>
      <c r="D1106" s="19" t="s">
        <v>14</v>
      </c>
      <c r="E1106" s="65" t="n">
        <v>0.25</v>
      </c>
      <c r="F1106" s="27" t="s">
        <v>176</v>
      </c>
      <c r="G1106" s="20" t="n">
        <v>45</v>
      </c>
      <c r="H1106" s="20" t="n">
        <v>11.25</v>
      </c>
      <c r="I1106" s="62" t="n">
        <f aca="false">IF(OR(E1106="",G1106=""),"",ROUND(E1106*G1106,2))</f>
        <v>11.25</v>
      </c>
      <c r="J1106" s="25" t="str">
        <f aca="false">IF(OR(H1106="",I1106=""),"",IF(ABS(H1106-I1106)&lt;=0.02,"OK","≠"))</f>
        <v>OK</v>
      </c>
      <c r="K1106" s="16"/>
      <c r="L1106" s="1"/>
    </row>
    <row r="1107" customFormat="false" ht="15" hidden="false" customHeight="false" outlineLevel="0" collapsed="false">
      <c r="A1107" s="1"/>
      <c r="B1107" s="30" t="s">
        <v>865</v>
      </c>
      <c r="C1107" s="16" t="s">
        <v>635</v>
      </c>
      <c r="D1107" s="16" t="s">
        <v>12</v>
      </c>
      <c r="E1107" s="64" t="n">
        <v>1</v>
      </c>
      <c r="F1107" s="25" t="s">
        <v>179</v>
      </c>
      <c r="G1107" s="17" t="n">
        <v>10.5</v>
      </c>
      <c r="H1107" s="17" t="n">
        <v>10.5</v>
      </c>
      <c r="I1107" s="62" t="n">
        <f aca="false">IF(OR(E1107="",G1107=""),"",ROUND(E1107*G1107,2))</f>
        <v>10.5</v>
      </c>
      <c r="J1107" s="25" t="str">
        <f aca="false">IF(OR(H1107="",I1107=""),"",IF(ABS(H1107-I1107)&lt;=0.02,"OK","≠"))</f>
        <v>OK</v>
      </c>
      <c r="K1107" s="16"/>
      <c r="L1107" s="1"/>
    </row>
    <row r="1108" customFormat="false" ht="15" hidden="false" customHeight="false" outlineLevel="0" collapsed="false">
      <c r="A1108" s="1"/>
      <c r="B1108" s="32" t="s">
        <v>555</v>
      </c>
      <c r="C1108" s="19" t="s">
        <v>354</v>
      </c>
      <c r="D1108" s="19" t="s">
        <v>12</v>
      </c>
      <c r="E1108" s="65" t="n">
        <v>1</v>
      </c>
      <c r="F1108" s="27" t="s">
        <v>179</v>
      </c>
      <c r="G1108" s="20" t="n">
        <v>9.45</v>
      </c>
      <c r="H1108" s="20" t="n">
        <v>9.45</v>
      </c>
      <c r="I1108" s="62" t="n">
        <f aca="false">IF(OR(E1108="",G1108=""),"",ROUND(E1108*G1108,2))</f>
        <v>9.45</v>
      </c>
      <c r="J1108" s="25" t="str">
        <f aca="false">IF(OR(H1108="",I1108=""),"",IF(ABS(H1108-I1108)&lt;=0.02,"OK","≠"))</f>
        <v>OK</v>
      </c>
      <c r="K1108" s="16"/>
      <c r="L1108" s="1"/>
    </row>
    <row r="1109" customFormat="false" ht="15" hidden="false" customHeight="false" outlineLevel="0" collapsed="false">
      <c r="A1109" s="1"/>
      <c r="B1109" s="30" t="s">
        <v>879</v>
      </c>
      <c r="C1109" s="16" t="s">
        <v>880</v>
      </c>
      <c r="D1109" s="16" t="s">
        <v>16</v>
      </c>
      <c r="E1109" s="64" t="n">
        <v>1</v>
      </c>
      <c r="F1109" s="25" t="s">
        <v>179</v>
      </c>
      <c r="G1109" s="17" t="n">
        <v>8.3</v>
      </c>
      <c r="H1109" s="17" t="n">
        <v>8.3</v>
      </c>
      <c r="I1109" s="62" t="n">
        <f aca="false">IF(OR(E1109="",G1109=""),"",ROUND(E1109*G1109,2))</f>
        <v>8.3</v>
      </c>
      <c r="J1109" s="25" t="str">
        <f aca="false">IF(OR(H1109="",I1109=""),"",IF(ABS(H1109-I1109)&lt;=0.02,"OK","≠"))</f>
        <v>OK</v>
      </c>
      <c r="K1109" s="16"/>
      <c r="L1109" s="1"/>
    </row>
    <row r="1110" customFormat="false" ht="15" hidden="false" customHeight="false" outlineLevel="0" collapsed="false">
      <c r="A1110" s="1"/>
      <c r="B1110" s="32" t="s">
        <v>196</v>
      </c>
      <c r="C1110" s="19" t="s">
        <v>398</v>
      </c>
      <c r="D1110" s="19" t="s">
        <v>14</v>
      </c>
      <c r="E1110" s="65" t="n">
        <v>0.392</v>
      </c>
      <c r="F1110" s="27" t="s">
        <v>176</v>
      </c>
      <c r="G1110" s="20" t="n">
        <v>14.9</v>
      </c>
      <c r="H1110" s="20" t="n">
        <v>5.84</v>
      </c>
      <c r="I1110" s="62" t="n">
        <f aca="false">IF(OR(E1110="",G1110=""),"",ROUND(E1110*G1110,2))</f>
        <v>5.84</v>
      </c>
      <c r="J1110" s="25" t="str">
        <f aca="false">IF(OR(H1110="",I1110=""),"",IF(ABS(H1110-I1110)&lt;=0.02,"OK","≠"))</f>
        <v>OK</v>
      </c>
      <c r="K1110" s="16"/>
      <c r="L1110" s="1"/>
    </row>
    <row r="1111" customFormat="false" ht="15" hidden="false" customHeight="false" outlineLevel="0" collapsed="false">
      <c r="A1111" s="1"/>
      <c r="B1111" s="30" t="s">
        <v>890</v>
      </c>
      <c r="C1111" s="16" t="s">
        <v>284</v>
      </c>
      <c r="D1111" s="16" t="s">
        <v>15</v>
      </c>
      <c r="E1111" s="64" t="n">
        <v>1.438</v>
      </c>
      <c r="F1111" s="25" t="s">
        <v>176</v>
      </c>
      <c r="G1111" s="17" t="n">
        <v>6.99</v>
      </c>
      <c r="H1111" s="17" t="n">
        <v>10.05</v>
      </c>
      <c r="I1111" s="62" t="n">
        <f aca="false">IF(OR(E1111="",G1111=""),"",ROUND(E1111*G1111,2))</f>
        <v>10.05</v>
      </c>
      <c r="J1111" s="25" t="str">
        <f aca="false">IF(OR(H1111="",I1111=""),"",IF(ABS(H1111-I1111)&lt;=0.02,"OK","≠"))</f>
        <v>OK</v>
      </c>
      <c r="K1111" s="16"/>
      <c r="L1111" s="1"/>
    </row>
    <row r="1112" customFormat="false" ht="15" hidden="false" customHeight="false" outlineLevel="0" collapsed="false">
      <c r="A1112" s="1"/>
      <c r="B1112" s="1"/>
      <c r="C1112" s="1"/>
      <c r="D1112" s="1"/>
      <c r="E1112" s="1"/>
      <c r="F1112" s="1"/>
      <c r="G1112" s="1"/>
      <c r="H1112" s="1"/>
      <c r="I1112" s="1"/>
      <c r="J1112" s="1"/>
      <c r="K1112" s="1"/>
      <c r="L1112" s="1"/>
    </row>
    <row r="1113" customFormat="false" ht="19.5" hidden="false" customHeight="true" outlineLevel="0" collapsed="false">
      <c r="A1113" s="1"/>
      <c r="B1113" s="63" t="s">
        <v>901</v>
      </c>
      <c r="C1113" s="63"/>
      <c r="D1113" s="63"/>
      <c r="E1113" s="63"/>
      <c r="F1113" s="63"/>
      <c r="G1113" s="63"/>
      <c r="H1113" s="63"/>
      <c r="I1113" s="63"/>
      <c r="J1113" s="63"/>
      <c r="K1113" s="63"/>
      <c r="L1113" s="1"/>
    </row>
    <row r="1114" customFormat="false" ht="15" hidden="false" customHeight="false" outlineLevel="0" collapsed="false">
      <c r="A1114" s="1"/>
      <c r="B1114" s="50" t="s">
        <v>34</v>
      </c>
      <c r="C1114" s="45" t="s">
        <v>38</v>
      </c>
      <c r="D1114" s="45"/>
      <c r="E1114" s="50" t="s">
        <v>157</v>
      </c>
      <c r="F1114" s="50"/>
      <c r="G1114" s="45" t="s">
        <v>902</v>
      </c>
      <c r="H1114" s="45"/>
      <c r="I1114" s="45"/>
      <c r="J1114" s="45"/>
      <c r="K1114" s="45"/>
      <c r="L1114" s="1"/>
    </row>
    <row r="1115" customFormat="false" ht="15" hidden="false" customHeight="false" outlineLevel="0" collapsed="false">
      <c r="A1115" s="1"/>
      <c r="B1115" s="50" t="s">
        <v>78</v>
      </c>
      <c r="C1115" s="39" t="n">
        <v>46217</v>
      </c>
      <c r="D1115" s="39"/>
      <c r="E1115" s="50" t="s">
        <v>80</v>
      </c>
      <c r="F1115" s="50"/>
      <c r="G1115" s="45" t="s">
        <v>173</v>
      </c>
      <c r="H1115" s="45"/>
      <c r="I1115" s="45"/>
      <c r="J1115" s="45"/>
      <c r="K1115" s="45"/>
      <c r="L1115" s="1"/>
    </row>
    <row r="1116" customFormat="false" ht="15" hidden="false" customHeight="false" outlineLevel="0" collapsed="false">
      <c r="A1116" s="1"/>
      <c r="B1116" s="50" t="s">
        <v>158</v>
      </c>
      <c r="C1116" s="55" t="n">
        <v>3</v>
      </c>
      <c r="D1116" s="55"/>
      <c r="E1116" s="50" t="s">
        <v>159</v>
      </c>
      <c r="F1116" s="50"/>
      <c r="G1116" s="56" t="n">
        <v>23.31</v>
      </c>
      <c r="H1116" s="56"/>
      <c r="I1116" s="56"/>
      <c r="J1116" s="56"/>
      <c r="K1116" s="56"/>
      <c r="L1116" s="1"/>
    </row>
    <row r="1117" customFormat="false" ht="15" hidden="false" customHeight="false" outlineLevel="0" collapsed="false">
      <c r="A1117" s="1"/>
      <c r="B1117" s="50" t="s">
        <v>160</v>
      </c>
      <c r="C1117" s="55" t="n">
        <f aca="false">COUNT(H1121:H1123)</f>
        <v>3</v>
      </c>
      <c r="D1117" s="55"/>
      <c r="E1117" s="50" t="s">
        <v>161</v>
      </c>
      <c r="F1117" s="50"/>
      <c r="G1117" s="56" t="n">
        <f aca="false">ROUND(SUM(H1121:H1123),2)</f>
        <v>23.31</v>
      </c>
      <c r="H1117" s="56"/>
      <c r="I1117" s="56"/>
      <c r="J1117" s="56"/>
      <c r="K1117" s="56"/>
      <c r="L1117" s="1"/>
    </row>
    <row r="1118" customFormat="false" ht="15" hidden="false" customHeight="false" outlineLevel="0" collapsed="false">
      <c r="A1118" s="1"/>
      <c r="B1118" s="50" t="s">
        <v>162</v>
      </c>
      <c r="C1118" s="55" t="n">
        <f aca="false">ROUND(SUMPRODUCT(((F1121:F1123="KG")+(F1121:F1123="G"))*1)+SUMPRODUCT((F1121:F1123&lt;&gt;"KG")*(F1121:F1123&lt;&gt;"G")*E1121:E1123),0)</f>
        <v>8</v>
      </c>
      <c r="D1118" s="55"/>
      <c r="E1118" s="50" t="s">
        <v>163</v>
      </c>
      <c r="F1118" s="50"/>
      <c r="G1118" s="56" t="n">
        <f aca="false">IF(G1116="","",ROUND(G1116-G1117,2))</f>
        <v>0</v>
      </c>
      <c r="H1118" s="56"/>
      <c r="I1118" s="56"/>
      <c r="J1118" s="56"/>
      <c r="K1118" s="56"/>
      <c r="L1118" s="1"/>
    </row>
    <row r="1119" customFormat="false" ht="15" hidden="false" customHeight="false" outlineLevel="0" collapsed="false">
      <c r="A1119" s="1"/>
      <c r="B1119" s="50" t="s">
        <v>84</v>
      </c>
      <c r="C1119" s="57" t="str">
        <f aca="false">IF(C1117=0,"— aguardando lançamento",IF(G1116="","SEM TOTAL OFICIAL — informe o total do cupom",IF(AND(OR(C1116="",C1116=C1117,C1116=C1118),ABS(G1118)&lt;=0.05),"FECHADO — itens e valor conferem",IF(ABS(G1118)&lt;=0.05,"REVISAR — qtd. de itens não bate","REVISAR — diferença de R$ "&amp;ABS(G1118)))))</f>
        <v>FECHADO — itens e valor conferem</v>
      </c>
      <c r="D1119" s="57"/>
      <c r="E1119" s="57"/>
      <c r="F1119" s="57"/>
      <c r="G1119" s="50" t="s">
        <v>164</v>
      </c>
      <c r="H1119" s="30"/>
      <c r="I1119" s="30"/>
      <c r="J1119" s="30"/>
      <c r="K1119" s="30"/>
      <c r="L1119" s="1"/>
    </row>
    <row r="1120" customFormat="false" ht="15" hidden="false" customHeight="false" outlineLevel="0" collapsed="false">
      <c r="A1120" s="1"/>
      <c r="B1120" s="15" t="s">
        <v>165</v>
      </c>
      <c r="C1120" s="15" t="s">
        <v>52</v>
      </c>
      <c r="D1120" s="15" t="s">
        <v>9</v>
      </c>
      <c r="E1120" s="15" t="s">
        <v>166</v>
      </c>
      <c r="F1120" s="15" t="s">
        <v>167</v>
      </c>
      <c r="G1120" s="15" t="s">
        <v>168</v>
      </c>
      <c r="H1120" s="15" t="s">
        <v>10</v>
      </c>
      <c r="I1120" s="15" t="s">
        <v>169</v>
      </c>
      <c r="J1120" s="15" t="s">
        <v>170</v>
      </c>
      <c r="K1120" s="15"/>
      <c r="L1120" s="1"/>
    </row>
    <row r="1121" customFormat="false" ht="15" hidden="false" customHeight="false" outlineLevel="0" collapsed="false">
      <c r="A1121" s="1"/>
      <c r="B1121" s="30" t="s">
        <v>903</v>
      </c>
      <c r="C1121" s="16" t="s">
        <v>904</v>
      </c>
      <c r="D1121" s="16" t="s">
        <v>13</v>
      </c>
      <c r="E1121" s="64" t="n">
        <v>6</v>
      </c>
      <c r="F1121" s="25" t="s">
        <v>179</v>
      </c>
      <c r="G1121" s="17" t="n">
        <v>1.4</v>
      </c>
      <c r="H1121" s="17" t="n">
        <v>8.4</v>
      </c>
      <c r="I1121" s="62" t="n">
        <f aca="false">IF(OR(E1121="",G1121=""),"",ROUND(E1121*G1121,2))</f>
        <v>8.4</v>
      </c>
      <c r="J1121" s="25" t="str">
        <f aca="false">IF(OR(H1121="",I1121=""),"",IF(ABS(H1121-I1121)&lt;=0.02,"OK","≠"))</f>
        <v>OK</v>
      </c>
      <c r="K1121" s="16"/>
      <c r="L1121" s="1"/>
    </row>
    <row r="1122" customFormat="false" ht="15" hidden="false" customHeight="false" outlineLevel="0" collapsed="false">
      <c r="A1122" s="1"/>
      <c r="B1122" s="32" t="s">
        <v>905</v>
      </c>
      <c r="C1122" s="19" t="s">
        <v>335</v>
      </c>
      <c r="D1122" s="19" t="s">
        <v>15</v>
      </c>
      <c r="E1122" s="65" t="n">
        <v>1</v>
      </c>
      <c r="F1122" s="27" t="s">
        <v>179</v>
      </c>
      <c r="G1122" s="20" t="n">
        <v>7.5</v>
      </c>
      <c r="H1122" s="20" t="n">
        <v>7.5</v>
      </c>
      <c r="I1122" s="62" t="n">
        <f aca="false">IF(OR(E1122="",G1122=""),"",ROUND(E1122*G1122,2))</f>
        <v>7.5</v>
      </c>
      <c r="J1122" s="25" t="str">
        <f aca="false">IF(OR(H1122="",I1122=""),"",IF(ABS(H1122-I1122)&lt;=0.02,"OK","≠"))</f>
        <v>OK</v>
      </c>
      <c r="K1122" s="16"/>
      <c r="L1122" s="1"/>
    </row>
    <row r="1123" customFormat="false" ht="15" hidden="false" customHeight="false" outlineLevel="0" collapsed="false">
      <c r="A1123" s="1"/>
      <c r="B1123" s="30" t="s">
        <v>283</v>
      </c>
      <c r="C1123" s="16" t="s">
        <v>284</v>
      </c>
      <c r="D1123" s="16" t="s">
        <v>15</v>
      </c>
      <c r="E1123" s="64" t="n">
        <v>1.26</v>
      </c>
      <c r="F1123" s="25" t="s">
        <v>176</v>
      </c>
      <c r="G1123" s="17" t="n">
        <v>5.88</v>
      </c>
      <c r="H1123" s="17" t="n">
        <v>7.41</v>
      </c>
      <c r="I1123" s="62" t="n">
        <f aca="false">IF(OR(E1123="",G1123=""),"",ROUND(E1123*G1123,2))</f>
        <v>7.41</v>
      </c>
      <c r="J1123" s="25" t="str">
        <f aca="false">IF(OR(H1123="",I1123=""),"",IF(ABS(H1123-I1123)&lt;=0.02,"OK","≠"))</f>
        <v>OK</v>
      </c>
      <c r="K1123" s="16"/>
      <c r="L1123" s="1"/>
    </row>
    <row r="1124" customFormat="false" ht="15" hidden="false" customHeight="false" outlineLevel="0" collapsed="false">
      <c r="A1124" s="1"/>
      <c r="B1124" s="1"/>
      <c r="C1124" s="1"/>
      <c r="D1124" s="1"/>
      <c r="E1124" s="1"/>
      <c r="F1124" s="1"/>
      <c r="G1124" s="1"/>
      <c r="H1124" s="1"/>
      <c r="I1124" s="1"/>
      <c r="J1124" s="1"/>
      <c r="K1124" s="1"/>
      <c r="L1124" s="1"/>
    </row>
    <row r="1125" customFormat="false" ht="19.5" hidden="false" customHeight="true" outlineLevel="0" collapsed="false">
      <c r="A1125" s="1"/>
      <c r="B1125" s="63" t="s">
        <v>906</v>
      </c>
      <c r="C1125" s="63"/>
      <c r="D1125" s="63"/>
      <c r="E1125" s="63"/>
      <c r="F1125" s="63"/>
      <c r="G1125" s="63"/>
      <c r="H1125" s="63"/>
      <c r="I1125" s="63"/>
      <c r="J1125" s="63"/>
      <c r="K1125" s="63"/>
      <c r="L1125" s="1"/>
    </row>
    <row r="1126" customFormat="false" ht="15" hidden="false" customHeight="false" outlineLevel="0" collapsed="false">
      <c r="A1126" s="1"/>
      <c r="B1126" s="50" t="s">
        <v>34</v>
      </c>
      <c r="C1126" s="45" t="s">
        <v>37</v>
      </c>
      <c r="D1126" s="45"/>
      <c r="E1126" s="50" t="s">
        <v>157</v>
      </c>
      <c r="F1126" s="50"/>
      <c r="G1126" s="45" t="s">
        <v>907</v>
      </c>
      <c r="H1126" s="45"/>
      <c r="I1126" s="45"/>
      <c r="J1126" s="45"/>
      <c r="K1126" s="45"/>
      <c r="L1126" s="1"/>
    </row>
    <row r="1127" customFormat="false" ht="15" hidden="false" customHeight="false" outlineLevel="0" collapsed="false">
      <c r="A1127" s="1"/>
      <c r="B1127" s="50" t="s">
        <v>78</v>
      </c>
      <c r="C1127" s="39" t="n">
        <v>46217</v>
      </c>
      <c r="D1127" s="39"/>
      <c r="E1127" s="50" t="s">
        <v>80</v>
      </c>
      <c r="F1127" s="50"/>
      <c r="G1127" s="45" t="s">
        <v>173</v>
      </c>
      <c r="H1127" s="45"/>
      <c r="I1127" s="45"/>
      <c r="J1127" s="45"/>
      <c r="K1127" s="45"/>
      <c r="L1127" s="1"/>
    </row>
    <row r="1128" customFormat="false" ht="15" hidden="false" customHeight="false" outlineLevel="0" collapsed="false">
      <c r="A1128" s="1"/>
      <c r="B1128" s="50" t="s">
        <v>158</v>
      </c>
      <c r="C1128" s="55" t="n">
        <v>5</v>
      </c>
      <c r="D1128" s="55"/>
      <c r="E1128" s="50" t="s">
        <v>159</v>
      </c>
      <c r="F1128" s="50"/>
      <c r="G1128" s="56" t="n">
        <v>67.69</v>
      </c>
      <c r="H1128" s="56"/>
      <c r="I1128" s="56"/>
      <c r="J1128" s="56"/>
      <c r="K1128" s="56"/>
      <c r="L1128" s="1"/>
    </row>
    <row r="1129" customFormat="false" ht="15" hidden="false" customHeight="false" outlineLevel="0" collapsed="false">
      <c r="A1129" s="1"/>
      <c r="B1129" s="50" t="s">
        <v>160</v>
      </c>
      <c r="C1129" s="55" t="n">
        <f aca="false">COUNT(H1133:H1137)</f>
        <v>5</v>
      </c>
      <c r="D1129" s="55"/>
      <c r="E1129" s="50" t="s">
        <v>161</v>
      </c>
      <c r="F1129" s="50"/>
      <c r="G1129" s="56" t="n">
        <f aca="false">ROUND(SUM(H1133:H1137),2)</f>
        <v>67.69</v>
      </c>
      <c r="H1129" s="56"/>
      <c r="I1129" s="56"/>
      <c r="J1129" s="56"/>
      <c r="K1129" s="56"/>
      <c r="L1129" s="1"/>
    </row>
    <row r="1130" customFormat="false" ht="15" hidden="false" customHeight="false" outlineLevel="0" collapsed="false">
      <c r="A1130" s="1"/>
      <c r="B1130" s="50" t="s">
        <v>162</v>
      </c>
      <c r="C1130" s="55" t="n">
        <f aca="false">ROUND(SUMPRODUCT(((F1133:F1137="KG")+(F1133:F1137="G"))*1)+SUMPRODUCT((F1133:F1137&lt;&gt;"KG")*(F1133:F1137&lt;&gt;"G")*E1133:E1137),0)</f>
        <v>6</v>
      </c>
      <c r="D1130" s="55"/>
      <c r="E1130" s="50" t="s">
        <v>163</v>
      </c>
      <c r="F1130" s="50"/>
      <c r="G1130" s="56" t="n">
        <f aca="false">IF(G1128="","",ROUND(G1128-G1129,2))</f>
        <v>0</v>
      </c>
      <c r="H1130" s="56"/>
      <c r="I1130" s="56"/>
      <c r="J1130" s="56"/>
      <c r="K1130" s="56"/>
      <c r="L1130" s="1"/>
    </row>
    <row r="1131" customFormat="false" ht="15" hidden="false" customHeight="false" outlineLevel="0" collapsed="false">
      <c r="A1131" s="1"/>
      <c r="B1131" s="50" t="s">
        <v>84</v>
      </c>
      <c r="C1131" s="57" t="str">
        <f aca="false">IF(C1129=0,"— aguardando lançamento",IF(G1128="","SEM TOTAL OFICIAL — informe o total do cupom",IF(AND(OR(C1128="",C1128=C1129,C1128=C1130),ABS(G1130)&lt;=0.05),"FECHADO — itens e valor conferem",IF(ABS(G1130)&lt;=0.05,"REVISAR — qtd. de itens não bate","REVISAR — diferença de R$ "&amp;ABS(G1130)))))</f>
        <v>FECHADO — itens e valor conferem</v>
      </c>
      <c r="D1131" s="57"/>
      <c r="E1131" s="57"/>
      <c r="F1131" s="57"/>
      <c r="G1131" s="50" t="s">
        <v>164</v>
      </c>
      <c r="H1131" s="30"/>
      <c r="I1131" s="30"/>
      <c r="J1131" s="30"/>
      <c r="K1131" s="30"/>
      <c r="L1131" s="1"/>
    </row>
    <row r="1132" customFormat="false" ht="15" hidden="false" customHeight="false" outlineLevel="0" collapsed="false">
      <c r="A1132" s="1"/>
      <c r="B1132" s="15" t="s">
        <v>165</v>
      </c>
      <c r="C1132" s="15" t="s">
        <v>52</v>
      </c>
      <c r="D1132" s="15" t="s">
        <v>9</v>
      </c>
      <c r="E1132" s="15" t="s">
        <v>166</v>
      </c>
      <c r="F1132" s="15" t="s">
        <v>167</v>
      </c>
      <c r="G1132" s="15" t="s">
        <v>168</v>
      </c>
      <c r="H1132" s="15" t="s">
        <v>10</v>
      </c>
      <c r="I1132" s="15" t="s">
        <v>169</v>
      </c>
      <c r="J1132" s="15" t="s">
        <v>170</v>
      </c>
      <c r="K1132" s="15"/>
      <c r="L1132" s="1"/>
    </row>
    <row r="1133" customFormat="false" ht="15" hidden="false" customHeight="false" outlineLevel="0" collapsed="false">
      <c r="A1133" s="1"/>
      <c r="B1133" s="30" t="s">
        <v>458</v>
      </c>
      <c r="C1133" s="16" t="s">
        <v>432</v>
      </c>
      <c r="D1133" s="16" t="s">
        <v>14</v>
      </c>
      <c r="E1133" s="64" t="n">
        <v>0.41</v>
      </c>
      <c r="F1133" s="25" t="s">
        <v>176</v>
      </c>
      <c r="G1133" s="17" t="n">
        <v>17.9</v>
      </c>
      <c r="H1133" s="17" t="n">
        <v>7.34</v>
      </c>
      <c r="I1133" s="62" t="n">
        <f aca="false">IF(OR(E1133="",G1133=""),"",ROUND(E1133*G1133,2))</f>
        <v>7.34</v>
      </c>
      <c r="J1133" s="25" t="str">
        <f aca="false">IF(OR(H1133="",I1133=""),"",IF(ABS(H1133-I1133)&lt;=0.02,"OK","≠"))</f>
        <v>OK</v>
      </c>
      <c r="K1133" s="16"/>
      <c r="L1133" s="1"/>
    </row>
    <row r="1134" customFormat="false" ht="15" hidden="false" customHeight="false" outlineLevel="0" collapsed="false">
      <c r="A1134" s="1"/>
      <c r="B1134" s="32" t="s">
        <v>817</v>
      </c>
      <c r="C1134" s="19" t="s">
        <v>908</v>
      </c>
      <c r="D1134" s="19" t="s">
        <v>14</v>
      </c>
      <c r="E1134" s="65" t="n">
        <v>1</v>
      </c>
      <c r="F1134" s="27" t="s">
        <v>179</v>
      </c>
      <c r="G1134" s="20" t="n">
        <v>10.9</v>
      </c>
      <c r="H1134" s="20" t="n">
        <v>10.9</v>
      </c>
      <c r="I1134" s="62" t="n">
        <f aca="false">IF(OR(E1134="",G1134=""),"",ROUND(E1134*G1134,2))</f>
        <v>10.9</v>
      </c>
      <c r="J1134" s="25" t="str">
        <f aca="false">IF(OR(H1134="",I1134=""),"",IF(ABS(H1134-I1134)&lt;=0.02,"OK","≠"))</f>
        <v>OK</v>
      </c>
      <c r="K1134" s="16"/>
      <c r="L1134" s="1"/>
    </row>
    <row r="1135" customFormat="false" ht="15" hidden="false" customHeight="false" outlineLevel="0" collapsed="false">
      <c r="A1135" s="1"/>
      <c r="B1135" s="30" t="s">
        <v>909</v>
      </c>
      <c r="C1135" s="16" t="s">
        <v>782</v>
      </c>
      <c r="D1135" s="16" t="s">
        <v>17</v>
      </c>
      <c r="E1135" s="64" t="n">
        <v>0.438</v>
      </c>
      <c r="F1135" s="25" t="s">
        <v>176</v>
      </c>
      <c r="G1135" s="17" t="n">
        <v>28.7</v>
      </c>
      <c r="H1135" s="17" t="n">
        <v>12.57</v>
      </c>
      <c r="I1135" s="62" t="n">
        <f aca="false">IF(OR(E1135="",G1135=""),"",ROUND(E1135*G1135,2))</f>
        <v>12.57</v>
      </c>
      <c r="J1135" s="25" t="str">
        <f aca="false">IF(OR(H1135="",I1135=""),"",IF(ABS(H1135-I1135)&lt;=0.02,"OK","≠"))</f>
        <v>OK</v>
      </c>
      <c r="K1135" s="16"/>
      <c r="L1135" s="1"/>
    </row>
    <row r="1136" customFormat="false" ht="15" hidden="false" customHeight="false" outlineLevel="0" collapsed="false">
      <c r="A1136" s="1"/>
      <c r="B1136" s="32" t="s">
        <v>910</v>
      </c>
      <c r="C1136" s="19" t="s">
        <v>911</v>
      </c>
      <c r="D1136" s="19" t="s">
        <v>13</v>
      </c>
      <c r="E1136" s="65" t="n">
        <v>0.428</v>
      </c>
      <c r="F1136" s="27" t="s">
        <v>176</v>
      </c>
      <c r="G1136" s="20" t="n">
        <v>54.9</v>
      </c>
      <c r="H1136" s="20" t="n">
        <v>23.5</v>
      </c>
      <c r="I1136" s="62" t="n">
        <f aca="false">IF(OR(E1136="",G1136=""),"",ROUND(E1136*G1136,2))</f>
        <v>23.5</v>
      </c>
      <c r="J1136" s="25" t="str">
        <f aca="false">IF(OR(H1136="",I1136=""),"",IF(ABS(H1136-I1136)&lt;=0.02,"OK","≠"))</f>
        <v>OK</v>
      </c>
      <c r="K1136" s="16"/>
      <c r="L1136" s="1"/>
    </row>
    <row r="1137" customFormat="false" ht="15" hidden="false" customHeight="false" outlineLevel="0" collapsed="false">
      <c r="A1137" s="1"/>
      <c r="B1137" s="30" t="s">
        <v>230</v>
      </c>
      <c r="C1137" s="16" t="s">
        <v>650</v>
      </c>
      <c r="D1137" s="16" t="s">
        <v>13</v>
      </c>
      <c r="E1137" s="64" t="n">
        <v>2</v>
      </c>
      <c r="F1137" s="25" t="s">
        <v>179</v>
      </c>
      <c r="G1137" s="17" t="n">
        <v>6.69</v>
      </c>
      <c r="H1137" s="17" t="n">
        <v>13.38</v>
      </c>
      <c r="I1137" s="62" t="n">
        <f aca="false">IF(OR(E1137="",G1137=""),"",ROUND(E1137*G1137,2))</f>
        <v>13.38</v>
      </c>
      <c r="J1137" s="25" t="str">
        <f aca="false">IF(OR(H1137="",I1137=""),"",IF(ABS(H1137-I1137)&lt;=0.02,"OK","≠"))</f>
        <v>OK</v>
      </c>
      <c r="K1137" s="16"/>
      <c r="L1137" s="1"/>
    </row>
    <row r="1138" customFormat="false" ht="15" hidden="false" customHeight="false" outlineLevel="0" collapsed="false">
      <c r="A1138" s="1"/>
      <c r="B1138" s="1"/>
      <c r="C1138" s="1"/>
      <c r="D1138" s="1"/>
      <c r="E1138" s="1"/>
      <c r="F1138" s="1"/>
      <c r="G1138" s="1"/>
      <c r="H1138" s="1"/>
      <c r="I1138" s="1"/>
      <c r="J1138" s="1"/>
      <c r="K1138" s="1"/>
      <c r="L1138" s="1"/>
    </row>
    <row r="1139" customFormat="false" ht="19.5" hidden="false" customHeight="true" outlineLevel="0" collapsed="false">
      <c r="A1139" s="1"/>
      <c r="B1139" s="63" t="s">
        <v>912</v>
      </c>
      <c r="C1139" s="63"/>
      <c r="D1139" s="63"/>
      <c r="E1139" s="63"/>
      <c r="F1139" s="63"/>
      <c r="G1139" s="63"/>
      <c r="H1139" s="63"/>
      <c r="I1139" s="63"/>
      <c r="J1139" s="63"/>
      <c r="K1139" s="63"/>
      <c r="L1139" s="1"/>
    </row>
    <row r="1140" customFormat="false" ht="15" hidden="false" customHeight="false" outlineLevel="0" collapsed="false">
      <c r="A1140" s="1"/>
      <c r="B1140" s="50" t="s">
        <v>34</v>
      </c>
      <c r="C1140" s="45" t="s">
        <v>38</v>
      </c>
      <c r="D1140" s="45"/>
      <c r="E1140" s="50" t="s">
        <v>157</v>
      </c>
      <c r="F1140" s="50"/>
      <c r="G1140" s="45" t="s">
        <v>913</v>
      </c>
      <c r="H1140" s="45"/>
      <c r="I1140" s="45"/>
      <c r="J1140" s="45"/>
      <c r="K1140" s="45"/>
      <c r="L1140" s="1"/>
    </row>
    <row r="1141" customFormat="false" ht="15" hidden="false" customHeight="false" outlineLevel="0" collapsed="false">
      <c r="A1141" s="1"/>
      <c r="B1141" s="50" t="s">
        <v>78</v>
      </c>
      <c r="C1141" s="39" t="n">
        <v>46220</v>
      </c>
      <c r="D1141" s="39"/>
      <c r="E1141" s="50" t="s">
        <v>80</v>
      </c>
      <c r="F1141" s="50"/>
      <c r="G1141" s="45" t="s">
        <v>486</v>
      </c>
      <c r="H1141" s="45"/>
      <c r="I1141" s="45"/>
      <c r="J1141" s="45"/>
      <c r="K1141" s="45"/>
      <c r="L1141" s="1"/>
    </row>
    <row r="1142" customFormat="false" ht="15" hidden="false" customHeight="false" outlineLevel="0" collapsed="false">
      <c r="A1142" s="1"/>
      <c r="B1142" s="50" t="s">
        <v>158</v>
      </c>
      <c r="C1142" s="55" t="n">
        <v>4</v>
      </c>
      <c r="D1142" s="55"/>
      <c r="E1142" s="50" t="s">
        <v>159</v>
      </c>
      <c r="F1142" s="50"/>
      <c r="G1142" s="56" t="n">
        <v>32.49</v>
      </c>
      <c r="H1142" s="56"/>
      <c r="I1142" s="56"/>
      <c r="J1142" s="56"/>
      <c r="K1142" s="56"/>
      <c r="L1142" s="1"/>
    </row>
    <row r="1143" customFormat="false" ht="15" hidden="false" customHeight="false" outlineLevel="0" collapsed="false">
      <c r="A1143" s="1"/>
      <c r="B1143" s="50" t="s">
        <v>160</v>
      </c>
      <c r="C1143" s="55" t="n">
        <f aca="false">COUNT(H1147:H1150)</f>
        <v>4</v>
      </c>
      <c r="D1143" s="55"/>
      <c r="E1143" s="50" t="s">
        <v>161</v>
      </c>
      <c r="F1143" s="50"/>
      <c r="G1143" s="56" t="n">
        <f aca="false">ROUND(SUM(H1147:H1150),2)</f>
        <v>32.49</v>
      </c>
      <c r="H1143" s="56"/>
      <c r="I1143" s="56"/>
      <c r="J1143" s="56"/>
      <c r="K1143" s="56"/>
      <c r="L1143" s="1"/>
    </row>
    <row r="1144" customFormat="false" ht="15" hidden="false" customHeight="false" outlineLevel="0" collapsed="false">
      <c r="A1144" s="1"/>
      <c r="B1144" s="50" t="s">
        <v>162</v>
      </c>
      <c r="C1144" s="55" t="n">
        <f aca="false">ROUND(SUMPRODUCT(((F1147:F1150="KG")+(F1147:F1150="G"))*1)+SUMPRODUCT((F1147:F1150&lt;&gt;"KG")*(F1147:F1150&lt;&gt;"G")*E1147:E1150),0)</f>
        <v>4</v>
      </c>
      <c r="D1144" s="55"/>
      <c r="E1144" s="50" t="s">
        <v>163</v>
      </c>
      <c r="F1144" s="50"/>
      <c r="G1144" s="56" t="n">
        <f aca="false">IF(G1142="","",ROUND(G1142-G1143,2))</f>
        <v>0</v>
      </c>
      <c r="H1144" s="56"/>
      <c r="I1144" s="56"/>
      <c r="J1144" s="56"/>
      <c r="K1144" s="56"/>
      <c r="L1144" s="1"/>
    </row>
    <row r="1145" customFormat="false" ht="15" hidden="false" customHeight="false" outlineLevel="0" collapsed="false">
      <c r="A1145" s="1"/>
      <c r="B1145" s="50" t="s">
        <v>84</v>
      </c>
      <c r="C1145" s="57" t="str">
        <f aca="false">IF(C1143=0,"— aguardando lançamento",IF(G1142="","SEM TOTAL OFICIAL — informe o total do cupom",IF(AND(OR(C1142="",C1142=C1143,C1142=C1144),ABS(G1144)&lt;=0.05),"FECHADO — itens e valor conferem",IF(ABS(G1144)&lt;=0.05,"REVISAR — qtd. de itens não bate","REVISAR — diferença de R$ "&amp;ABS(G1144)))))</f>
        <v>FECHADO — itens e valor conferem</v>
      </c>
      <c r="D1145" s="57"/>
      <c r="E1145" s="57"/>
      <c r="F1145" s="57"/>
      <c r="G1145" s="50" t="s">
        <v>164</v>
      </c>
      <c r="H1145" s="30"/>
      <c r="I1145" s="30"/>
      <c r="J1145" s="30"/>
      <c r="K1145" s="30"/>
      <c r="L1145" s="1"/>
    </row>
    <row r="1146" customFormat="false" ht="15" hidden="false" customHeight="false" outlineLevel="0" collapsed="false">
      <c r="A1146" s="1"/>
      <c r="B1146" s="15" t="s">
        <v>165</v>
      </c>
      <c r="C1146" s="15" t="s">
        <v>52</v>
      </c>
      <c r="D1146" s="15" t="s">
        <v>9</v>
      </c>
      <c r="E1146" s="15" t="s">
        <v>166</v>
      </c>
      <c r="F1146" s="15" t="s">
        <v>167</v>
      </c>
      <c r="G1146" s="15" t="s">
        <v>168</v>
      </c>
      <c r="H1146" s="15" t="s">
        <v>10</v>
      </c>
      <c r="I1146" s="15" t="s">
        <v>169</v>
      </c>
      <c r="J1146" s="15" t="s">
        <v>170</v>
      </c>
      <c r="K1146" s="15"/>
      <c r="L1146" s="1"/>
    </row>
    <row r="1147" customFormat="false" ht="15" hidden="false" customHeight="false" outlineLevel="0" collapsed="false">
      <c r="A1147" s="1"/>
      <c r="B1147" s="30" t="s">
        <v>914</v>
      </c>
      <c r="C1147" s="16" t="s">
        <v>284</v>
      </c>
      <c r="D1147" s="16" t="s">
        <v>15</v>
      </c>
      <c r="E1147" s="64" t="n">
        <v>1.456</v>
      </c>
      <c r="F1147" s="25" t="s">
        <v>176</v>
      </c>
      <c r="G1147" s="17" t="n">
        <v>5.88</v>
      </c>
      <c r="H1147" s="17" t="n">
        <v>8.56</v>
      </c>
      <c r="I1147" s="62" t="n">
        <f aca="false">IF(OR(E1147="",G1147=""),"",ROUND(E1147*G1147,2))</f>
        <v>8.56</v>
      </c>
      <c r="J1147" s="25" t="str">
        <f aca="false">IF(OR(H1147="",I1147=""),"",IF(ABS(H1147-I1147)&lt;=0.02,"OK","≠"))</f>
        <v>OK</v>
      </c>
      <c r="K1147" s="16"/>
      <c r="L1147" s="1"/>
    </row>
    <row r="1148" customFormat="false" ht="15" hidden="false" customHeight="false" outlineLevel="0" collapsed="false">
      <c r="A1148" s="1"/>
      <c r="B1148" s="32" t="s">
        <v>915</v>
      </c>
      <c r="C1148" s="19" t="s">
        <v>286</v>
      </c>
      <c r="D1148" s="19" t="s">
        <v>15</v>
      </c>
      <c r="E1148" s="65" t="n">
        <v>0.878</v>
      </c>
      <c r="F1148" s="27" t="s">
        <v>176</v>
      </c>
      <c r="G1148" s="20" t="n">
        <v>11.68</v>
      </c>
      <c r="H1148" s="20" t="n">
        <v>10.26</v>
      </c>
      <c r="I1148" s="62" t="n">
        <f aca="false">IF(OR(E1148="",G1148=""),"",ROUND(E1148*G1148,2))</f>
        <v>10.26</v>
      </c>
      <c r="J1148" s="25" t="str">
        <f aca="false">IF(OR(H1148="",I1148=""),"",IF(ABS(H1148-I1148)&lt;=0.02,"OK","≠"))</f>
        <v>OK</v>
      </c>
      <c r="K1148" s="16"/>
      <c r="L1148" s="1"/>
    </row>
    <row r="1149" customFormat="false" ht="15" hidden="false" customHeight="false" outlineLevel="0" collapsed="false">
      <c r="A1149" s="1"/>
      <c r="B1149" s="30" t="s">
        <v>494</v>
      </c>
      <c r="C1149" s="16" t="s">
        <v>481</v>
      </c>
      <c r="D1149" s="16" t="s">
        <v>15</v>
      </c>
      <c r="E1149" s="64" t="n">
        <v>1.344</v>
      </c>
      <c r="F1149" s="25" t="s">
        <v>176</v>
      </c>
      <c r="G1149" s="17" t="n">
        <v>5.28</v>
      </c>
      <c r="H1149" s="17" t="n">
        <v>7.1</v>
      </c>
      <c r="I1149" s="62" t="n">
        <f aca="false">IF(OR(E1149="",G1149=""),"",ROUND(E1149*G1149,2))</f>
        <v>7.1</v>
      </c>
      <c r="J1149" s="25" t="str">
        <f aca="false">IF(OR(H1149="",I1149=""),"",IF(ABS(H1149-I1149)&lt;=0.02,"OK","≠"))</f>
        <v>OK</v>
      </c>
      <c r="K1149" s="16"/>
      <c r="L1149" s="1"/>
    </row>
    <row r="1150" customFormat="false" ht="15" hidden="false" customHeight="false" outlineLevel="0" collapsed="false">
      <c r="A1150" s="1"/>
      <c r="B1150" s="32" t="s">
        <v>916</v>
      </c>
      <c r="C1150" s="19" t="s">
        <v>479</v>
      </c>
      <c r="D1150" s="19" t="s">
        <v>15</v>
      </c>
      <c r="E1150" s="65" t="n">
        <v>0.7</v>
      </c>
      <c r="F1150" s="27" t="s">
        <v>176</v>
      </c>
      <c r="G1150" s="20" t="n">
        <v>9.38</v>
      </c>
      <c r="H1150" s="20" t="n">
        <v>6.57</v>
      </c>
      <c r="I1150" s="62" t="n">
        <f aca="false">IF(OR(E1150="",G1150=""),"",ROUND(E1150*G1150,2))</f>
        <v>6.57</v>
      </c>
      <c r="J1150" s="25" t="str">
        <f aca="false">IF(OR(H1150="",I1150=""),"",IF(ABS(H1150-I1150)&lt;=0.02,"OK","≠"))</f>
        <v>OK</v>
      </c>
      <c r="K1150" s="16"/>
      <c r="L1150" s="1"/>
    </row>
    <row r="1151" customFormat="false" ht="15" hidden="false" customHeight="false" outlineLevel="0" collapsed="false">
      <c r="A1151" s="1"/>
      <c r="B1151" s="1"/>
      <c r="C1151" s="1"/>
      <c r="D1151" s="1"/>
      <c r="E1151" s="1"/>
      <c r="F1151" s="1"/>
      <c r="G1151" s="1"/>
      <c r="H1151" s="1"/>
      <c r="I1151" s="1"/>
      <c r="J1151" s="1"/>
      <c r="K1151" s="1"/>
      <c r="L1151" s="1"/>
    </row>
    <row r="1152" customFormat="false" ht="19.5" hidden="false" customHeight="true" outlineLevel="0" collapsed="false">
      <c r="A1152" s="1"/>
      <c r="B1152" s="63" t="s">
        <v>917</v>
      </c>
      <c r="C1152" s="63"/>
      <c r="D1152" s="63"/>
      <c r="E1152" s="63"/>
      <c r="F1152" s="63"/>
      <c r="G1152" s="63"/>
      <c r="H1152" s="63"/>
      <c r="I1152" s="63"/>
      <c r="J1152" s="63"/>
      <c r="K1152" s="63"/>
      <c r="L1152" s="1"/>
    </row>
    <row r="1153" customFormat="false" ht="15" hidden="false" customHeight="false" outlineLevel="0" collapsed="false">
      <c r="A1153" s="1"/>
      <c r="B1153" s="50" t="s">
        <v>34</v>
      </c>
      <c r="C1153" s="45" t="s">
        <v>39</v>
      </c>
      <c r="D1153" s="45"/>
      <c r="E1153" s="50" t="s">
        <v>157</v>
      </c>
      <c r="F1153" s="50"/>
      <c r="G1153" s="45" t="s">
        <v>918</v>
      </c>
      <c r="H1153" s="45"/>
      <c r="I1153" s="45"/>
      <c r="J1153" s="45"/>
      <c r="K1153" s="45"/>
      <c r="L1153" s="1"/>
    </row>
    <row r="1154" customFormat="false" ht="15" hidden="false" customHeight="false" outlineLevel="0" collapsed="false">
      <c r="A1154" s="1"/>
      <c r="B1154" s="50" t="s">
        <v>78</v>
      </c>
      <c r="C1154" s="39" t="n">
        <v>46220</v>
      </c>
      <c r="D1154" s="39"/>
      <c r="E1154" s="50" t="s">
        <v>80</v>
      </c>
      <c r="F1154" s="50"/>
      <c r="G1154" s="45" t="s">
        <v>486</v>
      </c>
      <c r="H1154" s="45"/>
      <c r="I1154" s="45"/>
      <c r="J1154" s="45"/>
      <c r="K1154" s="45"/>
      <c r="L1154" s="1"/>
    </row>
    <row r="1155" customFormat="false" ht="15" hidden="false" customHeight="false" outlineLevel="0" collapsed="false">
      <c r="A1155" s="1"/>
      <c r="B1155" s="50" t="s">
        <v>158</v>
      </c>
      <c r="C1155" s="55" t="n">
        <v>2</v>
      </c>
      <c r="D1155" s="55"/>
      <c r="E1155" s="50" t="s">
        <v>159</v>
      </c>
      <c r="F1155" s="50"/>
      <c r="G1155" s="56" t="n">
        <v>21</v>
      </c>
      <c r="H1155" s="56"/>
      <c r="I1155" s="56"/>
      <c r="J1155" s="56"/>
      <c r="K1155" s="56"/>
      <c r="L1155" s="1"/>
    </row>
    <row r="1156" customFormat="false" ht="15" hidden="false" customHeight="false" outlineLevel="0" collapsed="false">
      <c r="A1156" s="1"/>
      <c r="B1156" s="50" t="s">
        <v>160</v>
      </c>
      <c r="C1156" s="55" t="n">
        <f aca="false">COUNT(H1160:H1161)</f>
        <v>2</v>
      </c>
      <c r="D1156" s="55"/>
      <c r="E1156" s="50" t="s">
        <v>161</v>
      </c>
      <c r="F1156" s="50"/>
      <c r="G1156" s="56" t="n">
        <f aca="false">ROUND(SUM(H1160:H1161),2)</f>
        <v>21</v>
      </c>
      <c r="H1156" s="56"/>
      <c r="I1156" s="56"/>
      <c r="J1156" s="56"/>
      <c r="K1156" s="56"/>
      <c r="L1156" s="1"/>
    </row>
    <row r="1157" customFormat="false" ht="15" hidden="false" customHeight="false" outlineLevel="0" collapsed="false">
      <c r="A1157" s="1"/>
      <c r="B1157" s="50" t="s">
        <v>162</v>
      </c>
      <c r="C1157" s="55" t="n">
        <f aca="false">ROUND(SUMPRODUCT(((F1160:F1161="KG")+(F1160:F1161="G"))*1)+SUMPRODUCT((F1160:F1161&lt;&gt;"KG")*(F1160:F1161&lt;&gt;"G")*E1160:E1161),0)</f>
        <v>3</v>
      </c>
      <c r="D1157" s="55"/>
      <c r="E1157" s="50" t="s">
        <v>163</v>
      </c>
      <c r="F1157" s="50"/>
      <c r="G1157" s="56" t="n">
        <f aca="false">IF(G1155="","",ROUND(G1155-G1156,2))</f>
        <v>0</v>
      </c>
      <c r="H1157" s="56"/>
      <c r="I1157" s="56"/>
      <c r="J1157" s="56"/>
      <c r="K1157" s="56"/>
      <c r="L1157" s="1"/>
    </row>
    <row r="1158" customFormat="false" ht="15" hidden="false" customHeight="false" outlineLevel="0" collapsed="false">
      <c r="A1158" s="1"/>
      <c r="B1158" s="50" t="s">
        <v>84</v>
      </c>
      <c r="C1158" s="57" t="str">
        <f aca="false">IF(C1156=0,"— aguardando lançamento",IF(G1155="","SEM TOTAL OFICIAL — informe o total do cupom",IF(AND(OR(C1155="",C1155=C1156,C1155=C1157),ABS(G1157)&lt;=0.05),"FECHADO — itens e valor conferem",IF(ABS(G1157)&lt;=0.05,"REVISAR — qtd. de itens não bate","REVISAR — diferença de R$ "&amp;ABS(G1157)))))</f>
        <v>FECHADO — itens e valor conferem</v>
      </c>
      <c r="D1158" s="57"/>
      <c r="E1158" s="57"/>
      <c r="F1158" s="57"/>
      <c r="G1158" s="50" t="s">
        <v>164</v>
      </c>
      <c r="H1158" s="30"/>
      <c r="I1158" s="30"/>
      <c r="J1158" s="30"/>
      <c r="K1158" s="30"/>
      <c r="L1158" s="1"/>
    </row>
    <row r="1159" customFormat="false" ht="15" hidden="false" customHeight="false" outlineLevel="0" collapsed="false">
      <c r="A1159" s="1"/>
      <c r="B1159" s="15" t="s">
        <v>165</v>
      </c>
      <c r="C1159" s="15" t="s">
        <v>52</v>
      </c>
      <c r="D1159" s="15" t="s">
        <v>9</v>
      </c>
      <c r="E1159" s="15" t="s">
        <v>166</v>
      </c>
      <c r="F1159" s="15" t="s">
        <v>167</v>
      </c>
      <c r="G1159" s="15" t="s">
        <v>168</v>
      </c>
      <c r="H1159" s="15" t="s">
        <v>10</v>
      </c>
      <c r="I1159" s="15" t="s">
        <v>169</v>
      </c>
      <c r="J1159" s="15" t="s">
        <v>170</v>
      </c>
      <c r="K1159" s="15"/>
      <c r="L1159" s="1"/>
    </row>
    <row r="1160" customFormat="false" ht="15" hidden="false" customHeight="false" outlineLevel="0" collapsed="false">
      <c r="A1160" s="1"/>
      <c r="B1160" s="30" t="s">
        <v>775</v>
      </c>
      <c r="C1160" s="16" t="s">
        <v>776</v>
      </c>
      <c r="D1160" s="16" t="s">
        <v>13</v>
      </c>
      <c r="E1160" s="64" t="n">
        <v>2</v>
      </c>
      <c r="F1160" s="25" t="s">
        <v>179</v>
      </c>
      <c r="G1160" s="17" t="n">
        <v>6.5</v>
      </c>
      <c r="H1160" s="17" t="n">
        <v>13</v>
      </c>
      <c r="I1160" s="62" t="n">
        <f aca="false">IF(OR(E1160="",G1160=""),"",ROUND(E1160*G1160,2))</f>
        <v>13</v>
      </c>
      <c r="J1160" s="25" t="str">
        <f aca="false">IF(OR(H1160="",I1160=""),"",IF(ABS(H1160-I1160)&lt;=0.02,"OK","≠"))</f>
        <v>OK</v>
      </c>
      <c r="K1160" s="16"/>
      <c r="L1160" s="1"/>
    </row>
    <row r="1161" customFormat="false" ht="15" hidden="false" customHeight="false" outlineLevel="0" collapsed="false">
      <c r="A1161" s="1"/>
      <c r="B1161" s="32" t="s">
        <v>463</v>
      </c>
      <c r="C1161" s="19" t="s">
        <v>432</v>
      </c>
      <c r="D1161" s="19" t="s">
        <v>14</v>
      </c>
      <c r="E1161" s="65" t="n">
        <v>0.534</v>
      </c>
      <c r="F1161" s="27" t="s">
        <v>176</v>
      </c>
      <c r="G1161" s="20" t="n">
        <v>14.99</v>
      </c>
      <c r="H1161" s="20" t="n">
        <v>8</v>
      </c>
      <c r="I1161" s="62" t="n">
        <f aca="false">IF(OR(E1161="",G1161=""),"",ROUND(E1161*G1161,2))</f>
        <v>8</v>
      </c>
      <c r="J1161" s="25" t="str">
        <f aca="false">IF(OR(H1161="",I1161=""),"",IF(ABS(H1161-I1161)&lt;=0.02,"OK","≠"))</f>
        <v>OK</v>
      </c>
      <c r="K1161" s="16"/>
      <c r="L1161" s="1"/>
    </row>
    <row r="1162" customFormat="false" ht="15" hidden="false" customHeight="false" outlineLevel="0" collapsed="false">
      <c r="A1162" s="1"/>
      <c r="B1162" s="1"/>
      <c r="C1162" s="1"/>
      <c r="D1162" s="1"/>
      <c r="E1162" s="1"/>
      <c r="F1162" s="1"/>
      <c r="G1162" s="1"/>
      <c r="H1162" s="1"/>
      <c r="I1162" s="1"/>
      <c r="J1162" s="1"/>
      <c r="K1162" s="1"/>
      <c r="L1162" s="1"/>
    </row>
    <row r="1163" customFormat="false" ht="19.5" hidden="false" customHeight="true" outlineLevel="0" collapsed="false">
      <c r="A1163" s="1"/>
      <c r="B1163" s="63" t="s">
        <v>919</v>
      </c>
      <c r="C1163" s="63"/>
      <c r="D1163" s="63"/>
      <c r="E1163" s="63"/>
      <c r="F1163" s="63"/>
      <c r="G1163" s="63"/>
      <c r="H1163" s="63"/>
      <c r="I1163" s="63"/>
      <c r="J1163" s="63"/>
      <c r="K1163" s="63"/>
      <c r="L1163" s="1"/>
    </row>
    <row r="1164" customFormat="false" ht="15" hidden="false" customHeight="false" outlineLevel="0" collapsed="false">
      <c r="A1164" s="1"/>
      <c r="B1164" s="50" t="s">
        <v>34</v>
      </c>
      <c r="C1164" s="45" t="s">
        <v>38</v>
      </c>
      <c r="D1164" s="45"/>
      <c r="E1164" s="50" t="s">
        <v>157</v>
      </c>
      <c r="F1164" s="50"/>
      <c r="G1164" s="45" t="s">
        <v>920</v>
      </c>
      <c r="H1164" s="45"/>
      <c r="I1164" s="45"/>
      <c r="J1164" s="45"/>
      <c r="K1164" s="45"/>
      <c r="L1164" s="1"/>
    </row>
    <row r="1165" customFormat="false" ht="15" hidden="false" customHeight="false" outlineLevel="0" collapsed="false">
      <c r="A1165" s="1"/>
      <c r="B1165" s="50" t="s">
        <v>78</v>
      </c>
      <c r="C1165" s="39" t="n">
        <v>46222</v>
      </c>
      <c r="D1165" s="39"/>
      <c r="E1165" s="50" t="s">
        <v>80</v>
      </c>
      <c r="F1165" s="50"/>
      <c r="G1165" s="45" t="s">
        <v>486</v>
      </c>
      <c r="H1165" s="45"/>
      <c r="I1165" s="45"/>
      <c r="J1165" s="45"/>
      <c r="K1165" s="45"/>
      <c r="L1165" s="1"/>
    </row>
    <row r="1166" customFormat="false" ht="15" hidden="false" customHeight="false" outlineLevel="0" collapsed="false">
      <c r="A1166" s="1"/>
      <c r="B1166" s="50" t="s">
        <v>158</v>
      </c>
      <c r="C1166" s="55" t="n">
        <v>1</v>
      </c>
      <c r="D1166" s="55"/>
      <c r="E1166" s="50" t="s">
        <v>159</v>
      </c>
      <c r="F1166" s="50"/>
      <c r="G1166" s="56" t="n">
        <v>2.59</v>
      </c>
      <c r="H1166" s="56"/>
      <c r="I1166" s="56"/>
      <c r="J1166" s="56"/>
      <c r="K1166" s="56"/>
      <c r="L1166" s="1"/>
    </row>
    <row r="1167" customFormat="false" ht="15" hidden="false" customHeight="false" outlineLevel="0" collapsed="false">
      <c r="A1167" s="1"/>
      <c r="B1167" s="50" t="s">
        <v>160</v>
      </c>
      <c r="C1167" s="55" t="n">
        <f aca="false">COUNT(H1171:H1171)</f>
        <v>1</v>
      </c>
      <c r="D1167" s="55"/>
      <c r="E1167" s="50" t="s">
        <v>161</v>
      </c>
      <c r="F1167" s="50"/>
      <c r="G1167" s="56" t="n">
        <f aca="false">ROUND(SUM(H1171:H1171),2)</f>
        <v>2.59</v>
      </c>
      <c r="H1167" s="56"/>
      <c r="I1167" s="56"/>
      <c r="J1167" s="56"/>
      <c r="K1167" s="56"/>
      <c r="L1167" s="1"/>
    </row>
    <row r="1168" customFormat="false" ht="15" hidden="false" customHeight="false" outlineLevel="0" collapsed="false">
      <c r="A1168" s="1"/>
      <c r="B1168" s="50" t="s">
        <v>162</v>
      </c>
      <c r="C1168" s="55" t="n">
        <f aca="false">ROUND(SUMPRODUCT(((F1171:F1171="KG")+(F1171:F1171="G"))*1)+SUMPRODUCT((F1171:F1171&lt;&gt;"KG")*(F1171:F1171&lt;&gt;"G")*E1171:E1171),0)</f>
        <v>1</v>
      </c>
      <c r="D1168" s="55"/>
      <c r="E1168" s="50" t="s">
        <v>163</v>
      </c>
      <c r="F1168" s="50"/>
      <c r="G1168" s="56" t="n">
        <f aca="false">IF(G1166="","",ROUND(G1166-G1167,2))</f>
        <v>0</v>
      </c>
      <c r="H1168" s="56"/>
      <c r="I1168" s="56"/>
      <c r="J1168" s="56"/>
      <c r="K1168" s="56"/>
      <c r="L1168" s="1"/>
    </row>
    <row r="1169" customFormat="false" ht="15" hidden="false" customHeight="false" outlineLevel="0" collapsed="false">
      <c r="A1169" s="1"/>
      <c r="B1169" s="50" t="s">
        <v>84</v>
      </c>
      <c r="C1169" s="57" t="str">
        <f aca="false">IF(C1167=0,"— aguardando lançamento",IF(G1166="","SEM TOTAL OFICIAL — informe o total do cupom",IF(AND(OR(C1166="",C1166=C1167,C1166=C1168),ABS(G1168)&lt;=0.05),"FECHADO — itens e valor conferem",IF(ABS(G1168)&lt;=0.05,"REVISAR — qtd. de itens não bate","REVISAR — diferença de R$ "&amp;ABS(G1168)))))</f>
        <v>FECHADO — itens e valor conferem</v>
      </c>
      <c r="D1169" s="57"/>
      <c r="E1169" s="57"/>
      <c r="F1169" s="57"/>
      <c r="G1169" s="50" t="s">
        <v>164</v>
      </c>
      <c r="H1169" s="30"/>
      <c r="I1169" s="30"/>
      <c r="J1169" s="30"/>
      <c r="K1169" s="30"/>
      <c r="L1169" s="1"/>
    </row>
    <row r="1170" customFormat="false" ht="15" hidden="false" customHeight="false" outlineLevel="0" collapsed="false">
      <c r="A1170" s="1"/>
      <c r="B1170" s="15" t="s">
        <v>165</v>
      </c>
      <c r="C1170" s="15" t="s">
        <v>52</v>
      </c>
      <c r="D1170" s="15" t="s">
        <v>9</v>
      </c>
      <c r="E1170" s="15" t="s">
        <v>166</v>
      </c>
      <c r="F1170" s="15" t="s">
        <v>167</v>
      </c>
      <c r="G1170" s="15" t="s">
        <v>168</v>
      </c>
      <c r="H1170" s="15" t="s">
        <v>10</v>
      </c>
      <c r="I1170" s="15" t="s">
        <v>169</v>
      </c>
      <c r="J1170" s="15" t="s">
        <v>170</v>
      </c>
      <c r="K1170" s="15"/>
      <c r="L1170" s="1"/>
    </row>
    <row r="1171" customFormat="false" ht="15" hidden="false" customHeight="false" outlineLevel="0" collapsed="false">
      <c r="A1171" s="1"/>
      <c r="B1171" s="30" t="s">
        <v>921</v>
      </c>
      <c r="C1171" s="16" t="s">
        <v>922</v>
      </c>
      <c r="D1171" s="16" t="s">
        <v>15</v>
      </c>
      <c r="E1171" s="64" t="n">
        <v>0.566</v>
      </c>
      <c r="F1171" s="25" t="s">
        <v>176</v>
      </c>
      <c r="G1171" s="17" t="n">
        <v>4.58</v>
      </c>
      <c r="H1171" s="17" t="n">
        <v>2.59</v>
      </c>
      <c r="I1171" s="62" t="n">
        <f aca="false">IF(OR(E1171="",G1171=""),"",ROUND(E1171*G1171,2))</f>
        <v>2.59</v>
      </c>
      <c r="J1171" s="25" t="str">
        <f aca="false">IF(OR(H1171="",I1171=""),"",IF(ABS(H1171-I1171)&lt;=0.02,"OK","≠"))</f>
        <v>OK</v>
      </c>
      <c r="K1171" s="16"/>
      <c r="L1171" s="1"/>
    </row>
    <row r="1172" customFormat="false" ht="15" hidden="false" customHeight="false" outlineLevel="0" collapsed="false">
      <c r="A1172" s="1"/>
      <c r="B1172" s="1"/>
      <c r="C1172" s="1"/>
      <c r="D1172" s="1"/>
      <c r="E1172" s="1"/>
      <c r="F1172" s="1"/>
      <c r="G1172" s="1"/>
      <c r="H1172" s="1"/>
      <c r="I1172" s="1"/>
      <c r="J1172" s="1"/>
      <c r="K1172" s="1"/>
      <c r="L1172" s="1"/>
    </row>
    <row r="1173" customFormat="false" ht="19.5" hidden="false" customHeight="true" outlineLevel="0" collapsed="false">
      <c r="A1173" s="1"/>
      <c r="B1173" s="63" t="s">
        <v>923</v>
      </c>
      <c r="C1173" s="63"/>
      <c r="D1173" s="63"/>
      <c r="E1173" s="63"/>
      <c r="F1173" s="63"/>
      <c r="G1173" s="63"/>
      <c r="H1173" s="63"/>
      <c r="I1173" s="63"/>
      <c r="J1173" s="63"/>
      <c r="K1173" s="63"/>
      <c r="L1173" s="1"/>
    </row>
    <row r="1174" customFormat="false" ht="15" hidden="false" customHeight="false" outlineLevel="0" collapsed="false">
      <c r="A1174" s="1"/>
      <c r="B1174" s="50" t="s">
        <v>34</v>
      </c>
      <c r="C1174" s="45" t="s">
        <v>40</v>
      </c>
      <c r="D1174" s="45"/>
      <c r="E1174" s="50" t="s">
        <v>157</v>
      </c>
      <c r="F1174" s="50"/>
      <c r="G1174" s="45" t="s">
        <v>924</v>
      </c>
      <c r="H1174" s="45"/>
      <c r="I1174" s="45"/>
      <c r="J1174" s="45"/>
      <c r="K1174" s="45"/>
      <c r="L1174" s="1"/>
    </row>
    <row r="1175" customFormat="false" ht="15" hidden="false" customHeight="false" outlineLevel="0" collapsed="false">
      <c r="A1175" s="1"/>
      <c r="B1175" s="50" t="s">
        <v>78</v>
      </c>
      <c r="C1175" s="39" t="n">
        <v>46222</v>
      </c>
      <c r="D1175" s="39"/>
      <c r="E1175" s="50" t="s">
        <v>80</v>
      </c>
      <c r="F1175" s="50"/>
      <c r="G1175" s="45" t="s">
        <v>486</v>
      </c>
      <c r="H1175" s="45"/>
      <c r="I1175" s="45"/>
      <c r="J1175" s="45"/>
      <c r="K1175" s="45"/>
      <c r="L1175" s="1"/>
    </row>
    <row r="1176" customFormat="false" ht="15" hidden="false" customHeight="false" outlineLevel="0" collapsed="false">
      <c r="A1176" s="1"/>
      <c r="B1176" s="50" t="s">
        <v>158</v>
      </c>
      <c r="C1176" s="55" t="n">
        <v>1</v>
      </c>
      <c r="D1176" s="55"/>
      <c r="E1176" s="50" t="s">
        <v>159</v>
      </c>
      <c r="F1176" s="50"/>
      <c r="G1176" s="56" t="n">
        <v>16.48</v>
      </c>
      <c r="H1176" s="56"/>
      <c r="I1176" s="56"/>
      <c r="J1176" s="56"/>
      <c r="K1176" s="56"/>
      <c r="L1176" s="1"/>
    </row>
    <row r="1177" customFormat="false" ht="15" hidden="false" customHeight="false" outlineLevel="0" collapsed="false">
      <c r="A1177" s="1"/>
      <c r="B1177" s="50" t="s">
        <v>160</v>
      </c>
      <c r="C1177" s="55" t="n">
        <f aca="false">COUNT(H1181:H1181)</f>
        <v>1</v>
      </c>
      <c r="D1177" s="55"/>
      <c r="E1177" s="50" t="s">
        <v>161</v>
      </c>
      <c r="F1177" s="50"/>
      <c r="G1177" s="56" t="n">
        <f aca="false">ROUND(SUM(H1181:H1181),2)</f>
        <v>16.48</v>
      </c>
      <c r="H1177" s="56"/>
      <c r="I1177" s="56"/>
      <c r="J1177" s="56"/>
      <c r="K1177" s="56"/>
      <c r="L1177" s="1"/>
    </row>
    <row r="1178" customFormat="false" ht="15" hidden="false" customHeight="false" outlineLevel="0" collapsed="false">
      <c r="A1178" s="1"/>
      <c r="B1178" s="50" t="s">
        <v>162</v>
      </c>
      <c r="C1178" s="55" t="n">
        <f aca="false">ROUND(SUMPRODUCT(((F1181:F1181="KG")+(F1181:F1181="G"))*1)+SUMPRODUCT((F1181:F1181&lt;&gt;"KG")*(F1181:F1181&lt;&gt;"G")*E1181:E1181),0)</f>
        <v>1</v>
      </c>
      <c r="D1178" s="55"/>
      <c r="E1178" s="50" t="s">
        <v>163</v>
      </c>
      <c r="F1178" s="50"/>
      <c r="G1178" s="56" t="n">
        <f aca="false">IF(G1176="","",ROUND(G1176-G1177,2))</f>
        <v>0</v>
      </c>
      <c r="H1178" s="56"/>
      <c r="I1178" s="56"/>
      <c r="J1178" s="56"/>
      <c r="K1178" s="56"/>
      <c r="L1178" s="1"/>
    </row>
    <row r="1179" customFormat="false" ht="15" hidden="false" customHeight="false" outlineLevel="0" collapsed="false">
      <c r="A1179" s="1"/>
      <c r="B1179" s="50" t="s">
        <v>84</v>
      </c>
      <c r="C1179" s="57" t="str">
        <f aca="false">IF(C1177=0,"— aguardando lançamento",IF(G1176="","SEM TOTAL OFICIAL — informe o total do cupom",IF(AND(OR(C1176="",C1176=C1177,C1176=C1178),ABS(G1178)&lt;=0.05),"FECHADO — itens e valor conferem",IF(ABS(G1178)&lt;=0.05,"REVISAR — qtd. de itens não bate","REVISAR — diferença de R$ "&amp;ABS(G1178)))))</f>
        <v>FECHADO — itens e valor conferem</v>
      </c>
      <c r="D1179" s="57"/>
      <c r="E1179" s="57"/>
      <c r="F1179" s="57"/>
      <c r="G1179" s="50" t="s">
        <v>164</v>
      </c>
      <c r="H1179" s="30"/>
      <c r="I1179" s="30"/>
      <c r="J1179" s="30"/>
      <c r="K1179" s="30"/>
      <c r="L1179" s="1"/>
    </row>
    <row r="1180" customFormat="false" ht="15" hidden="false" customHeight="false" outlineLevel="0" collapsed="false">
      <c r="A1180" s="1"/>
      <c r="B1180" s="15" t="s">
        <v>165</v>
      </c>
      <c r="C1180" s="15" t="s">
        <v>52</v>
      </c>
      <c r="D1180" s="15" t="s">
        <v>9</v>
      </c>
      <c r="E1180" s="15" t="s">
        <v>166</v>
      </c>
      <c r="F1180" s="15" t="s">
        <v>167</v>
      </c>
      <c r="G1180" s="15" t="s">
        <v>168</v>
      </c>
      <c r="H1180" s="15" t="s">
        <v>10</v>
      </c>
      <c r="I1180" s="15" t="s">
        <v>169</v>
      </c>
      <c r="J1180" s="15" t="s">
        <v>170</v>
      </c>
      <c r="K1180" s="15"/>
      <c r="L1180" s="1"/>
    </row>
    <row r="1181" customFormat="false" ht="15" hidden="false" customHeight="false" outlineLevel="0" collapsed="false">
      <c r="A1181" s="1"/>
      <c r="B1181" s="30" t="s">
        <v>925</v>
      </c>
      <c r="C1181" s="16" t="s">
        <v>926</v>
      </c>
      <c r="D1181" s="16" t="s">
        <v>15</v>
      </c>
      <c r="E1181" s="64" t="n">
        <v>0.254</v>
      </c>
      <c r="F1181" s="25" t="s">
        <v>176</v>
      </c>
      <c r="G1181" s="17" t="n">
        <v>64.9</v>
      </c>
      <c r="H1181" s="17" t="n">
        <v>16.48</v>
      </c>
      <c r="I1181" s="62" t="n">
        <f aca="false">IF(OR(E1181="",G1181=""),"",ROUND(E1181*G1181,2))</f>
        <v>16.48</v>
      </c>
      <c r="J1181" s="25" t="str">
        <f aca="false">IF(OR(H1181="",I1181=""),"",IF(ABS(H1181-I1181)&lt;=0.02,"OK","≠"))</f>
        <v>OK</v>
      </c>
      <c r="K1181" s="16"/>
      <c r="L1181" s="1"/>
    </row>
    <row r="1182" customFormat="false" ht="15" hidden="false" customHeight="false" outlineLevel="0" collapsed="false">
      <c r="A1182" s="1"/>
      <c r="B1182" s="1"/>
      <c r="C1182" s="1"/>
      <c r="D1182" s="1"/>
      <c r="E1182" s="1"/>
      <c r="F1182" s="1"/>
      <c r="G1182" s="1"/>
      <c r="H1182" s="1"/>
      <c r="I1182" s="1"/>
      <c r="J1182" s="1"/>
      <c r="K1182" s="1"/>
      <c r="L1182" s="1"/>
    </row>
    <row r="1183" customFormat="false" ht="19.5" hidden="false" customHeight="true" outlineLevel="0" collapsed="false">
      <c r="A1183" s="1"/>
      <c r="B1183" s="63" t="s">
        <v>927</v>
      </c>
      <c r="C1183" s="63"/>
      <c r="D1183" s="63"/>
      <c r="E1183" s="63"/>
      <c r="F1183" s="63"/>
      <c r="G1183" s="63"/>
      <c r="H1183" s="63"/>
      <c r="I1183" s="63"/>
      <c r="J1183" s="63"/>
      <c r="K1183" s="63"/>
      <c r="L1183" s="1"/>
    </row>
    <row r="1184" customFormat="false" ht="15" hidden="false" customHeight="false" outlineLevel="0" collapsed="false">
      <c r="A1184" s="1"/>
      <c r="B1184" s="50" t="s">
        <v>34</v>
      </c>
      <c r="C1184" s="45" t="s">
        <v>37</v>
      </c>
      <c r="D1184" s="45"/>
      <c r="E1184" s="50" t="s">
        <v>157</v>
      </c>
      <c r="F1184" s="50"/>
      <c r="G1184" s="45" t="s">
        <v>928</v>
      </c>
      <c r="H1184" s="45"/>
      <c r="I1184" s="45"/>
      <c r="J1184" s="45"/>
      <c r="K1184" s="45"/>
      <c r="L1184" s="1"/>
    </row>
    <row r="1185" customFormat="false" ht="15" hidden="false" customHeight="false" outlineLevel="0" collapsed="false">
      <c r="A1185" s="1"/>
      <c r="B1185" s="50" t="s">
        <v>78</v>
      </c>
      <c r="C1185" s="39" t="n">
        <v>46222</v>
      </c>
      <c r="D1185" s="39"/>
      <c r="E1185" s="50" t="s">
        <v>80</v>
      </c>
      <c r="F1185" s="50"/>
      <c r="G1185" s="45" t="s">
        <v>486</v>
      </c>
      <c r="H1185" s="45"/>
      <c r="I1185" s="45"/>
      <c r="J1185" s="45"/>
      <c r="K1185" s="45"/>
      <c r="L1185" s="1"/>
    </row>
    <row r="1186" customFormat="false" ht="15" hidden="false" customHeight="false" outlineLevel="0" collapsed="false">
      <c r="A1186" s="1"/>
      <c r="B1186" s="50" t="s">
        <v>158</v>
      </c>
      <c r="C1186" s="55" t="n">
        <v>5</v>
      </c>
      <c r="D1186" s="55"/>
      <c r="E1186" s="50" t="s">
        <v>159</v>
      </c>
      <c r="F1186" s="50"/>
      <c r="G1186" s="56" t="n">
        <v>37.35</v>
      </c>
      <c r="H1186" s="56"/>
      <c r="I1186" s="56"/>
      <c r="J1186" s="56"/>
      <c r="K1186" s="56"/>
      <c r="L1186" s="1"/>
    </row>
    <row r="1187" customFormat="false" ht="15" hidden="false" customHeight="false" outlineLevel="0" collapsed="false">
      <c r="A1187" s="1"/>
      <c r="B1187" s="50" t="s">
        <v>160</v>
      </c>
      <c r="C1187" s="55" t="n">
        <f aca="false">COUNT(H1191:H1195)</f>
        <v>5</v>
      </c>
      <c r="D1187" s="55"/>
      <c r="E1187" s="50" t="s">
        <v>161</v>
      </c>
      <c r="F1187" s="50"/>
      <c r="G1187" s="56" t="n">
        <f aca="false">ROUND(SUM(H1191:H1195),2)</f>
        <v>37.35</v>
      </c>
      <c r="H1187" s="56"/>
      <c r="I1187" s="56"/>
      <c r="J1187" s="56"/>
      <c r="K1187" s="56"/>
      <c r="L1187" s="1"/>
    </row>
    <row r="1188" customFormat="false" ht="15" hidden="false" customHeight="false" outlineLevel="0" collapsed="false">
      <c r="A1188" s="1"/>
      <c r="B1188" s="50" t="s">
        <v>162</v>
      </c>
      <c r="C1188" s="55" t="n">
        <f aca="false">ROUND(SUMPRODUCT(((F1191:F1195="KG")+(F1191:F1195="G"))*1)+SUMPRODUCT((F1191:F1195&lt;&gt;"KG")*(F1191:F1195&lt;&gt;"G")*E1191:E1195),0)</f>
        <v>6</v>
      </c>
      <c r="D1188" s="55"/>
      <c r="E1188" s="50" t="s">
        <v>163</v>
      </c>
      <c r="F1188" s="50"/>
      <c r="G1188" s="56" t="n">
        <f aca="false">IF(G1186="","",ROUND(G1186-G1187,2))</f>
        <v>0</v>
      </c>
      <c r="H1188" s="56"/>
      <c r="I1188" s="56"/>
      <c r="J1188" s="56"/>
      <c r="K1188" s="56"/>
      <c r="L1188" s="1"/>
    </row>
    <row r="1189" customFormat="false" ht="15" hidden="false" customHeight="false" outlineLevel="0" collapsed="false">
      <c r="A1189" s="1"/>
      <c r="B1189" s="50" t="s">
        <v>84</v>
      </c>
      <c r="C1189" s="57" t="str">
        <f aca="false">IF(C1187=0,"— aguardando lançamento",IF(G1186="","SEM TOTAL OFICIAL — informe o total do cupom",IF(AND(OR(C1186="",C1186=C1187,C1186=C1188),ABS(G1188)&lt;=0.05),"FECHADO — itens e valor conferem",IF(ABS(G1188)&lt;=0.05,"REVISAR — qtd. de itens não bate","REVISAR — diferença de R$ "&amp;ABS(G1188)))))</f>
        <v>FECHADO — itens e valor conferem</v>
      </c>
      <c r="D1189" s="57"/>
      <c r="E1189" s="57"/>
      <c r="F1189" s="57"/>
      <c r="G1189" s="50" t="s">
        <v>164</v>
      </c>
      <c r="H1189" s="30"/>
      <c r="I1189" s="30"/>
      <c r="J1189" s="30"/>
      <c r="K1189" s="30"/>
      <c r="L1189" s="1"/>
    </row>
    <row r="1190" customFormat="false" ht="15" hidden="false" customHeight="false" outlineLevel="0" collapsed="false">
      <c r="A1190" s="1"/>
      <c r="B1190" s="15" t="s">
        <v>165</v>
      </c>
      <c r="C1190" s="15" t="s">
        <v>52</v>
      </c>
      <c r="D1190" s="15" t="s">
        <v>9</v>
      </c>
      <c r="E1190" s="15" t="s">
        <v>166</v>
      </c>
      <c r="F1190" s="15" t="s">
        <v>167</v>
      </c>
      <c r="G1190" s="15" t="s">
        <v>168</v>
      </c>
      <c r="H1190" s="15" t="s">
        <v>10</v>
      </c>
      <c r="I1190" s="15" t="s">
        <v>169</v>
      </c>
      <c r="J1190" s="15" t="s">
        <v>170</v>
      </c>
      <c r="K1190" s="15"/>
      <c r="L1190" s="1"/>
    </row>
    <row r="1191" customFormat="false" ht="15" hidden="false" customHeight="false" outlineLevel="0" collapsed="false">
      <c r="A1191" s="1"/>
      <c r="B1191" s="30" t="s">
        <v>765</v>
      </c>
      <c r="C1191" s="16" t="s">
        <v>929</v>
      </c>
      <c r="D1191" s="16" t="s">
        <v>14</v>
      </c>
      <c r="E1191" s="64" t="n">
        <v>0.096</v>
      </c>
      <c r="F1191" s="25" t="s">
        <v>176</v>
      </c>
      <c r="G1191" s="17" t="n">
        <v>42.9</v>
      </c>
      <c r="H1191" s="17" t="n">
        <v>4.12</v>
      </c>
      <c r="I1191" s="62" t="n">
        <f aca="false">IF(OR(E1191="",G1191=""),"",ROUND(E1191*G1191,2))</f>
        <v>4.12</v>
      </c>
      <c r="J1191" s="25" t="str">
        <f aca="false">IF(OR(H1191="",I1191=""),"",IF(ABS(H1191-I1191)&lt;=0.02,"OK","≠"))</f>
        <v>OK</v>
      </c>
      <c r="K1191" s="16"/>
      <c r="L1191" s="1"/>
    </row>
    <row r="1192" customFormat="false" ht="15" hidden="false" customHeight="false" outlineLevel="0" collapsed="false">
      <c r="A1192" s="1"/>
      <c r="B1192" s="32" t="s">
        <v>765</v>
      </c>
      <c r="C1192" s="19" t="s">
        <v>929</v>
      </c>
      <c r="D1192" s="19" t="s">
        <v>14</v>
      </c>
      <c r="E1192" s="65" t="n">
        <v>0.094</v>
      </c>
      <c r="F1192" s="27" t="s">
        <v>176</v>
      </c>
      <c r="G1192" s="20" t="n">
        <v>42.9</v>
      </c>
      <c r="H1192" s="20" t="n">
        <v>4.03</v>
      </c>
      <c r="I1192" s="62" t="n">
        <f aca="false">IF(OR(E1192="",G1192=""),"",ROUND(E1192*G1192,2))</f>
        <v>4.03</v>
      </c>
      <c r="J1192" s="25" t="str">
        <f aca="false">IF(OR(H1192="",I1192=""),"",IF(ABS(H1192-I1192)&lt;=0.02,"OK","≠"))</f>
        <v>OK</v>
      </c>
      <c r="K1192" s="16"/>
      <c r="L1192" s="1"/>
    </row>
    <row r="1193" customFormat="false" ht="15" hidden="false" customHeight="false" outlineLevel="0" collapsed="false">
      <c r="A1193" s="1"/>
      <c r="B1193" s="30" t="s">
        <v>458</v>
      </c>
      <c r="C1193" s="16" t="s">
        <v>432</v>
      </c>
      <c r="D1193" s="16" t="s">
        <v>14</v>
      </c>
      <c r="E1193" s="64" t="n">
        <v>0.275</v>
      </c>
      <c r="F1193" s="25" t="s">
        <v>176</v>
      </c>
      <c r="G1193" s="17" t="n">
        <v>17.9</v>
      </c>
      <c r="H1193" s="17" t="n">
        <v>4.92</v>
      </c>
      <c r="I1193" s="62" t="n">
        <f aca="false">IF(OR(E1193="",G1193=""),"",ROUND(E1193*G1193,2))</f>
        <v>4.92</v>
      </c>
      <c r="J1193" s="25" t="str">
        <f aca="false">IF(OR(H1193="",I1193=""),"",IF(ABS(H1193-I1193)&lt;=0.02,"OK","≠"))</f>
        <v>OK</v>
      </c>
      <c r="K1193" s="16"/>
      <c r="L1193" s="1"/>
    </row>
    <row r="1194" customFormat="false" ht="15" hidden="false" customHeight="false" outlineLevel="0" collapsed="false">
      <c r="A1194" s="1"/>
      <c r="B1194" s="32" t="s">
        <v>817</v>
      </c>
      <c r="C1194" s="19" t="s">
        <v>908</v>
      </c>
      <c r="D1194" s="19" t="s">
        <v>14</v>
      </c>
      <c r="E1194" s="65" t="n">
        <v>1</v>
      </c>
      <c r="F1194" s="27" t="s">
        <v>179</v>
      </c>
      <c r="G1194" s="20" t="n">
        <v>10.9</v>
      </c>
      <c r="H1194" s="20" t="n">
        <v>10.9</v>
      </c>
      <c r="I1194" s="62" t="n">
        <f aca="false">IF(OR(E1194="",G1194=""),"",ROUND(E1194*G1194,2))</f>
        <v>10.9</v>
      </c>
      <c r="J1194" s="25" t="str">
        <f aca="false">IF(OR(H1194="",I1194=""),"",IF(ABS(H1194-I1194)&lt;=0.02,"OK","≠"))</f>
        <v>OK</v>
      </c>
      <c r="K1194" s="16"/>
      <c r="L1194" s="1"/>
    </row>
    <row r="1195" customFormat="false" ht="15" hidden="false" customHeight="false" outlineLevel="0" collapsed="false">
      <c r="A1195" s="1"/>
      <c r="B1195" s="30" t="s">
        <v>230</v>
      </c>
      <c r="C1195" s="16" t="s">
        <v>650</v>
      </c>
      <c r="D1195" s="16" t="s">
        <v>13</v>
      </c>
      <c r="E1195" s="64" t="n">
        <v>2</v>
      </c>
      <c r="F1195" s="25" t="s">
        <v>179</v>
      </c>
      <c r="G1195" s="17" t="n">
        <v>6.69</v>
      </c>
      <c r="H1195" s="17" t="n">
        <v>13.38</v>
      </c>
      <c r="I1195" s="62" t="n">
        <f aca="false">IF(OR(E1195="",G1195=""),"",ROUND(E1195*G1195,2))</f>
        <v>13.38</v>
      </c>
      <c r="J1195" s="25" t="str">
        <f aca="false">IF(OR(H1195="",I1195=""),"",IF(ABS(H1195-I1195)&lt;=0.02,"OK","≠"))</f>
        <v>OK</v>
      </c>
      <c r="K1195" s="16"/>
      <c r="L1195" s="1"/>
    </row>
    <row r="1196" customFormat="false" ht="15" hidden="false" customHeight="false" outlineLevel="0" collapsed="false">
      <c r="A1196" s="1"/>
      <c r="B1196" s="1"/>
      <c r="C1196" s="1"/>
      <c r="D1196" s="1"/>
      <c r="E1196" s="1"/>
      <c r="F1196" s="1"/>
      <c r="G1196" s="1"/>
      <c r="H1196" s="1"/>
      <c r="I1196" s="1"/>
      <c r="J1196" s="1"/>
      <c r="K1196" s="1"/>
      <c r="L1196" s="1"/>
    </row>
    <row r="1197" customFormat="false" ht="19.5" hidden="false" customHeight="true" outlineLevel="0" collapsed="false">
      <c r="A1197" s="1"/>
      <c r="B1197" s="63" t="s">
        <v>930</v>
      </c>
      <c r="C1197" s="63"/>
      <c r="D1197" s="63"/>
      <c r="E1197" s="63"/>
      <c r="F1197" s="63"/>
      <c r="G1197" s="63"/>
      <c r="H1197" s="63"/>
      <c r="I1197" s="63"/>
      <c r="J1197" s="63"/>
      <c r="K1197" s="63"/>
      <c r="L1197" s="1"/>
    </row>
    <row r="1198" customFormat="false" ht="15" hidden="false" customHeight="false" outlineLevel="0" collapsed="false">
      <c r="A1198" s="1"/>
      <c r="B1198" s="50" t="s">
        <v>34</v>
      </c>
      <c r="C1198" s="45" t="s">
        <v>38</v>
      </c>
      <c r="D1198" s="45"/>
      <c r="E1198" s="50" t="s">
        <v>157</v>
      </c>
      <c r="F1198" s="50"/>
      <c r="G1198" s="45" t="s">
        <v>931</v>
      </c>
      <c r="H1198" s="45"/>
      <c r="I1198" s="45"/>
      <c r="J1198" s="45"/>
      <c r="K1198" s="45"/>
      <c r="L1198" s="1"/>
    </row>
    <row r="1199" customFormat="false" ht="15" hidden="false" customHeight="false" outlineLevel="0" collapsed="false">
      <c r="A1199" s="1"/>
      <c r="B1199" s="50" t="s">
        <v>78</v>
      </c>
      <c r="C1199" s="39" t="n">
        <v>46223</v>
      </c>
      <c r="D1199" s="39"/>
      <c r="E1199" s="50" t="s">
        <v>80</v>
      </c>
      <c r="F1199" s="50"/>
      <c r="G1199" s="45" t="s">
        <v>486</v>
      </c>
      <c r="H1199" s="45"/>
      <c r="I1199" s="45"/>
      <c r="J1199" s="45"/>
      <c r="K1199" s="45"/>
      <c r="L1199" s="1"/>
    </row>
    <row r="1200" customFormat="false" ht="15" hidden="false" customHeight="false" outlineLevel="0" collapsed="false">
      <c r="A1200" s="1"/>
      <c r="B1200" s="50" t="s">
        <v>158</v>
      </c>
      <c r="C1200" s="55" t="n">
        <v>1</v>
      </c>
      <c r="D1200" s="55"/>
      <c r="E1200" s="50" t="s">
        <v>159</v>
      </c>
      <c r="F1200" s="50"/>
      <c r="G1200" s="56" t="n">
        <v>16.8</v>
      </c>
      <c r="H1200" s="56"/>
      <c r="I1200" s="56"/>
      <c r="J1200" s="56"/>
      <c r="K1200" s="56"/>
      <c r="L1200" s="1"/>
    </row>
    <row r="1201" customFormat="false" ht="15" hidden="false" customHeight="false" outlineLevel="0" collapsed="false">
      <c r="A1201" s="1"/>
      <c r="B1201" s="50" t="s">
        <v>160</v>
      </c>
      <c r="C1201" s="55" t="n">
        <f aca="false">COUNT(H1205:H1205)</f>
        <v>1</v>
      </c>
      <c r="D1201" s="55"/>
      <c r="E1201" s="50" t="s">
        <v>161</v>
      </c>
      <c r="F1201" s="50"/>
      <c r="G1201" s="56" t="n">
        <f aca="false">ROUND(SUM(H1205:H1205),2)</f>
        <v>16.8</v>
      </c>
      <c r="H1201" s="56"/>
      <c r="I1201" s="56"/>
      <c r="J1201" s="56"/>
      <c r="K1201" s="56"/>
      <c r="L1201" s="1"/>
    </row>
    <row r="1202" customFormat="false" ht="15" hidden="false" customHeight="false" outlineLevel="0" collapsed="false">
      <c r="A1202" s="1"/>
      <c r="B1202" s="50" t="s">
        <v>162</v>
      </c>
      <c r="C1202" s="55" t="n">
        <f aca="false">ROUND(SUMPRODUCT(((F1205:F1205="KG")+(F1205:F1205="G"))*1)+SUMPRODUCT((F1205:F1205&lt;&gt;"KG")*(F1205:F1205&lt;&gt;"G")*E1205:E1205),0)</f>
        <v>1</v>
      </c>
      <c r="D1202" s="55"/>
      <c r="E1202" s="50" t="s">
        <v>163</v>
      </c>
      <c r="F1202" s="50"/>
      <c r="G1202" s="56" t="n">
        <f aca="false">IF(G1200="","",ROUND(G1200-G1201,2))</f>
        <v>0</v>
      </c>
      <c r="H1202" s="56"/>
      <c r="I1202" s="56"/>
      <c r="J1202" s="56"/>
      <c r="K1202" s="56"/>
      <c r="L1202" s="1"/>
    </row>
    <row r="1203" customFormat="false" ht="15" hidden="false" customHeight="false" outlineLevel="0" collapsed="false">
      <c r="A1203" s="1"/>
      <c r="B1203" s="50" t="s">
        <v>84</v>
      </c>
      <c r="C1203" s="57" t="str">
        <f aca="false">IF(C1201=0,"— aguardando lançamento",IF(G1200="","SEM TOTAL OFICIAL — informe o total do cupom",IF(AND(OR(C1200="",C1200=C1201,C1200=C1202),ABS(G1202)&lt;=0.05),"FECHADO — itens e valor conferem",IF(ABS(G1202)&lt;=0.05,"REVISAR — qtd. de itens não bate","REVISAR — diferença de R$ "&amp;ABS(G1202)))))</f>
        <v>FECHADO — itens e valor conferem</v>
      </c>
      <c r="D1203" s="57"/>
      <c r="E1203" s="57"/>
      <c r="F1203" s="57"/>
      <c r="G1203" s="50" t="s">
        <v>164</v>
      </c>
      <c r="H1203" s="30"/>
      <c r="I1203" s="30"/>
      <c r="J1203" s="30"/>
      <c r="K1203" s="30"/>
      <c r="L1203" s="1"/>
    </row>
    <row r="1204" customFormat="false" ht="15" hidden="false" customHeight="false" outlineLevel="0" collapsed="false">
      <c r="A1204" s="1"/>
      <c r="B1204" s="15" t="s">
        <v>165</v>
      </c>
      <c r="C1204" s="15" t="s">
        <v>52</v>
      </c>
      <c r="D1204" s="15" t="s">
        <v>9</v>
      </c>
      <c r="E1204" s="15" t="s">
        <v>166</v>
      </c>
      <c r="F1204" s="15" t="s">
        <v>167</v>
      </c>
      <c r="G1204" s="15" t="s">
        <v>168</v>
      </c>
      <c r="H1204" s="15" t="s">
        <v>10</v>
      </c>
      <c r="I1204" s="15" t="s">
        <v>169</v>
      </c>
      <c r="J1204" s="15" t="s">
        <v>170</v>
      </c>
      <c r="K1204" s="15"/>
      <c r="L1204" s="1"/>
    </row>
    <row r="1205" customFormat="false" ht="15" hidden="false" customHeight="false" outlineLevel="0" collapsed="false">
      <c r="A1205" s="1"/>
      <c r="B1205" s="30" t="s">
        <v>527</v>
      </c>
      <c r="C1205" s="16" t="s">
        <v>932</v>
      </c>
      <c r="D1205" s="16" t="s">
        <v>13</v>
      </c>
      <c r="E1205" s="64" t="n">
        <v>1</v>
      </c>
      <c r="F1205" s="25" t="s">
        <v>179</v>
      </c>
      <c r="G1205" s="17" t="n">
        <v>16.8</v>
      </c>
      <c r="H1205" s="17" t="n">
        <v>16.8</v>
      </c>
      <c r="I1205" s="62" t="n">
        <f aca="false">IF(OR(E1205="",G1205=""),"",ROUND(E1205*G1205,2))</f>
        <v>16.8</v>
      </c>
      <c r="J1205" s="25" t="str">
        <f aca="false">IF(OR(H1205="",I1205=""),"",IF(ABS(H1205-I1205)&lt;=0.02,"OK","≠"))</f>
        <v>OK</v>
      </c>
      <c r="K1205" s="16"/>
      <c r="L1205" s="1"/>
    </row>
    <row r="1206" customFormat="false" ht="15" hidden="false" customHeight="false" outlineLevel="0" collapsed="false">
      <c r="A1206" s="1"/>
      <c r="B1206" s="1"/>
      <c r="C1206" s="1"/>
      <c r="D1206" s="1"/>
      <c r="E1206" s="1"/>
      <c r="F1206" s="1"/>
      <c r="G1206" s="1"/>
      <c r="H1206" s="1"/>
      <c r="I1206" s="1"/>
      <c r="J1206" s="1"/>
      <c r="K1206" s="1"/>
      <c r="L1206" s="1"/>
    </row>
    <row r="1207" customFormat="false" ht="19.5" hidden="false" customHeight="true" outlineLevel="0" collapsed="false">
      <c r="A1207" s="1"/>
      <c r="B1207" s="63" t="s">
        <v>933</v>
      </c>
      <c r="C1207" s="63"/>
      <c r="D1207" s="63"/>
      <c r="E1207" s="63"/>
      <c r="F1207" s="63"/>
      <c r="G1207" s="63"/>
      <c r="H1207" s="63"/>
      <c r="I1207" s="63"/>
      <c r="J1207" s="63"/>
      <c r="K1207" s="63"/>
      <c r="L1207" s="1"/>
    </row>
    <row r="1208" customFormat="false" ht="15" hidden="false" customHeight="false" outlineLevel="0" collapsed="false">
      <c r="A1208" s="1"/>
      <c r="B1208" s="50" t="s">
        <v>34</v>
      </c>
      <c r="C1208" s="45" t="s">
        <v>39</v>
      </c>
      <c r="D1208" s="45"/>
      <c r="E1208" s="50" t="s">
        <v>157</v>
      </c>
      <c r="F1208" s="50"/>
      <c r="G1208" s="45" t="s">
        <v>934</v>
      </c>
      <c r="H1208" s="45"/>
      <c r="I1208" s="45"/>
      <c r="J1208" s="45"/>
      <c r="K1208" s="45"/>
      <c r="L1208" s="1"/>
    </row>
    <row r="1209" customFormat="false" ht="15" hidden="false" customHeight="false" outlineLevel="0" collapsed="false">
      <c r="A1209" s="1"/>
      <c r="B1209" s="50" t="s">
        <v>78</v>
      </c>
      <c r="C1209" s="39" t="n">
        <v>46223</v>
      </c>
      <c r="D1209" s="39"/>
      <c r="E1209" s="50" t="s">
        <v>80</v>
      </c>
      <c r="F1209" s="50"/>
      <c r="G1209" s="45" t="s">
        <v>173</v>
      </c>
      <c r="H1209" s="45"/>
      <c r="I1209" s="45"/>
      <c r="J1209" s="45"/>
      <c r="K1209" s="45"/>
      <c r="L1209" s="1"/>
    </row>
    <row r="1210" customFormat="false" ht="15" hidden="false" customHeight="false" outlineLevel="0" collapsed="false">
      <c r="A1210" s="1"/>
      <c r="B1210" s="50" t="s">
        <v>158</v>
      </c>
      <c r="C1210" s="55" t="n">
        <v>3</v>
      </c>
      <c r="D1210" s="55"/>
      <c r="E1210" s="50" t="s">
        <v>159</v>
      </c>
      <c r="F1210" s="50"/>
      <c r="G1210" s="56" t="n">
        <v>19.54</v>
      </c>
      <c r="H1210" s="56"/>
      <c r="I1210" s="56"/>
      <c r="J1210" s="56"/>
      <c r="K1210" s="56"/>
      <c r="L1210" s="1"/>
    </row>
    <row r="1211" customFormat="false" ht="15" hidden="false" customHeight="false" outlineLevel="0" collapsed="false">
      <c r="A1211" s="1"/>
      <c r="B1211" s="50" t="s">
        <v>160</v>
      </c>
      <c r="C1211" s="55" t="n">
        <f aca="false">COUNT(H1215:H1217)</f>
        <v>3</v>
      </c>
      <c r="D1211" s="55"/>
      <c r="E1211" s="50" t="s">
        <v>161</v>
      </c>
      <c r="F1211" s="50"/>
      <c r="G1211" s="56" t="n">
        <f aca="false">ROUND(SUM(H1215:H1217),2)</f>
        <v>19.54</v>
      </c>
      <c r="H1211" s="56"/>
      <c r="I1211" s="56"/>
      <c r="J1211" s="56"/>
      <c r="K1211" s="56"/>
      <c r="L1211" s="1"/>
    </row>
    <row r="1212" customFormat="false" ht="15" hidden="false" customHeight="false" outlineLevel="0" collapsed="false">
      <c r="A1212" s="1"/>
      <c r="B1212" s="50" t="s">
        <v>162</v>
      </c>
      <c r="C1212" s="55" t="n">
        <f aca="false">ROUND(SUMPRODUCT(((F1215:F1217="KG")+(F1215:F1217="G"))*1)+SUMPRODUCT((F1215:F1217&lt;&gt;"KG")*(F1215:F1217&lt;&gt;"G")*E1215:E1217),0)</f>
        <v>3</v>
      </c>
      <c r="D1212" s="55"/>
      <c r="E1212" s="50" t="s">
        <v>163</v>
      </c>
      <c r="F1212" s="50"/>
      <c r="G1212" s="56" t="n">
        <f aca="false">IF(G1210="","",ROUND(G1210-G1211,2))</f>
        <v>0</v>
      </c>
      <c r="H1212" s="56"/>
      <c r="I1212" s="56"/>
      <c r="J1212" s="56"/>
      <c r="K1212" s="56"/>
      <c r="L1212" s="1"/>
    </row>
    <row r="1213" customFormat="false" ht="15" hidden="false" customHeight="false" outlineLevel="0" collapsed="false">
      <c r="A1213" s="1"/>
      <c r="B1213" s="50" t="s">
        <v>84</v>
      </c>
      <c r="C1213" s="57" t="str">
        <f aca="false">IF(C1211=0,"— aguardando lançamento",IF(G1210="","SEM TOTAL OFICIAL — informe o total do cupom",IF(AND(OR(C1210="",C1210=C1211,C1210=C1212),ABS(G1212)&lt;=0.05),"FECHADO — itens e valor conferem",IF(ABS(G1212)&lt;=0.05,"REVISAR — qtd. de itens não bate","REVISAR — diferença de R$ "&amp;ABS(G1212)))))</f>
        <v>FECHADO — itens e valor conferem</v>
      </c>
      <c r="D1213" s="57"/>
      <c r="E1213" s="57"/>
      <c r="F1213" s="57"/>
      <c r="G1213" s="50" t="s">
        <v>164</v>
      </c>
      <c r="H1213" s="30"/>
      <c r="I1213" s="30"/>
      <c r="J1213" s="30"/>
      <c r="K1213" s="30"/>
      <c r="L1213" s="1"/>
    </row>
    <row r="1214" customFormat="false" ht="15" hidden="false" customHeight="false" outlineLevel="0" collapsed="false">
      <c r="A1214" s="1"/>
      <c r="B1214" s="15" t="s">
        <v>165</v>
      </c>
      <c r="C1214" s="15" t="s">
        <v>52</v>
      </c>
      <c r="D1214" s="15" t="s">
        <v>9</v>
      </c>
      <c r="E1214" s="15" t="s">
        <v>166</v>
      </c>
      <c r="F1214" s="15" t="s">
        <v>167</v>
      </c>
      <c r="G1214" s="15" t="s">
        <v>168</v>
      </c>
      <c r="H1214" s="15" t="s">
        <v>10</v>
      </c>
      <c r="I1214" s="15" t="s">
        <v>169</v>
      </c>
      <c r="J1214" s="15" t="s">
        <v>170</v>
      </c>
      <c r="K1214" s="15"/>
      <c r="L1214" s="1"/>
    </row>
    <row r="1215" customFormat="false" ht="15" hidden="false" customHeight="false" outlineLevel="0" collapsed="false">
      <c r="A1215" s="1"/>
      <c r="B1215" s="30" t="s">
        <v>773</v>
      </c>
      <c r="C1215" s="16" t="s">
        <v>774</v>
      </c>
      <c r="D1215" s="16" t="s">
        <v>12</v>
      </c>
      <c r="E1215" s="64" t="n">
        <v>0.116</v>
      </c>
      <c r="F1215" s="25" t="s">
        <v>176</v>
      </c>
      <c r="G1215" s="17" t="n">
        <v>42</v>
      </c>
      <c r="H1215" s="17" t="n">
        <v>4.87</v>
      </c>
      <c r="I1215" s="62" t="n">
        <f aca="false">IF(OR(E1215="",G1215=""),"",ROUND(E1215*G1215,2))</f>
        <v>4.87</v>
      </c>
      <c r="J1215" s="25" t="str">
        <f aca="false">IF(OR(H1215="",I1215=""),"",IF(ABS(H1215-I1215)&lt;=0.02,"OK","≠"))</f>
        <v>OK</v>
      </c>
      <c r="K1215" s="16"/>
      <c r="L1215" s="1"/>
    </row>
    <row r="1216" customFormat="false" ht="15" hidden="false" customHeight="false" outlineLevel="0" collapsed="false">
      <c r="A1216" s="1"/>
      <c r="B1216" s="32" t="s">
        <v>775</v>
      </c>
      <c r="C1216" s="19" t="s">
        <v>776</v>
      </c>
      <c r="D1216" s="19" t="s">
        <v>13</v>
      </c>
      <c r="E1216" s="65" t="n">
        <v>1</v>
      </c>
      <c r="F1216" s="27" t="s">
        <v>179</v>
      </c>
      <c r="G1216" s="20" t="n">
        <v>6.5</v>
      </c>
      <c r="H1216" s="20" t="n">
        <v>6.5</v>
      </c>
      <c r="I1216" s="62" t="n">
        <f aca="false">IF(OR(E1216="",G1216=""),"",ROUND(E1216*G1216,2))</f>
        <v>6.5</v>
      </c>
      <c r="J1216" s="25" t="str">
        <f aca="false">IF(OR(H1216="",I1216=""),"",IF(ABS(H1216-I1216)&lt;=0.02,"OK","≠"))</f>
        <v>OK</v>
      </c>
      <c r="K1216" s="16"/>
      <c r="L1216" s="1"/>
    </row>
    <row r="1217" customFormat="false" ht="15" hidden="false" customHeight="false" outlineLevel="0" collapsed="false">
      <c r="A1217" s="1"/>
      <c r="B1217" s="30" t="s">
        <v>463</v>
      </c>
      <c r="C1217" s="16" t="s">
        <v>432</v>
      </c>
      <c r="D1217" s="16" t="s">
        <v>14</v>
      </c>
      <c r="E1217" s="64" t="n">
        <v>0.545</v>
      </c>
      <c r="F1217" s="25" t="s">
        <v>176</v>
      </c>
      <c r="G1217" s="17" t="n">
        <v>14.99</v>
      </c>
      <c r="H1217" s="17" t="n">
        <v>8.17</v>
      </c>
      <c r="I1217" s="62" t="n">
        <f aca="false">IF(OR(E1217="",G1217=""),"",ROUND(E1217*G1217,2))</f>
        <v>8.17</v>
      </c>
      <c r="J1217" s="25" t="str">
        <f aca="false">IF(OR(H1217="",I1217=""),"",IF(ABS(H1217-I1217)&lt;=0.02,"OK","≠"))</f>
        <v>OK</v>
      </c>
      <c r="K1217" s="16"/>
      <c r="L1217" s="1"/>
    </row>
    <row r="1218" customFormat="false" ht="15" hidden="false" customHeight="false" outlineLevel="0" collapsed="false">
      <c r="A1218" s="1"/>
      <c r="B1218" s="1"/>
      <c r="C1218" s="1"/>
      <c r="D1218" s="1"/>
      <c r="E1218" s="1"/>
      <c r="F1218" s="1"/>
      <c r="G1218" s="1"/>
      <c r="H1218" s="1"/>
      <c r="I1218" s="1"/>
      <c r="J1218" s="1"/>
      <c r="K1218" s="1"/>
      <c r="L1218" s="1"/>
    </row>
    <row r="1219" customFormat="false" ht="19.5" hidden="false" customHeight="true" outlineLevel="0" collapsed="false">
      <c r="A1219" s="1"/>
      <c r="B1219" s="63" t="s">
        <v>935</v>
      </c>
      <c r="C1219" s="63"/>
      <c r="D1219" s="63"/>
      <c r="E1219" s="63"/>
      <c r="F1219" s="63"/>
      <c r="G1219" s="63"/>
      <c r="H1219" s="63"/>
      <c r="I1219" s="63"/>
      <c r="J1219" s="63"/>
      <c r="K1219" s="63"/>
      <c r="L1219" s="1"/>
    </row>
    <row r="1220" customFormat="false" ht="15" hidden="false" customHeight="false" outlineLevel="0" collapsed="false">
      <c r="A1220" s="1"/>
      <c r="B1220" s="50" t="s">
        <v>34</v>
      </c>
      <c r="C1220" s="45" t="s">
        <v>38</v>
      </c>
      <c r="D1220" s="45"/>
      <c r="E1220" s="50" t="s">
        <v>157</v>
      </c>
      <c r="F1220" s="50"/>
      <c r="G1220" s="45" t="s">
        <v>936</v>
      </c>
      <c r="H1220" s="45"/>
      <c r="I1220" s="45"/>
      <c r="J1220" s="45"/>
      <c r="K1220" s="45"/>
      <c r="L1220" s="1"/>
    </row>
    <row r="1221" customFormat="false" ht="15" hidden="false" customHeight="false" outlineLevel="0" collapsed="false">
      <c r="A1221" s="1"/>
      <c r="B1221" s="50" t="s">
        <v>78</v>
      </c>
      <c r="C1221" s="39" t="n">
        <v>46226</v>
      </c>
      <c r="D1221" s="39"/>
      <c r="E1221" s="50" t="s">
        <v>80</v>
      </c>
      <c r="F1221" s="50"/>
      <c r="G1221" s="45" t="s">
        <v>173</v>
      </c>
      <c r="H1221" s="45"/>
      <c r="I1221" s="45"/>
      <c r="J1221" s="45"/>
      <c r="K1221" s="45"/>
      <c r="L1221" s="1"/>
    </row>
    <row r="1222" customFormat="false" ht="15" hidden="false" customHeight="false" outlineLevel="0" collapsed="false">
      <c r="A1222" s="1"/>
      <c r="B1222" s="50" t="s">
        <v>158</v>
      </c>
      <c r="C1222" s="55" t="n">
        <v>5</v>
      </c>
      <c r="D1222" s="55"/>
      <c r="E1222" s="50" t="s">
        <v>159</v>
      </c>
      <c r="F1222" s="50"/>
      <c r="G1222" s="56" t="n">
        <v>25.87</v>
      </c>
      <c r="H1222" s="56"/>
      <c r="I1222" s="56"/>
      <c r="J1222" s="56"/>
      <c r="K1222" s="56"/>
      <c r="L1222" s="1"/>
    </row>
    <row r="1223" customFormat="false" ht="15" hidden="false" customHeight="false" outlineLevel="0" collapsed="false">
      <c r="A1223" s="1"/>
      <c r="B1223" s="50" t="s">
        <v>160</v>
      </c>
      <c r="C1223" s="55" t="n">
        <f aca="false">COUNT(H1227:H1231)</f>
        <v>5</v>
      </c>
      <c r="D1223" s="55"/>
      <c r="E1223" s="50" t="s">
        <v>161</v>
      </c>
      <c r="F1223" s="50"/>
      <c r="G1223" s="56" t="n">
        <f aca="false">ROUND(SUM(H1227:H1231),2)</f>
        <v>25.87</v>
      </c>
      <c r="H1223" s="56"/>
      <c r="I1223" s="56"/>
      <c r="J1223" s="56"/>
      <c r="K1223" s="56"/>
      <c r="L1223" s="1"/>
    </row>
    <row r="1224" customFormat="false" ht="15" hidden="false" customHeight="false" outlineLevel="0" collapsed="false">
      <c r="A1224" s="1"/>
      <c r="B1224" s="50" t="s">
        <v>162</v>
      </c>
      <c r="C1224" s="55" t="n">
        <f aca="false">ROUND(SUMPRODUCT(((F1227:F1231="KG")+(F1227:F1231="G"))*1)+SUMPRODUCT((F1227:F1231&lt;&gt;"KG")*(F1227:F1231&lt;&gt;"G")*E1227:E1231),0)</f>
        <v>5</v>
      </c>
      <c r="D1224" s="55"/>
      <c r="E1224" s="50" t="s">
        <v>163</v>
      </c>
      <c r="F1224" s="50"/>
      <c r="G1224" s="56" t="n">
        <f aca="false">IF(G1222="","",ROUND(G1222-G1223,2))</f>
        <v>0</v>
      </c>
      <c r="H1224" s="56"/>
      <c r="I1224" s="56"/>
      <c r="J1224" s="56"/>
      <c r="K1224" s="56"/>
      <c r="L1224" s="1"/>
    </row>
    <row r="1225" customFormat="false" ht="15" hidden="false" customHeight="false" outlineLevel="0" collapsed="false">
      <c r="A1225" s="1"/>
      <c r="B1225" s="50" t="s">
        <v>84</v>
      </c>
      <c r="C1225" s="57" t="str">
        <f aca="false">IF(C1223=0,"— aguardando lançamento",IF(G1222="","SEM TOTAL OFICIAL — informe o total do cupom",IF(AND(OR(C1222="",C1222=C1223,C1222=C1224),ABS(G1224)&lt;=0.05),"FECHADO — itens e valor conferem",IF(ABS(G1224)&lt;=0.05,"REVISAR — qtd. de itens não bate","REVISAR — diferença de R$ "&amp;ABS(G1224)))))</f>
        <v>FECHADO — itens e valor conferem</v>
      </c>
      <c r="D1225" s="57"/>
      <c r="E1225" s="57"/>
      <c r="F1225" s="57"/>
      <c r="G1225" s="50" t="s">
        <v>164</v>
      </c>
      <c r="H1225" s="30"/>
      <c r="I1225" s="30"/>
      <c r="J1225" s="30"/>
      <c r="K1225" s="30"/>
      <c r="L1225" s="1"/>
    </row>
    <row r="1226" customFormat="false" ht="15" hidden="false" customHeight="false" outlineLevel="0" collapsed="false">
      <c r="A1226" s="1"/>
      <c r="B1226" s="15" t="s">
        <v>165</v>
      </c>
      <c r="C1226" s="15" t="s">
        <v>52</v>
      </c>
      <c r="D1226" s="15" t="s">
        <v>9</v>
      </c>
      <c r="E1226" s="15" t="s">
        <v>166</v>
      </c>
      <c r="F1226" s="15" t="s">
        <v>167</v>
      </c>
      <c r="G1226" s="15" t="s">
        <v>168</v>
      </c>
      <c r="H1226" s="15" t="s">
        <v>10</v>
      </c>
      <c r="I1226" s="15" t="s">
        <v>169</v>
      </c>
      <c r="J1226" s="15" t="s">
        <v>170</v>
      </c>
      <c r="K1226" s="15"/>
      <c r="L1226" s="1"/>
    </row>
    <row r="1227" customFormat="false" ht="15" hidden="false" customHeight="false" outlineLevel="0" collapsed="false">
      <c r="A1227" s="1"/>
      <c r="B1227" s="30" t="s">
        <v>480</v>
      </c>
      <c r="C1227" s="16" t="s">
        <v>481</v>
      </c>
      <c r="D1227" s="16" t="s">
        <v>15</v>
      </c>
      <c r="E1227" s="64" t="n">
        <v>0.848</v>
      </c>
      <c r="F1227" s="25" t="s">
        <v>176</v>
      </c>
      <c r="G1227" s="17" t="n">
        <v>5.28</v>
      </c>
      <c r="H1227" s="17" t="n">
        <v>4.48</v>
      </c>
      <c r="I1227" s="62" t="n">
        <f aca="false">IF(OR(E1227="",G1227=""),"",ROUND(E1227*G1227,2))</f>
        <v>4.48</v>
      </c>
      <c r="J1227" s="25" t="str">
        <f aca="false">IF(OR(H1227="",I1227=""),"",IF(ABS(H1227-I1227)&lt;=0.02,"OK","≠"))</f>
        <v>OK</v>
      </c>
      <c r="K1227" s="16"/>
      <c r="L1227" s="1"/>
    </row>
    <row r="1228" customFormat="false" ht="15" hidden="false" customHeight="false" outlineLevel="0" collapsed="false">
      <c r="A1228" s="1"/>
      <c r="B1228" s="32" t="s">
        <v>482</v>
      </c>
      <c r="C1228" s="19" t="s">
        <v>483</v>
      </c>
      <c r="D1228" s="19" t="s">
        <v>15</v>
      </c>
      <c r="E1228" s="65" t="n">
        <v>0.72</v>
      </c>
      <c r="F1228" s="27" t="s">
        <v>176</v>
      </c>
      <c r="G1228" s="20" t="n">
        <v>4.58</v>
      </c>
      <c r="H1228" s="20" t="n">
        <v>3.3</v>
      </c>
      <c r="I1228" s="62" t="n">
        <f aca="false">IF(OR(E1228="",G1228=""),"",ROUND(E1228*G1228,2))</f>
        <v>3.3</v>
      </c>
      <c r="J1228" s="25" t="str">
        <f aca="false">IF(OR(H1228="",I1228=""),"",IF(ABS(H1228-I1228)&lt;=0.02,"OK","≠"))</f>
        <v>OK</v>
      </c>
      <c r="K1228" s="16"/>
      <c r="L1228" s="1"/>
    </row>
    <row r="1229" customFormat="false" ht="15" hidden="false" customHeight="false" outlineLevel="0" collapsed="false">
      <c r="A1229" s="1"/>
      <c r="B1229" s="30" t="s">
        <v>584</v>
      </c>
      <c r="C1229" s="16" t="s">
        <v>585</v>
      </c>
      <c r="D1229" s="16" t="s">
        <v>15</v>
      </c>
      <c r="E1229" s="64" t="n">
        <v>0.416</v>
      </c>
      <c r="F1229" s="25" t="s">
        <v>176</v>
      </c>
      <c r="G1229" s="17" t="n">
        <v>5.28</v>
      </c>
      <c r="H1229" s="17" t="n">
        <v>2.2</v>
      </c>
      <c r="I1229" s="62" t="n">
        <f aca="false">IF(OR(E1229="",G1229=""),"",ROUND(E1229*G1229,2))</f>
        <v>2.2</v>
      </c>
      <c r="J1229" s="25" t="str">
        <f aca="false">IF(OR(H1229="",I1229=""),"",IF(ABS(H1229-I1229)&lt;=0.02,"OK","≠"))</f>
        <v>OK</v>
      </c>
      <c r="K1229" s="16"/>
      <c r="L1229" s="1"/>
    </row>
    <row r="1230" customFormat="false" ht="15" hidden="false" customHeight="false" outlineLevel="0" collapsed="false">
      <c r="A1230" s="1"/>
      <c r="B1230" s="32" t="s">
        <v>283</v>
      </c>
      <c r="C1230" s="19" t="s">
        <v>284</v>
      </c>
      <c r="D1230" s="19" t="s">
        <v>15</v>
      </c>
      <c r="E1230" s="65" t="n">
        <v>1.646</v>
      </c>
      <c r="F1230" s="27" t="s">
        <v>176</v>
      </c>
      <c r="G1230" s="20" t="n">
        <v>5.88</v>
      </c>
      <c r="H1230" s="20" t="n">
        <v>9.68</v>
      </c>
      <c r="I1230" s="62" t="n">
        <f aca="false">IF(OR(E1230="",G1230=""),"",ROUND(E1230*G1230,2))</f>
        <v>9.68</v>
      </c>
      <c r="J1230" s="25" t="str">
        <f aca="false">IF(OR(H1230="",I1230=""),"",IF(ABS(H1230-I1230)&lt;=0.02,"OK","≠"))</f>
        <v>OK</v>
      </c>
      <c r="K1230" s="16"/>
      <c r="L1230" s="1"/>
    </row>
    <row r="1231" customFormat="false" ht="15" hidden="false" customHeight="false" outlineLevel="0" collapsed="false">
      <c r="A1231" s="1"/>
      <c r="B1231" s="30" t="s">
        <v>285</v>
      </c>
      <c r="C1231" s="16" t="s">
        <v>286</v>
      </c>
      <c r="D1231" s="16" t="s">
        <v>15</v>
      </c>
      <c r="E1231" s="64" t="n">
        <v>0.532</v>
      </c>
      <c r="F1231" s="25" t="s">
        <v>176</v>
      </c>
      <c r="G1231" s="17" t="n">
        <v>11.68</v>
      </c>
      <c r="H1231" s="17" t="n">
        <v>6.21</v>
      </c>
      <c r="I1231" s="62" t="n">
        <f aca="false">IF(OR(E1231="",G1231=""),"",ROUND(E1231*G1231,2))</f>
        <v>6.21</v>
      </c>
      <c r="J1231" s="25" t="str">
        <f aca="false">IF(OR(H1231="",I1231=""),"",IF(ABS(H1231-I1231)&lt;=0.02,"OK","≠"))</f>
        <v>OK</v>
      </c>
      <c r="K1231" s="16"/>
      <c r="L1231" s="1"/>
    </row>
    <row r="1232" customFormat="false" ht="15" hidden="false" customHeight="false" outlineLevel="0" collapsed="false">
      <c r="A1232" s="1"/>
      <c r="B1232" s="1"/>
      <c r="C1232" s="1"/>
      <c r="D1232" s="1"/>
      <c r="E1232" s="1"/>
      <c r="F1232" s="1"/>
      <c r="G1232" s="1"/>
      <c r="H1232" s="1"/>
      <c r="I1232" s="1"/>
      <c r="J1232" s="1"/>
      <c r="K1232" s="1"/>
      <c r="L1232" s="1"/>
    </row>
    <row r="1233" customFormat="false" ht="19.5" hidden="false" customHeight="true" outlineLevel="0" collapsed="false">
      <c r="A1233" s="1"/>
      <c r="B1233" s="63" t="s">
        <v>937</v>
      </c>
      <c r="C1233" s="63"/>
      <c r="D1233" s="63"/>
      <c r="E1233" s="63"/>
      <c r="F1233" s="63"/>
      <c r="G1233" s="63"/>
      <c r="H1233" s="63"/>
      <c r="I1233" s="63"/>
      <c r="J1233" s="63"/>
      <c r="K1233" s="63"/>
      <c r="L1233" s="1"/>
    </row>
    <row r="1234" customFormat="false" ht="15" hidden="false" customHeight="false" outlineLevel="0" collapsed="false">
      <c r="A1234" s="1"/>
      <c r="B1234" s="50" t="s">
        <v>34</v>
      </c>
      <c r="C1234" s="45" t="s">
        <v>37</v>
      </c>
      <c r="D1234" s="45"/>
      <c r="E1234" s="50" t="s">
        <v>157</v>
      </c>
      <c r="F1234" s="50"/>
      <c r="G1234" s="45" t="s">
        <v>938</v>
      </c>
      <c r="H1234" s="45"/>
      <c r="I1234" s="45"/>
      <c r="J1234" s="45"/>
      <c r="K1234" s="45"/>
      <c r="L1234" s="1"/>
    </row>
    <row r="1235" customFormat="false" ht="15" hidden="false" customHeight="false" outlineLevel="0" collapsed="false">
      <c r="A1235" s="1"/>
      <c r="B1235" s="50" t="s">
        <v>78</v>
      </c>
      <c r="C1235" s="39" t="n">
        <v>46226</v>
      </c>
      <c r="D1235" s="39"/>
      <c r="E1235" s="50" t="s">
        <v>80</v>
      </c>
      <c r="F1235" s="50"/>
      <c r="G1235" s="45" t="s">
        <v>939</v>
      </c>
      <c r="H1235" s="45"/>
      <c r="I1235" s="45"/>
      <c r="J1235" s="45"/>
      <c r="K1235" s="45"/>
      <c r="L1235" s="1"/>
    </row>
    <row r="1236" customFormat="false" ht="15" hidden="false" customHeight="false" outlineLevel="0" collapsed="false">
      <c r="A1236" s="1"/>
      <c r="B1236" s="50" t="s">
        <v>158</v>
      </c>
      <c r="C1236" s="55" t="n">
        <v>10</v>
      </c>
      <c r="D1236" s="55"/>
      <c r="E1236" s="50" t="s">
        <v>159</v>
      </c>
      <c r="F1236" s="50"/>
      <c r="G1236" s="56" t="n">
        <v>76.56</v>
      </c>
      <c r="H1236" s="56"/>
      <c r="I1236" s="56"/>
      <c r="J1236" s="56"/>
      <c r="K1236" s="56"/>
      <c r="L1236" s="1"/>
    </row>
    <row r="1237" customFormat="false" ht="15" hidden="false" customHeight="false" outlineLevel="0" collapsed="false">
      <c r="A1237" s="1"/>
      <c r="B1237" s="50" t="s">
        <v>160</v>
      </c>
      <c r="C1237" s="55" t="n">
        <f aca="false">COUNT(H1241:H1250)</f>
        <v>10</v>
      </c>
      <c r="D1237" s="55"/>
      <c r="E1237" s="50" t="s">
        <v>161</v>
      </c>
      <c r="F1237" s="50"/>
      <c r="G1237" s="56" t="n">
        <f aca="false">ROUND(SUM(H1241:H1250),2)</f>
        <v>76.56</v>
      </c>
      <c r="H1237" s="56"/>
      <c r="I1237" s="56"/>
      <c r="J1237" s="56"/>
      <c r="K1237" s="56"/>
      <c r="L1237" s="1"/>
    </row>
    <row r="1238" customFormat="false" ht="15" hidden="false" customHeight="false" outlineLevel="0" collapsed="false">
      <c r="A1238" s="1"/>
      <c r="B1238" s="50" t="s">
        <v>162</v>
      </c>
      <c r="C1238" s="55" t="n">
        <f aca="false">ROUND(SUMPRODUCT(((F1241:F1250="KG")+(F1241:F1250="G"))*1)+SUMPRODUCT((F1241:F1250&lt;&gt;"KG")*(F1241:F1250&lt;&gt;"G")*E1241:E1250),0)</f>
        <v>10</v>
      </c>
      <c r="D1238" s="55"/>
      <c r="E1238" s="50" t="s">
        <v>163</v>
      </c>
      <c r="F1238" s="50"/>
      <c r="G1238" s="56" t="n">
        <f aca="false">IF(G1236="","",ROUND(G1236-G1237,2))</f>
        <v>0</v>
      </c>
      <c r="H1238" s="56"/>
      <c r="I1238" s="56"/>
      <c r="J1238" s="56"/>
      <c r="K1238" s="56"/>
      <c r="L1238" s="1"/>
    </row>
    <row r="1239" customFormat="false" ht="15" hidden="false" customHeight="false" outlineLevel="0" collapsed="false">
      <c r="A1239" s="1"/>
      <c r="B1239" s="50" t="s">
        <v>84</v>
      </c>
      <c r="C1239" s="57" t="str">
        <f aca="false">IF(C1237=0,"— aguardando lançamento",IF(G1236="","SEM TOTAL OFICIAL — informe o total do cupom",IF(AND(OR(C1236="",C1236=C1237,C1236=C1238),ABS(G1238)&lt;=0.05),"FECHADO — itens e valor conferem",IF(ABS(G1238)&lt;=0.05,"REVISAR — qtd. de itens não bate","REVISAR — diferença de R$ "&amp;ABS(G1238)))))</f>
        <v>FECHADO — itens e valor conferem</v>
      </c>
      <c r="D1239" s="57"/>
      <c r="E1239" s="57"/>
      <c r="F1239" s="57"/>
      <c r="G1239" s="50" t="s">
        <v>164</v>
      </c>
      <c r="H1239" s="30"/>
      <c r="I1239" s="30"/>
      <c r="J1239" s="30"/>
      <c r="K1239" s="30"/>
      <c r="L1239" s="1"/>
    </row>
    <row r="1240" customFormat="false" ht="15" hidden="false" customHeight="false" outlineLevel="0" collapsed="false">
      <c r="A1240" s="1"/>
      <c r="B1240" s="15" t="s">
        <v>165</v>
      </c>
      <c r="C1240" s="15" t="s">
        <v>52</v>
      </c>
      <c r="D1240" s="15" t="s">
        <v>9</v>
      </c>
      <c r="E1240" s="15" t="s">
        <v>166</v>
      </c>
      <c r="F1240" s="15" t="s">
        <v>167</v>
      </c>
      <c r="G1240" s="15" t="s">
        <v>168</v>
      </c>
      <c r="H1240" s="15" t="s">
        <v>10</v>
      </c>
      <c r="I1240" s="15" t="s">
        <v>169</v>
      </c>
      <c r="J1240" s="15" t="s">
        <v>170</v>
      </c>
      <c r="K1240" s="15"/>
      <c r="L1240" s="1"/>
    </row>
    <row r="1241" customFormat="false" ht="15" hidden="false" customHeight="false" outlineLevel="0" collapsed="false">
      <c r="A1241" s="1"/>
      <c r="B1241" s="30" t="s">
        <v>402</v>
      </c>
      <c r="C1241" s="16" t="s">
        <v>940</v>
      </c>
      <c r="D1241" s="16" t="s">
        <v>12</v>
      </c>
      <c r="E1241" s="64" t="n">
        <v>1</v>
      </c>
      <c r="F1241" s="25" t="s">
        <v>179</v>
      </c>
      <c r="G1241" s="17" t="n">
        <v>10.9</v>
      </c>
      <c r="H1241" s="17" t="n">
        <v>10.9</v>
      </c>
      <c r="I1241" s="62" t="n">
        <f aca="false">IF(OR(E1241="",G1241=""),"",ROUND(E1241*G1241,2))</f>
        <v>10.9</v>
      </c>
      <c r="J1241" s="25" t="str">
        <f aca="false">IF(OR(H1241="",I1241=""),"",IF(ABS(H1241-I1241)&lt;=0.02,"OK","≠"))</f>
        <v>OK</v>
      </c>
      <c r="K1241" s="16"/>
      <c r="L1241" s="1"/>
    </row>
    <row r="1242" customFormat="false" ht="15" hidden="false" customHeight="false" outlineLevel="0" collapsed="false">
      <c r="A1242" s="1"/>
      <c r="B1242" s="32" t="s">
        <v>941</v>
      </c>
      <c r="C1242" s="19" t="s">
        <v>942</v>
      </c>
      <c r="D1242" s="19" t="s">
        <v>19</v>
      </c>
      <c r="E1242" s="65" t="n">
        <v>1</v>
      </c>
      <c r="F1242" s="27" t="s">
        <v>179</v>
      </c>
      <c r="G1242" s="20" t="n">
        <v>7.9</v>
      </c>
      <c r="H1242" s="20" t="n">
        <v>7.9</v>
      </c>
      <c r="I1242" s="62" t="n">
        <f aca="false">IF(OR(E1242="",G1242=""),"",ROUND(E1242*G1242,2))</f>
        <v>7.9</v>
      </c>
      <c r="J1242" s="25" t="str">
        <f aca="false">IF(OR(H1242="",I1242=""),"",IF(ABS(H1242-I1242)&lt;=0.02,"OK","≠"))</f>
        <v>OK</v>
      </c>
      <c r="K1242" s="16"/>
      <c r="L1242" s="1"/>
    </row>
    <row r="1243" customFormat="false" ht="15" hidden="false" customHeight="false" outlineLevel="0" collapsed="false">
      <c r="A1243" s="1"/>
      <c r="B1243" s="30" t="s">
        <v>943</v>
      </c>
      <c r="C1243" s="16" t="s">
        <v>944</v>
      </c>
      <c r="D1243" s="16" t="s">
        <v>19</v>
      </c>
      <c r="E1243" s="64" t="n">
        <v>1</v>
      </c>
      <c r="F1243" s="25" t="s">
        <v>179</v>
      </c>
      <c r="G1243" s="17" t="n">
        <v>2.69</v>
      </c>
      <c r="H1243" s="17" t="n">
        <v>2.69</v>
      </c>
      <c r="I1243" s="62" t="n">
        <f aca="false">IF(OR(E1243="",G1243=""),"",ROUND(E1243*G1243,2))</f>
        <v>2.69</v>
      </c>
      <c r="J1243" s="25" t="str">
        <f aca="false">IF(OR(H1243="",I1243=""),"",IF(ABS(H1243-I1243)&lt;=0.02,"OK","≠"))</f>
        <v>OK</v>
      </c>
      <c r="K1243" s="16"/>
      <c r="L1243" s="1"/>
    </row>
    <row r="1244" customFormat="false" ht="15" hidden="false" customHeight="false" outlineLevel="0" collapsed="false">
      <c r="A1244" s="1"/>
      <c r="B1244" s="32" t="s">
        <v>945</v>
      </c>
      <c r="C1244" s="19" t="s">
        <v>946</v>
      </c>
      <c r="D1244" s="19" t="s">
        <v>18</v>
      </c>
      <c r="E1244" s="65" t="n">
        <v>1</v>
      </c>
      <c r="F1244" s="27" t="s">
        <v>179</v>
      </c>
      <c r="G1244" s="20" t="n">
        <v>2.19</v>
      </c>
      <c r="H1244" s="20" t="n">
        <v>2.19</v>
      </c>
      <c r="I1244" s="62" t="n">
        <f aca="false">IF(OR(E1244="",G1244=""),"",ROUND(E1244*G1244,2))</f>
        <v>2.19</v>
      </c>
      <c r="J1244" s="25" t="str">
        <f aca="false">IF(OR(H1244="",I1244=""),"",IF(ABS(H1244-I1244)&lt;=0.02,"OK","≠"))</f>
        <v>OK</v>
      </c>
      <c r="K1244" s="16"/>
      <c r="L1244" s="1"/>
    </row>
    <row r="1245" customFormat="false" ht="15" hidden="false" customHeight="false" outlineLevel="0" collapsed="false">
      <c r="A1245" s="1"/>
      <c r="B1245" s="30" t="s">
        <v>947</v>
      </c>
      <c r="C1245" s="16" t="s">
        <v>948</v>
      </c>
      <c r="D1245" s="16" t="s">
        <v>12</v>
      </c>
      <c r="E1245" s="64" t="n">
        <v>1</v>
      </c>
      <c r="F1245" s="25" t="s">
        <v>179</v>
      </c>
      <c r="G1245" s="17" t="n">
        <v>2.99</v>
      </c>
      <c r="H1245" s="17" t="n">
        <v>2.99</v>
      </c>
      <c r="I1245" s="62" t="n">
        <f aca="false">IF(OR(E1245="",G1245=""),"",ROUND(E1245*G1245,2))</f>
        <v>2.99</v>
      </c>
      <c r="J1245" s="25" t="str">
        <f aca="false">IF(OR(H1245="",I1245=""),"",IF(ABS(H1245-I1245)&lt;=0.02,"OK","≠"))</f>
        <v>OK</v>
      </c>
      <c r="K1245" s="16"/>
      <c r="L1245" s="1"/>
    </row>
    <row r="1246" customFormat="false" ht="15" hidden="false" customHeight="false" outlineLevel="0" collapsed="false">
      <c r="A1246" s="1"/>
      <c r="B1246" s="32" t="s">
        <v>623</v>
      </c>
      <c r="C1246" s="19" t="s">
        <v>624</v>
      </c>
      <c r="D1246" s="19" t="s">
        <v>14</v>
      </c>
      <c r="E1246" s="65" t="n">
        <v>0.34</v>
      </c>
      <c r="F1246" s="27" t="s">
        <v>176</v>
      </c>
      <c r="G1246" s="20" t="n">
        <v>29.9</v>
      </c>
      <c r="H1246" s="20" t="n">
        <v>10.17</v>
      </c>
      <c r="I1246" s="62" t="n">
        <f aca="false">IF(OR(E1246="",G1246=""),"",ROUND(E1246*G1246,2))</f>
        <v>10.17</v>
      </c>
      <c r="J1246" s="25" t="str">
        <f aca="false">IF(OR(H1246="",I1246=""),"",IF(ABS(H1246-I1246)&lt;=0.02,"OK","≠"))</f>
        <v>OK</v>
      </c>
      <c r="K1246" s="16"/>
      <c r="L1246" s="1"/>
    </row>
    <row r="1247" customFormat="false" ht="15" hidden="false" customHeight="false" outlineLevel="0" collapsed="false">
      <c r="A1247" s="1"/>
      <c r="B1247" s="30" t="s">
        <v>949</v>
      </c>
      <c r="C1247" s="16" t="s">
        <v>950</v>
      </c>
      <c r="D1247" s="16" t="s">
        <v>17</v>
      </c>
      <c r="E1247" s="64" t="n">
        <v>0.29</v>
      </c>
      <c r="F1247" s="25" t="s">
        <v>176</v>
      </c>
      <c r="G1247" s="17" t="n">
        <v>59.9</v>
      </c>
      <c r="H1247" s="17" t="n">
        <v>17.37</v>
      </c>
      <c r="I1247" s="62" t="n">
        <f aca="false">IF(OR(E1247="",G1247=""),"",ROUND(E1247*G1247,2))</f>
        <v>17.37</v>
      </c>
      <c r="J1247" s="25" t="str">
        <f aca="false">IF(OR(H1247="",I1247=""),"",IF(ABS(H1247-I1247)&lt;=0.02,"OK","≠"))</f>
        <v>OK</v>
      </c>
      <c r="K1247" s="16"/>
      <c r="L1247" s="1"/>
    </row>
    <row r="1248" customFormat="false" ht="15" hidden="false" customHeight="false" outlineLevel="0" collapsed="false">
      <c r="A1248" s="1"/>
      <c r="B1248" s="32" t="s">
        <v>732</v>
      </c>
      <c r="C1248" s="19" t="s">
        <v>951</v>
      </c>
      <c r="D1248" s="19" t="s">
        <v>15</v>
      </c>
      <c r="E1248" s="65" t="n">
        <v>0.745</v>
      </c>
      <c r="F1248" s="27" t="s">
        <v>176</v>
      </c>
      <c r="G1248" s="20" t="n">
        <v>5.99</v>
      </c>
      <c r="H1248" s="20" t="n">
        <v>4.46</v>
      </c>
      <c r="I1248" s="62" t="n">
        <f aca="false">IF(OR(E1248="",G1248=""),"",ROUND(E1248*G1248,2))</f>
        <v>4.46</v>
      </c>
      <c r="J1248" s="25" t="str">
        <f aca="false">IF(OR(H1248="",I1248=""),"",IF(ABS(H1248-I1248)&lt;=0.02,"OK","≠"))</f>
        <v>OK</v>
      </c>
      <c r="K1248" s="16"/>
      <c r="L1248" s="1"/>
    </row>
    <row r="1249" customFormat="false" ht="15" hidden="false" customHeight="false" outlineLevel="0" collapsed="false">
      <c r="A1249" s="1"/>
      <c r="B1249" s="30" t="s">
        <v>952</v>
      </c>
      <c r="C1249" s="16" t="s">
        <v>953</v>
      </c>
      <c r="D1249" s="16" t="s">
        <v>19</v>
      </c>
      <c r="E1249" s="64" t="n">
        <v>1</v>
      </c>
      <c r="F1249" s="25" t="s">
        <v>179</v>
      </c>
      <c r="G1249" s="17" t="n">
        <v>5.9</v>
      </c>
      <c r="H1249" s="17" t="n">
        <v>5.9</v>
      </c>
      <c r="I1249" s="62" t="n">
        <f aca="false">IF(OR(E1249="",G1249=""),"",ROUND(E1249*G1249,2))</f>
        <v>5.9</v>
      </c>
      <c r="J1249" s="25" t="str">
        <f aca="false">IF(OR(H1249="",I1249=""),"",IF(ABS(H1249-I1249)&lt;=0.02,"OK","≠"))</f>
        <v>OK</v>
      </c>
      <c r="K1249" s="16"/>
      <c r="L1249" s="1"/>
    </row>
    <row r="1250" customFormat="false" ht="15" hidden="false" customHeight="false" outlineLevel="0" collapsed="false">
      <c r="A1250" s="1"/>
      <c r="B1250" s="32" t="s">
        <v>954</v>
      </c>
      <c r="C1250" s="19" t="s">
        <v>955</v>
      </c>
      <c r="D1250" s="19" t="s">
        <v>12</v>
      </c>
      <c r="E1250" s="65" t="n">
        <v>1</v>
      </c>
      <c r="F1250" s="27" t="s">
        <v>179</v>
      </c>
      <c r="G1250" s="20" t="n">
        <v>11.99</v>
      </c>
      <c r="H1250" s="20" t="n">
        <v>11.99</v>
      </c>
      <c r="I1250" s="62" t="n">
        <f aca="false">IF(OR(E1250="",G1250=""),"",ROUND(E1250*G1250,2))</f>
        <v>11.99</v>
      </c>
      <c r="J1250" s="25" t="str">
        <f aca="false">IF(OR(H1250="",I1250=""),"",IF(ABS(H1250-I1250)&lt;=0.02,"OK","≠"))</f>
        <v>OK</v>
      </c>
      <c r="K1250" s="16"/>
      <c r="L1250" s="1"/>
    </row>
    <row r="1251" customFormat="false" ht="15" hidden="false" customHeight="false" outlineLevel="0" collapsed="false">
      <c r="A1251" s="1"/>
      <c r="B1251" s="1"/>
      <c r="C1251" s="1"/>
      <c r="D1251" s="1"/>
      <c r="E1251" s="1"/>
      <c r="F1251" s="1"/>
      <c r="G1251" s="1"/>
      <c r="H1251" s="1"/>
      <c r="I1251" s="1"/>
      <c r="J1251" s="1"/>
      <c r="K1251" s="1"/>
      <c r="L1251" s="1"/>
    </row>
    <row r="1252" customFormat="false" ht="19.5" hidden="false" customHeight="true" outlineLevel="0" collapsed="false">
      <c r="A1252" s="1"/>
      <c r="B1252" s="63" t="s">
        <v>956</v>
      </c>
      <c r="C1252" s="63"/>
      <c r="D1252" s="63"/>
      <c r="E1252" s="63"/>
      <c r="F1252" s="63"/>
      <c r="G1252" s="63"/>
      <c r="H1252" s="63"/>
      <c r="I1252" s="63"/>
      <c r="J1252" s="63"/>
      <c r="K1252" s="63"/>
      <c r="L1252" s="1"/>
    </row>
    <row r="1253" customFormat="false" ht="15" hidden="false" customHeight="false" outlineLevel="0" collapsed="false">
      <c r="A1253" s="1"/>
      <c r="B1253" s="50" t="s">
        <v>34</v>
      </c>
      <c r="C1253" s="45" t="s">
        <v>37</v>
      </c>
      <c r="D1253" s="45"/>
      <c r="E1253" s="50" t="s">
        <v>157</v>
      </c>
      <c r="F1253" s="50"/>
      <c r="G1253" s="45" t="s">
        <v>957</v>
      </c>
      <c r="H1253" s="45"/>
      <c r="I1253" s="45"/>
      <c r="J1253" s="45"/>
      <c r="K1253" s="45"/>
      <c r="L1253" s="1"/>
    </row>
    <row r="1254" customFormat="false" ht="15" hidden="false" customHeight="false" outlineLevel="0" collapsed="false">
      <c r="A1254" s="1"/>
      <c r="B1254" s="50" t="s">
        <v>78</v>
      </c>
      <c r="C1254" s="39" t="n">
        <v>46228</v>
      </c>
      <c r="D1254" s="39"/>
      <c r="E1254" s="50" t="s">
        <v>80</v>
      </c>
      <c r="F1254" s="50"/>
      <c r="G1254" s="45" t="s">
        <v>939</v>
      </c>
      <c r="H1254" s="45"/>
      <c r="I1254" s="45"/>
      <c r="J1254" s="45"/>
      <c r="K1254" s="45"/>
      <c r="L1254" s="1"/>
    </row>
    <row r="1255" customFormat="false" ht="15" hidden="false" customHeight="false" outlineLevel="0" collapsed="false">
      <c r="A1255" s="1"/>
      <c r="B1255" s="50" t="s">
        <v>158</v>
      </c>
      <c r="C1255" s="55" t="n">
        <v>17</v>
      </c>
      <c r="D1255" s="55"/>
      <c r="E1255" s="50" t="s">
        <v>159</v>
      </c>
      <c r="F1255" s="50"/>
      <c r="G1255" s="56" t="n">
        <v>108.78</v>
      </c>
      <c r="H1255" s="56"/>
      <c r="I1255" s="56"/>
      <c r="J1255" s="56"/>
      <c r="K1255" s="56"/>
      <c r="L1255" s="1"/>
    </row>
    <row r="1256" customFormat="false" ht="15" hidden="false" customHeight="false" outlineLevel="0" collapsed="false">
      <c r="A1256" s="1"/>
      <c r="B1256" s="50" t="s">
        <v>160</v>
      </c>
      <c r="C1256" s="55" t="n">
        <f aca="false">COUNT(H1260:H1276)</f>
        <v>17</v>
      </c>
      <c r="D1256" s="55"/>
      <c r="E1256" s="50" t="s">
        <v>161</v>
      </c>
      <c r="F1256" s="50"/>
      <c r="G1256" s="56" t="n">
        <f aca="false">ROUND(SUM(H1260:H1276),2)</f>
        <v>108.78</v>
      </c>
      <c r="H1256" s="56"/>
      <c r="I1256" s="56"/>
      <c r="J1256" s="56"/>
      <c r="K1256" s="56"/>
      <c r="L1256" s="1"/>
    </row>
    <row r="1257" customFormat="false" ht="15" hidden="false" customHeight="false" outlineLevel="0" collapsed="false">
      <c r="A1257" s="1"/>
      <c r="B1257" s="50" t="s">
        <v>162</v>
      </c>
      <c r="C1257" s="55" t="n">
        <f aca="false">ROUND(SUMPRODUCT(((F1260:F1276="KG")+(F1260:F1276="G"))*1)+SUMPRODUCT((F1260:F1276&lt;&gt;"KG")*(F1260:F1276&lt;&gt;"G")*E1260:E1276),0)</f>
        <v>17</v>
      </c>
      <c r="D1257" s="55"/>
      <c r="E1257" s="50" t="s">
        <v>163</v>
      </c>
      <c r="F1257" s="50"/>
      <c r="G1257" s="56" t="n">
        <f aca="false">IF(G1255="","",ROUND(G1255-G1256,2))</f>
        <v>0</v>
      </c>
      <c r="H1257" s="56"/>
      <c r="I1257" s="56"/>
      <c r="J1257" s="56"/>
      <c r="K1257" s="56"/>
      <c r="L1257" s="1"/>
    </row>
    <row r="1258" customFormat="false" ht="15" hidden="false" customHeight="false" outlineLevel="0" collapsed="false">
      <c r="A1258" s="1"/>
      <c r="B1258" s="50" t="s">
        <v>84</v>
      </c>
      <c r="C1258" s="57" t="str">
        <f aca="false">IF(C1256=0,"— aguardando lançamento",IF(G1255="","SEM TOTAL OFICIAL — informe o total do cupom",IF(AND(OR(C1255="",C1255=C1256,C1255=C1257),ABS(G1257)&lt;=0.05),"FECHADO — itens e valor conferem",IF(ABS(G1257)&lt;=0.05,"REVISAR — qtd. de itens não bate","REVISAR — diferença de R$ "&amp;ABS(G1257)))))</f>
        <v>FECHADO — itens e valor conferem</v>
      </c>
      <c r="D1258" s="57"/>
      <c r="E1258" s="57"/>
      <c r="F1258" s="57"/>
      <c r="G1258" s="50" t="s">
        <v>164</v>
      </c>
      <c r="H1258" s="30"/>
      <c r="I1258" s="30"/>
      <c r="J1258" s="30"/>
      <c r="K1258" s="30"/>
      <c r="L1258" s="1"/>
    </row>
    <row r="1259" customFormat="false" ht="15" hidden="false" customHeight="false" outlineLevel="0" collapsed="false">
      <c r="A1259" s="1"/>
      <c r="B1259" s="15" t="s">
        <v>165</v>
      </c>
      <c r="C1259" s="15" t="s">
        <v>52</v>
      </c>
      <c r="D1259" s="15" t="s">
        <v>9</v>
      </c>
      <c r="E1259" s="15" t="s">
        <v>166</v>
      </c>
      <c r="F1259" s="15" t="s">
        <v>167</v>
      </c>
      <c r="G1259" s="15" t="s">
        <v>168</v>
      </c>
      <c r="H1259" s="15" t="s">
        <v>10</v>
      </c>
      <c r="I1259" s="15" t="s">
        <v>169</v>
      </c>
      <c r="J1259" s="15" t="s">
        <v>170</v>
      </c>
      <c r="K1259" s="15"/>
      <c r="L1259" s="1"/>
    </row>
    <row r="1260" customFormat="false" ht="15" hidden="false" customHeight="false" outlineLevel="0" collapsed="false">
      <c r="A1260" s="1"/>
      <c r="B1260" s="30" t="s">
        <v>230</v>
      </c>
      <c r="C1260" s="16" t="s">
        <v>760</v>
      </c>
      <c r="D1260" s="16" t="s">
        <v>13</v>
      </c>
      <c r="E1260" s="64" t="n">
        <v>1</v>
      </c>
      <c r="F1260" s="25" t="s">
        <v>179</v>
      </c>
      <c r="G1260" s="17" t="n">
        <v>6.69</v>
      </c>
      <c r="H1260" s="17" t="n">
        <v>6.69</v>
      </c>
      <c r="I1260" s="62" t="n">
        <f aca="false">IF(OR(E1260="",G1260=""),"",ROUND(E1260*G1260,2))</f>
        <v>6.69</v>
      </c>
      <c r="J1260" s="25" t="str">
        <f aca="false">IF(OR(H1260="",I1260=""),"",IF(ABS(H1260-I1260)&lt;=0.02,"OK","≠"))</f>
        <v>OK</v>
      </c>
      <c r="K1260" s="16"/>
      <c r="L1260" s="1"/>
    </row>
    <row r="1261" customFormat="false" ht="15" hidden="false" customHeight="false" outlineLevel="0" collapsed="false">
      <c r="A1261" s="1"/>
      <c r="B1261" s="32" t="s">
        <v>230</v>
      </c>
      <c r="C1261" s="19" t="s">
        <v>760</v>
      </c>
      <c r="D1261" s="19" t="s">
        <v>13</v>
      </c>
      <c r="E1261" s="65" t="n">
        <v>1</v>
      </c>
      <c r="F1261" s="27" t="s">
        <v>179</v>
      </c>
      <c r="G1261" s="20" t="n">
        <v>6.69</v>
      </c>
      <c r="H1261" s="20" t="n">
        <v>6.69</v>
      </c>
      <c r="I1261" s="62" t="n">
        <f aca="false">IF(OR(E1261="",G1261=""),"",ROUND(E1261*G1261,2))</f>
        <v>6.69</v>
      </c>
      <c r="J1261" s="25" t="str">
        <f aca="false">IF(OR(H1261="",I1261=""),"",IF(ABS(H1261-I1261)&lt;=0.02,"OK","≠"))</f>
        <v>OK</v>
      </c>
      <c r="K1261" s="16"/>
      <c r="L1261" s="1"/>
    </row>
    <row r="1262" customFormat="false" ht="15" hidden="false" customHeight="false" outlineLevel="0" collapsed="false">
      <c r="A1262" s="1"/>
      <c r="B1262" s="30" t="s">
        <v>958</v>
      </c>
      <c r="C1262" s="16" t="s">
        <v>959</v>
      </c>
      <c r="D1262" s="16" t="s">
        <v>12</v>
      </c>
      <c r="E1262" s="64" t="n">
        <v>1</v>
      </c>
      <c r="F1262" s="25" t="s">
        <v>179</v>
      </c>
      <c r="G1262" s="17" t="n">
        <v>10.98</v>
      </c>
      <c r="H1262" s="17" t="n">
        <v>10.98</v>
      </c>
      <c r="I1262" s="62" t="n">
        <f aca="false">IF(OR(E1262="",G1262=""),"",ROUND(E1262*G1262,2))</f>
        <v>10.98</v>
      </c>
      <c r="J1262" s="25" t="str">
        <f aca="false">IF(OR(H1262="",I1262=""),"",IF(ABS(H1262-I1262)&lt;=0.02,"OK","≠"))</f>
        <v>OK</v>
      </c>
      <c r="K1262" s="16"/>
      <c r="L1262" s="1"/>
    </row>
    <row r="1263" customFormat="false" ht="15" hidden="false" customHeight="false" outlineLevel="0" collapsed="false">
      <c r="A1263" s="1"/>
      <c r="B1263" s="32" t="s">
        <v>960</v>
      </c>
      <c r="C1263" s="19" t="s">
        <v>961</v>
      </c>
      <c r="D1263" s="19" t="s">
        <v>12</v>
      </c>
      <c r="E1263" s="65" t="n">
        <v>1</v>
      </c>
      <c r="F1263" s="27" t="s">
        <v>179</v>
      </c>
      <c r="G1263" s="20" t="n">
        <v>4.89</v>
      </c>
      <c r="H1263" s="20" t="n">
        <v>4.89</v>
      </c>
      <c r="I1263" s="62" t="n">
        <f aca="false">IF(OR(E1263="",G1263=""),"",ROUND(E1263*G1263,2))</f>
        <v>4.89</v>
      </c>
      <c r="J1263" s="25" t="str">
        <f aca="false">IF(OR(H1263="",I1263=""),"",IF(ABS(H1263-I1263)&lt;=0.02,"OK","≠"))</f>
        <v>OK</v>
      </c>
      <c r="K1263" s="16"/>
      <c r="L1263" s="1"/>
    </row>
    <row r="1264" customFormat="false" ht="15" hidden="false" customHeight="false" outlineLevel="0" collapsed="false">
      <c r="A1264" s="1"/>
      <c r="B1264" s="30" t="s">
        <v>962</v>
      </c>
      <c r="C1264" s="16" t="s">
        <v>963</v>
      </c>
      <c r="D1264" s="16" t="s">
        <v>12</v>
      </c>
      <c r="E1264" s="64" t="n">
        <v>1</v>
      </c>
      <c r="F1264" s="25" t="s">
        <v>179</v>
      </c>
      <c r="G1264" s="17" t="n">
        <v>2.99</v>
      </c>
      <c r="H1264" s="17" t="n">
        <v>2.99</v>
      </c>
      <c r="I1264" s="62" t="n">
        <f aca="false">IF(OR(E1264="",G1264=""),"",ROUND(E1264*G1264,2))</f>
        <v>2.99</v>
      </c>
      <c r="J1264" s="25" t="str">
        <f aca="false">IF(OR(H1264="",I1264=""),"",IF(ABS(H1264-I1264)&lt;=0.02,"OK","≠"))</f>
        <v>OK</v>
      </c>
      <c r="K1264" s="16"/>
      <c r="L1264" s="1"/>
    </row>
    <row r="1265" customFormat="false" ht="15" hidden="false" customHeight="false" outlineLevel="0" collapsed="false">
      <c r="A1265" s="1"/>
      <c r="B1265" s="32" t="s">
        <v>964</v>
      </c>
      <c r="C1265" s="19" t="s">
        <v>965</v>
      </c>
      <c r="D1265" s="19" t="s">
        <v>12</v>
      </c>
      <c r="E1265" s="65" t="n">
        <v>1</v>
      </c>
      <c r="F1265" s="27" t="s">
        <v>179</v>
      </c>
      <c r="G1265" s="20" t="n">
        <v>6.9</v>
      </c>
      <c r="H1265" s="20" t="n">
        <v>6.9</v>
      </c>
      <c r="I1265" s="62" t="n">
        <f aca="false">IF(OR(E1265="",G1265=""),"",ROUND(E1265*G1265,2))</f>
        <v>6.9</v>
      </c>
      <c r="J1265" s="25" t="str">
        <f aca="false">IF(OR(H1265="",I1265=""),"",IF(ABS(H1265-I1265)&lt;=0.02,"OK","≠"))</f>
        <v>OK</v>
      </c>
      <c r="K1265" s="16"/>
      <c r="L1265" s="1"/>
    </row>
    <row r="1266" customFormat="false" ht="15" hidden="false" customHeight="false" outlineLevel="0" collapsed="false">
      <c r="A1266" s="1"/>
      <c r="B1266" s="30" t="s">
        <v>966</v>
      </c>
      <c r="C1266" s="16" t="s">
        <v>967</v>
      </c>
      <c r="D1266" s="16" t="s">
        <v>12</v>
      </c>
      <c r="E1266" s="64" t="n">
        <v>1</v>
      </c>
      <c r="F1266" s="25" t="s">
        <v>179</v>
      </c>
      <c r="G1266" s="17" t="n">
        <v>1.99</v>
      </c>
      <c r="H1266" s="17" t="n">
        <v>1.99</v>
      </c>
      <c r="I1266" s="62" t="n">
        <f aca="false">IF(OR(E1266="",G1266=""),"",ROUND(E1266*G1266,2))</f>
        <v>1.99</v>
      </c>
      <c r="J1266" s="25" t="str">
        <f aca="false">IF(OR(H1266="",I1266=""),"",IF(ABS(H1266-I1266)&lt;=0.02,"OK","≠"))</f>
        <v>OK</v>
      </c>
      <c r="K1266" s="16"/>
      <c r="L1266" s="1"/>
    </row>
    <row r="1267" customFormat="false" ht="15" hidden="false" customHeight="false" outlineLevel="0" collapsed="false">
      <c r="A1267" s="1"/>
      <c r="B1267" s="32" t="s">
        <v>968</v>
      </c>
      <c r="C1267" s="19" t="s">
        <v>969</v>
      </c>
      <c r="D1267" s="19" t="s">
        <v>12</v>
      </c>
      <c r="E1267" s="65" t="n">
        <v>1</v>
      </c>
      <c r="F1267" s="27" t="s">
        <v>179</v>
      </c>
      <c r="G1267" s="20" t="n">
        <v>2.99</v>
      </c>
      <c r="H1267" s="20" t="n">
        <v>2.99</v>
      </c>
      <c r="I1267" s="62" t="n">
        <f aca="false">IF(OR(E1267="",G1267=""),"",ROUND(E1267*G1267,2))</f>
        <v>2.99</v>
      </c>
      <c r="J1267" s="25" t="str">
        <f aca="false">IF(OR(H1267="",I1267=""),"",IF(ABS(H1267-I1267)&lt;=0.02,"OK","≠"))</f>
        <v>OK</v>
      </c>
      <c r="K1267" s="16"/>
      <c r="L1267" s="1"/>
    </row>
    <row r="1268" customFormat="false" ht="15" hidden="false" customHeight="false" outlineLevel="0" collapsed="false">
      <c r="A1268" s="1"/>
      <c r="B1268" s="30" t="s">
        <v>970</v>
      </c>
      <c r="C1268" s="16" t="s">
        <v>971</v>
      </c>
      <c r="D1268" s="16" t="s">
        <v>12</v>
      </c>
      <c r="E1268" s="64" t="n">
        <v>1</v>
      </c>
      <c r="F1268" s="25" t="s">
        <v>179</v>
      </c>
      <c r="G1268" s="17" t="n">
        <v>5.49</v>
      </c>
      <c r="H1268" s="17" t="n">
        <v>5.49</v>
      </c>
      <c r="I1268" s="62" t="n">
        <f aca="false">IF(OR(E1268="",G1268=""),"",ROUND(E1268*G1268,2))</f>
        <v>5.49</v>
      </c>
      <c r="J1268" s="25" t="str">
        <f aca="false">IF(OR(H1268="",I1268=""),"",IF(ABS(H1268-I1268)&lt;=0.02,"OK","≠"))</f>
        <v>OK</v>
      </c>
      <c r="K1268" s="16"/>
      <c r="L1268" s="1"/>
    </row>
    <row r="1269" customFormat="false" ht="15" hidden="false" customHeight="false" outlineLevel="0" collapsed="false">
      <c r="A1269" s="1"/>
      <c r="B1269" s="32" t="s">
        <v>972</v>
      </c>
      <c r="C1269" s="19" t="s">
        <v>973</v>
      </c>
      <c r="D1269" s="19" t="s">
        <v>12</v>
      </c>
      <c r="E1269" s="65" t="n">
        <v>1</v>
      </c>
      <c r="F1269" s="27" t="s">
        <v>179</v>
      </c>
      <c r="G1269" s="20" t="n">
        <v>3.49</v>
      </c>
      <c r="H1269" s="20" t="n">
        <v>3.49</v>
      </c>
      <c r="I1269" s="62" t="n">
        <f aca="false">IF(OR(E1269="",G1269=""),"",ROUND(E1269*G1269,2))</f>
        <v>3.49</v>
      </c>
      <c r="J1269" s="25" t="str">
        <f aca="false">IF(OR(H1269="",I1269=""),"",IF(ABS(H1269-I1269)&lt;=0.02,"OK","≠"))</f>
        <v>OK</v>
      </c>
      <c r="K1269" s="16"/>
      <c r="L1269" s="1"/>
    </row>
    <row r="1270" customFormat="false" ht="15" hidden="false" customHeight="false" outlineLevel="0" collapsed="false">
      <c r="A1270" s="1"/>
      <c r="B1270" s="30" t="s">
        <v>623</v>
      </c>
      <c r="C1270" s="16" t="s">
        <v>624</v>
      </c>
      <c r="D1270" s="16" t="s">
        <v>14</v>
      </c>
      <c r="E1270" s="64" t="n">
        <v>0.206</v>
      </c>
      <c r="F1270" s="25" t="s">
        <v>176</v>
      </c>
      <c r="G1270" s="17" t="n">
        <v>29.9</v>
      </c>
      <c r="H1270" s="17" t="n">
        <v>6.16</v>
      </c>
      <c r="I1270" s="62" t="n">
        <f aca="false">IF(OR(E1270="",G1270=""),"",ROUND(E1270*G1270,2))</f>
        <v>6.16</v>
      </c>
      <c r="J1270" s="25" t="str">
        <f aca="false">IF(OR(H1270="",I1270=""),"",IF(ABS(H1270-I1270)&lt;=0.02,"OK","≠"))</f>
        <v>OK</v>
      </c>
      <c r="K1270" s="16"/>
      <c r="L1270" s="1"/>
    </row>
    <row r="1271" customFormat="false" ht="15" hidden="false" customHeight="false" outlineLevel="0" collapsed="false">
      <c r="A1271" s="1"/>
      <c r="B1271" s="32" t="s">
        <v>458</v>
      </c>
      <c r="C1271" s="19" t="s">
        <v>740</v>
      </c>
      <c r="D1271" s="19" t="s">
        <v>14</v>
      </c>
      <c r="E1271" s="65" t="n">
        <v>0.415</v>
      </c>
      <c r="F1271" s="27" t="s">
        <v>176</v>
      </c>
      <c r="G1271" s="20" t="n">
        <v>17.9</v>
      </c>
      <c r="H1271" s="20" t="n">
        <v>7.43</v>
      </c>
      <c r="I1271" s="62" t="n">
        <f aca="false">IF(OR(E1271="",G1271=""),"",ROUND(E1271*G1271,2))</f>
        <v>7.43</v>
      </c>
      <c r="J1271" s="25" t="str">
        <f aca="false">IF(OR(H1271="",I1271=""),"",IF(ABS(H1271-I1271)&lt;=0.02,"OK","≠"))</f>
        <v>OK</v>
      </c>
      <c r="K1271" s="16"/>
      <c r="L1271" s="1"/>
    </row>
    <row r="1272" customFormat="false" ht="15" hidden="false" customHeight="false" outlineLevel="0" collapsed="false">
      <c r="A1272" s="1"/>
      <c r="B1272" s="30" t="s">
        <v>974</v>
      </c>
      <c r="C1272" s="16" t="s">
        <v>975</v>
      </c>
      <c r="D1272" s="16" t="s">
        <v>18</v>
      </c>
      <c r="E1272" s="64" t="n">
        <v>1</v>
      </c>
      <c r="F1272" s="25" t="s">
        <v>179</v>
      </c>
      <c r="G1272" s="17" t="n">
        <v>8.9</v>
      </c>
      <c r="H1272" s="17" t="n">
        <v>8.9</v>
      </c>
      <c r="I1272" s="62" t="n">
        <f aca="false">IF(OR(E1272="",G1272=""),"",ROUND(E1272*G1272,2))</f>
        <v>8.9</v>
      </c>
      <c r="J1272" s="25" t="str">
        <f aca="false">IF(OR(H1272="",I1272=""),"",IF(ABS(H1272-I1272)&lt;=0.02,"OK","≠"))</f>
        <v>OK</v>
      </c>
      <c r="K1272" s="16"/>
      <c r="L1272" s="1"/>
    </row>
    <row r="1273" customFormat="false" ht="15" hidden="false" customHeight="false" outlineLevel="0" collapsed="false">
      <c r="A1273" s="1"/>
      <c r="B1273" s="32" t="s">
        <v>555</v>
      </c>
      <c r="C1273" s="19" t="s">
        <v>976</v>
      </c>
      <c r="D1273" s="19" t="s">
        <v>12</v>
      </c>
      <c r="E1273" s="65" t="n">
        <v>1</v>
      </c>
      <c r="F1273" s="27" t="s">
        <v>179</v>
      </c>
      <c r="G1273" s="20" t="n">
        <v>9.9</v>
      </c>
      <c r="H1273" s="20" t="n">
        <v>9.9</v>
      </c>
      <c r="I1273" s="62" t="n">
        <f aca="false">IF(OR(E1273="",G1273=""),"",ROUND(E1273*G1273,2))</f>
        <v>9.9</v>
      </c>
      <c r="J1273" s="25" t="str">
        <f aca="false">IF(OR(H1273="",I1273=""),"",IF(ABS(H1273-I1273)&lt;=0.02,"OK","≠"))</f>
        <v>OK</v>
      </c>
      <c r="K1273" s="16"/>
      <c r="L1273" s="1"/>
    </row>
    <row r="1274" customFormat="false" ht="15" hidden="false" customHeight="false" outlineLevel="0" collapsed="false">
      <c r="A1274" s="1"/>
      <c r="B1274" s="30" t="s">
        <v>977</v>
      </c>
      <c r="C1274" s="16" t="s">
        <v>978</v>
      </c>
      <c r="D1274" s="16" t="s">
        <v>12</v>
      </c>
      <c r="E1274" s="64" t="n">
        <v>1</v>
      </c>
      <c r="F1274" s="25" t="s">
        <v>179</v>
      </c>
      <c r="G1274" s="17" t="n">
        <v>11.99</v>
      </c>
      <c r="H1274" s="17" t="n">
        <v>11.99</v>
      </c>
      <c r="I1274" s="62" t="n">
        <f aca="false">IF(OR(E1274="",G1274=""),"",ROUND(E1274*G1274,2))</f>
        <v>11.99</v>
      </c>
      <c r="J1274" s="25" t="str">
        <f aca="false">IF(OR(H1274="",I1274=""),"",IF(ABS(H1274-I1274)&lt;=0.02,"OK","≠"))</f>
        <v>OK</v>
      </c>
      <c r="K1274" s="16"/>
      <c r="L1274" s="1"/>
    </row>
    <row r="1275" customFormat="false" ht="15" hidden="false" customHeight="false" outlineLevel="0" collapsed="false">
      <c r="A1275" s="1"/>
      <c r="B1275" s="32" t="s">
        <v>732</v>
      </c>
      <c r="C1275" s="19" t="s">
        <v>951</v>
      </c>
      <c r="D1275" s="19" t="s">
        <v>15</v>
      </c>
      <c r="E1275" s="65" t="n">
        <v>0.655</v>
      </c>
      <c r="F1275" s="27" t="s">
        <v>176</v>
      </c>
      <c r="G1275" s="20" t="n">
        <v>5.99</v>
      </c>
      <c r="H1275" s="20" t="n">
        <v>3.92</v>
      </c>
      <c r="I1275" s="62" t="n">
        <f aca="false">IF(OR(E1275="",G1275=""),"",ROUND(E1275*G1275,2))</f>
        <v>3.92</v>
      </c>
      <c r="J1275" s="25" t="str">
        <f aca="false">IF(OR(H1275="",I1275=""),"",IF(ABS(H1275-I1275)&lt;=0.02,"OK","≠"))</f>
        <v>OK</v>
      </c>
      <c r="K1275" s="16"/>
      <c r="L1275" s="1"/>
    </row>
    <row r="1276" customFormat="false" ht="15" hidden="false" customHeight="false" outlineLevel="0" collapsed="false">
      <c r="A1276" s="1"/>
      <c r="B1276" s="30" t="s">
        <v>625</v>
      </c>
      <c r="C1276" s="16" t="s">
        <v>979</v>
      </c>
      <c r="D1276" s="16" t="s">
        <v>15</v>
      </c>
      <c r="E1276" s="64" t="n">
        <v>1.855</v>
      </c>
      <c r="F1276" s="25" t="s">
        <v>176</v>
      </c>
      <c r="G1276" s="17" t="n">
        <v>3.98</v>
      </c>
      <c r="H1276" s="17" t="n">
        <v>7.38</v>
      </c>
      <c r="I1276" s="62" t="n">
        <f aca="false">IF(OR(E1276="",G1276=""),"",ROUND(E1276*G1276,2))</f>
        <v>7.38</v>
      </c>
      <c r="J1276" s="25" t="str">
        <f aca="false">IF(OR(H1276="",I1276=""),"",IF(ABS(H1276-I1276)&lt;=0.02,"OK","≠"))</f>
        <v>OK</v>
      </c>
      <c r="K1276" s="16"/>
      <c r="L1276" s="1"/>
    </row>
    <row r="1277" customFormat="false" ht="15" hidden="false" customHeight="false" outlineLevel="0" collapsed="false">
      <c r="A1277" s="1"/>
      <c r="B1277" s="1"/>
      <c r="C1277" s="1"/>
      <c r="D1277" s="1"/>
      <c r="E1277" s="1"/>
      <c r="F1277" s="1"/>
      <c r="G1277" s="1"/>
      <c r="H1277" s="1"/>
      <c r="I1277" s="1"/>
      <c r="J1277" s="1"/>
      <c r="K1277" s="1"/>
      <c r="L1277" s="1"/>
    </row>
    <row r="1278" customFormat="false" ht="19.5" hidden="false" customHeight="true" outlineLevel="0" collapsed="false">
      <c r="A1278" s="1"/>
      <c r="B1278" s="63" t="s">
        <v>980</v>
      </c>
      <c r="C1278" s="63"/>
      <c r="D1278" s="63"/>
      <c r="E1278" s="63"/>
      <c r="F1278" s="63"/>
      <c r="G1278" s="63"/>
      <c r="H1278" s="63"/>
      <c r="I1278" s="63"/>
      <c r="J1278" s="63"/>
      <c r="K1278" s="63"/>
      <c r="L1278" s="1"/>
    </row>
    <row r="1279" customFormat="false" ht="15" hidden="false" customHeight="false" outlineLevel="0" collapsed="false">
      <c r="A1279" s="1"/>
      <c r="B1279" s="50" t="s">
        <v>34</v>
      </c>
      <c r="C1279" s="45" t="s">
        <v>37</v>
      </c>
      <c r="D1279" s="45"/>
      <c r="E1279" s="50" t="s">
        <v>157</v>
      </c>
      <c r="F1279" s="50"/>
      <c r="G1279" s="45" t="s">
        <v>981</v>
      </c>
      <c r="H1279" s="45"/>
      <c r="I1279" s="45"/>
      <c r="J1279" s="45"/>
      <c r="K1279" s="45"/>
      <c r="L1279" s="1"/>
    </row>
    <row r="1280" customFormat="false" ht="15" hidden="false" customHeight="false" outlineLevel="0" collapsed="false">
      <c r="A1280" s="1"/>
      <c r="B1280" s="50" t="s">
        <v>78</v>
      </c>
      <c r="C1280" s="39" t="n">
        <v>46229</v>
      </c>
      <c r="D1280" s="39"/>
      <c r="E1280" s="50" t="s">
        <v>80</v>
      </c>
      <c r="F1280" s="50"/>
      <c r="G1280" s="45" t="s">
        <v>486</v>
      </c>
      <c r="H1280" s="45"/>
      <c r="I1280" s="45"/>
      <c r="J1280" s="45"/>
      <c r="K1280" s="45"/>
      <c r="L1280" s="1"/>
    </row>
    <row r="1281" customFormat="false" ht="15" hidden="false" customHeight="false" outlineLevel="0" collapsed="false">
      <c r="A1281" s="1"/>
      <c r="B1281" s="50" t="s">
        <v>158</v>
      </c>
      <c r="C1281" s="55" t="n">
        <v>3</v>
      </c>
      <c r="D1281" s="55"/>
      <c r="E1281" s="50" t="s">
        <v>159</v>
      </c>
      <c r="F1281" s="50"/>
      <c r="G1281" s="56" t="n">
        <v>48.96</v>
      </c>
      <c r="H1281" s="56"/>
      <c r="I1281" s="56"/>
      <c r="J1281" s="56"/>
      <c r="K1281" s="56"/>
      <c r="L1281" s="1"/>
    </row>
    <row r="1282" customFormat="false" ht="15" hidden="false" customHeight="false" outlineLevel="0" collapsed="false">
      <c r="A1282" s="1"/>
      <c r="B1282" s="50" t="s">
        <v>160</v>
      </c>
      <c r="C1282" s="55" t="n">
        <f aca="false">COUNT(H1286:H1288)</f>
        <v>3</v>
      </c>
      <c r="D1282" s="55"/>
      <c r="E1282" s="50" t="s">
        <v>161</v>
      </c>
      <c r="F1282" s="50"/>
      <c r="G1282" s="56" t="n">
        <f aca="false">ROUND(SUM(H1286:H1288),2)</f>
        <v>48.96</v>
      </c>
      <c r="H1282" s="56"/>
      <c r="I1282" s="56"/>
      <c r="J1282" s="56"/>
      <c r="K1282" s="56"/>
      <c r="L1282" s="1"/>
    </row>
    <row r="1283" customFormat="false" ht="15" hidden="false" customHeight="false" outlineLevel="0" collapsed="false">
      <c r="A1283" s="1"/>
      <c r="B1283" s="50" t="s">
        <v>162</v>
      </c>
      <c r="C1283" s="55" t="n">
        <f aca="false">ROUND(SUMPRODUCT(((F1286:F1288="KG")+(F1286:F1288="G"))*1)+SUMPRODUCT((F1286:F1288&lt;&gt;"KG")*(F1286:F1288&lt;&gt;"G")*E1286:E1288),0)</f>
        <v>3</v>
      </c>
      <c r="D1283" s="55"/>
      <c r="E1283" s="50" t="s">
        <v>163</v>
      </c>
      <c r="F1283" s="50"/>
      <c r="G1283" s="56" t="n">
        <f aca="false">IF(G1281="","",ROUND(G1281-G1282,2))</f>
        <v>0</v>
      </c>
      <c r="H1283" s="56"/>
      <c r="I1283" s="56"/>
      <c r="J1283" s="56"/>
      <c r="K1283" s="56"/>
      <c r="L1283" s="1"/>
    </row>
    <row r="1284" customFormat="false" ht="15" hidden="false" customHeight="false" outlineLevel="0" collapsed="false">
      <c r="A1284" s="1"/>
      <c r="B1284" s="50" t="s">
        <v>84</v>
      </c>
      <c r="C1284" s="57" t="str">
        <f aca="false">IF(C1282=0,"— aguardando lançamento",IF(G1281="","SEM TOTAL OFICIAL — informe o total do cupom",IF(AND(OR(C1281="",C1281=C1282,C1281=C1283),ABS(G1283)&lt;=0.05),"FECHADO — itens e valor conferem",IF(ABS(G1283)&lt;=0.05,"REVISAR — qtd. de itens não bate","REVISAR — diferença de R$ "&amp;ABS(G1283)))))</f>
        <v>FECHADO — itens e valor conferem</v>
      </c>
      <c r="D1284" s="57"/>
      <c r="E1284" s="57"/>
      <c r="F1284" s="57"/>
      <c r="G1284" s="50" t="s">
        <v>164</v>
      </c>
      <c r="H1284" s="30"/>
      <c r="I1284" s="30"/>
      <c r="J1284" s="30"/>
      <c r="K1284" s="30"/>
      <c r="L1284" s="1"/>
    </row>
    <row r="1285" customFormat="false" ht="15" hidden="false" customHeight="false" outlineLevel="0" collapsed="false">
      <c r="A1285" s="1"/>
      <c r="B1285" s="15" t="s">
        <v>165</v>
      </c>
      <c r="C1285" s="15" t="s">
        <v>52</v>
      </c>
      <c r="D1285" s="15" t="s">
        <v>9</v>
      </c>
      <c r="E1285" s="15" t="s">
        <v>166</v>
      </c>
      <c r="F1285" s="15" t="s">
        <v>167</v>
      </c>
      <c r="G1285" s="15" t="s">
        <v>168</v>
      </c>
      <c r="H1285" s="15" t="s">
        <v>10</v>
      </c>
      <c r="I1285" s="15" t="s">
        <v>169</v>
      </c>
      <c r="J1285" s="15" t="s">
        <v>170</v>
      </c>
      <c r="K1285" s="15"/>
      <c r="L1285" s="1"/>
    </row>
    <row r="1286" customFormat="false" ht="15" hidden="false" customHeight="false" outlineLevel="0" collapsed="false">
      <c r="A1286" s="1"/>
      <c r="B1286" s="30" t="s">
        <v>458</v>
      </c>
      <c r="C1286" s="16" t="s">
        <v>740</v>
      </c>
      <c r="D1286" s="16" t="s">
        <v>14</v>
      </c>
      <c r="E1286" s="64" t="n">
        <v>0.4</v>
      </c>
      <c r="F1286" s="25" t="s">
        <v>176</v>
      </c>
      <c r="G1286" s="17" t="n">
        <v>17.9</v>
      </c>
      <c r="H1286" s="17" t="n">
        <v>7.16</v>
      </c>
      <c r="I1286" s="62" t="n">
        <f aca="false">IF(OR(E1286="",G1286=""),"",ROUND(E1286*G1286,2))</f>
        <v>7.16</v>
      </c>
      <c r="J1286" s="25" t="str">
        <f aca="false">IF(OR(H1286="",I1286=""),"",IF(ABS(H1286-I1286)&lt;=0.02,"OK","≠"))</f>
        <v>OK</v>
      </c>
      <c r="K1286" s="16"/>
      <c r="L1286" s="1"/>
    </row>
    <row r="1287" customFormat="false" ht="15" hidden="false" customHeight="false" outlineLevel="0" collapsed="false">
      <c r="A1287" s="1"/>
      <c r="B1287" s="32" t="s">
        <v>982</v>
      </c>
      <c r="C1287" s="19" t="s">
        <v>983</v>
      </c>
      <c r="D1287" s="19" t="s">
        <v>12</v>
      </c>
      <c r="E1287" s="65" t="n">
        <v>1</v>
      </c>
      <c r="F1287" s="27" t="s">
        <v>179</v>
      </c>
      <c r="G1287" s="20" t="n">
        <v>19.9</v>
      </c>
      <c r="H1287" s="20" t="n">
        <v>19.9</v>
      </c>
      <c r="I1287" s="62" t="n">
        <f aca="false">IF(OR(E1287="",G1287=""),"",ROUND(E1287*G1287,2))</f>
        <v>19.9</v>
      </c>
      <c r="J1287" s="25" t="str">
        <f aca="false">IF(OR(H1287="",I1287=""),"",IF(ABS(H1287-I1287)&lt;=0.02,"OK","≠"))</f>
        <v>OK</v>
      </c>
      <c r="K1287" s="16"/>
      <c r="L1287" s="1"/>
    </row>
    <row r="1288" customFormat="false" ht="15" hidden="false" customHeight="false" outlineLevel="0" collapsed="false">
      <c r="A1288" s="1"/>
      <c r="B1288" s="30" t="s">
        <v>984</v>
      </c>
      <c r="C1288" s="16" t="s">
        <v>985</v>
      </c>
      <c r="D1288" s="16" t="s">
        <v>12</v>
      </c>
      <c r="E1288" s="64" t="n">
        <v>1</v>
      </c>
      <c r="F1288" s="25" t="s">
        <v>179</v>
      </c>
      <c r="G1288" s="17" t="n">
        <v>21.9</v>
      </c>
      <c r="H1288" s="17" t="n">
        <v>21.9</v>
      </c>
      <c r="I1288" s="62" t="n">
        <f aca="false">IF(OR(E1288="",G1288=""),"",ROUND(E1288*G1288,2))</f>
        <v>21.9</v>
      </c>
      <c r="J1288" s="25" t="str">
        <f aca="false">IF(OR(H1288="",I1288=""),"",IF(ABS(H1288-I1288)&lt;=0.02,"OK","≠"))</f>
        <v>OK</v>
      </c>
      <c r="K1288" s="16"/>
      <c r="L1288" s="1"/>
    </row>
    <row r="1289" customFormat="false" ht="15" hidden="false" customHeight="false" outlineLevel="0" collapsed="false">
      <c r="A1289" s="1"/>
      <c r="B1289" s="1"/>
      <c r="C1289" s="1"/>
      <c r="D1289" s="1"/>
      <c r="E1289" s="1"/>
      <c r="F1289" s="1"/>
      <c r="G1289" s="1"/>
      <c r="H1289" s="1"/>
      <c r="I1289" s="1"/>
      <c r="J1289" s="1"/>
      <c r="K1289" s="1"/>
      <c r="L1289" s="1"/>
    </row>
    <row r="1290" customFormat="false" ht="19.5" hidden="false" customHeight="true" outlineLevel="0" collapsed="false">
      <c r="A1290" s="1"/>
      <c r="B1290" s="63" t="s">
        <v>986</v>
      </c>
      <c r="C1290" s="63"/>
      <c r="D1290" s="63"/>
      <c r="E1290" s="63"/>
      <c r="F1290" s="63"/>
      <c r="G1290" s="63"/>
      <c r="H1290" s="63"/>
      <c r="I1290" s="63"/>
      <c r="J1290" s="63"/>
      <c r="K1290" s="63"/>
      <c r="L1290" s="1"/>
    </row>
    <row r="1291" customFormat="false" ht="15" hidden="false" customHeight="false" outlineLevel="0" collapsed="false">
      <c r="A1291" s="1"/>
      <c r="B1291" s="50" t="s">
        <v>34</v>
      </c>
      <c r="C1291" s="45" t="s">
        <v>37</v>
      </c>
      <c r="D1291" s="45"/>
      <c r="E1291" s="50" t="s">
        <v>157</v>
      </c>
      <c r="F1291" s="50"/>
      <c r="G1291" s="45" t="s">
        <v>987</v>
      </c>
      <c r="H1291" s="45"/>
      <c r="I1291" s="45"/>
      <c r="J1291" s="45"/>
      <c r="K1291" s="45"/>
      <c r="L1291" s="1"/>
    </row>
    <row r="1292" customFormat="false" ht="15" hidden="false" customHeight="false" outlineLevel="0" collapsed="false">
      <c r="A1292" s="1"/>
      <c r="B1292" s="50" t="s">
        <v>78</v>
      </c>
      <c r="C1292" s="39" t="n">
        <v>46230</v>
      </c>
      <c r="D1292" s="39"/>
      <c r="E1292" s="50" t="s">
        <v>80</v>
      </c>
      <c r="F1292" s="50"/>
      <c r="G1292" s="45" t="s">
        <v>173</v>
      </c>
      <c r="H1292" s="45"/>
      <c r="I1292" s="45"/>
      <c r="J1292" s="45"/>
      <c r="K1292" s="45"/>
      <c r="L1292" s="1"/>
    </row>
    <row r="1293" customFormat="false" ht="15" hidden="false" customHeight="false" outlineLevel="0" collapsed="false">
      <c r="A1293" s="1"/>
      <c r="B1293" s="50" t="s">
        <v>158</v>
      </c>
      <c r="C1293" s="55" t="n">
        <v>4</v>
      </c>
      <c r="D1293" s="55"/>
      <c r="E1293" s="50" t="s">
        <v>159</v>
      </c>
      <c r="F1293" s="50"/>
      <c r="G1293" s="56" t="n">
        <v>39.27</v>
      </c>
      <c r="H1293" s="56"/>
      <c r="I1293" s="56"/>
      <c r="J1293" s="56"/>
      <c r="K1293" s="56"/>
      <c r="L1293" s="1"/>
    </row>
    <row r="1294" customFormat="false" ht="15" hidden="false" customHeight="false" outlineLevel="0" collapsed="false">
      <c r="A1294" s="1"/>
      <c r="B1294" s="50" t="s">
        <v>160</v>
      </c>
      <c r="C1294" s="55" t="n">
        <f aca="false">COUNT(H1298:H1301)</f>
        <v>4</v>
      </c>
      <c r="D1294" s="55"/>
      <c r="E1294" s="50" t="s">
        <v>161</v>
      </c>
      <c r="F1294" s="50"/>
      <c r="G1294" s="56" t="n">
        <f aca="false">ROUND(SUM(H1298:H1301),2)</f>
        <v>39.27</v>
      </c>
      <c r="H1294" s="56"/>
      <c r="I1294" s="56"/>
      <c r="J1294" s="56"/>
      <c r="K1294" s="56"/>
      <c r="L1294" s="1"/>
    </row>
    <row r="1295" customFormat="false" ht="15" hidden="false" customHeight="false" outlineLevel="0" collapsed="false">
      <c r="A1295" s="1"/>
      <c r="B1295" s="50" t="s">
        <v>162</v>
      </c>
      <c r="C1295" s="55" t="n">
        <f aca="false">ROUND(SUMPRODUCT(((F1298:F1301="KG")+(F1298:F1301="G"))*1)+SUMPRODUCT((F1298:F1301&lt;&gt;"KG")*(F1298:F1301&lt;&gt;"G")*E1298:E1301),0)</f>
        <v>4</v>
      </c>
      <c r="D1295" s="55"/>
      <c r="E1295" s="50" t="s">
        <v>163</v>
      </c>
      <c r="F1295" s="50"/>
      <c r="G1295" s="56" t="n">
        <f aca="false">IF(G1293="","",ROUND(G1293-G1294,2))</f>
        <v>0</v>
      </c>
      <c r="H1295" s="56"/>
      <c r="I1295" s="56"/>
      <c r="J1295" s="56"/>
      <c r="K1295" s="56"/>
      <c r="L1295" s="1"/>
    </row>
    <row r="1296" customFormat="false" ht="15" hidden="false" customHeight="false" outlineLevel="0" collapsed="false">
      <c r="A1296" s="1"/>
      <c r="B1296" s="50" t="s">
        <v>84</v>
      </c>
      <c r="C1296" s="57" t="str">
        <f aca="false">IF(C1294=0,"— aguardando lançamento",IF(G1293="","SEM TOTAL OFICIAL — informe o total do cupom",IF(AND(OR(C1293="",C1293=C1294,C1293=C1295),ABS(G1295)&lt;=0.05),"FECHADO — itens e valor conferem",IF(ABS(G1295)&lt;=0.05,"REVISAR — qtd. de itens não bate","REVISAR — diferença de R$ "&amp;ABS(G1295)))))</f>
        <v>FECHADO — itens e valor conferem</v>
      </c>
      <c r="D1296" s="57"/>
      <c r="E1296" s="57"/>
      <c r="F1296" s="57"/>
      <c r="G1296" s="50" t="s">
        <v>164</v>
      </c>
      <c r="H1296" s="30"/>
      <c r="I1296" s="30"/>
      <c r="J1296" s="30"/>
      <c r="K1296" s="30"/>
      <c r="L1296" s="1"/>
    </row>
    <row r="1297" customFormat="false" ht="15" hidden="false" customHeight="false" outlineLevel="0" collapsed="false">
      <c r="A1297" s="1"/>
      <c r="B1297" s="15" t="s">
        <v>165</v>
      </c>
      <c r="C1297" s="15" t="s">
        <v>52</v>
      </c>
      <c r="D1297" s="15" t="s">
        <v>9</v>
      </c>
      <c r="E1297" s="15" t="s">
        <v>166</v>
      </c>
      <c r="F1297" s="15" t="s">
        <v>167</v>
      </c>
      <c r="G1297" s="15" t="s">
        <v>168</v>
      </c>
      <c r="H1297" s="15" t="s">
        <v>10</v>
      </c>
      <c r="I1297" s="15" t="s">
        <v>169</v>
      </c>
      <c r="J1297" s="15" t="s">
        <v>170</v>
      </c>
      <c r="K1297" s="15"/>
      <c r="L1297" s="1"/>
    </row>
    <row r="1298" customFormat="false" ht="15" hidden="false" customHeight="false" outlineLevel="0" collapsed="false">
      <c r="A1298" s="1"/>
      <c r="B1298" s="30" t="s">
        <v>623</v>
      </c>
      <c r="C1298" s="16" t="s">
        <v>624</v>
      </c>
      <c r="D1298" s="16" t="s">
        <v>14</v>
      </c>
      <c r="E1298" s="64" t="n">
        <v>0.27</v>
      </c>
      <c r="F1298" s="25" t="s">
        <v>176</v>
      </c>
      <c r="G1298" s="17" t="n">
        <v>29.9</v>
      </c>
      <c r="H1298" s="17" t="n">
        <v>8.07</v>
      </c>
      <c r="I1298" s="62" t="n">
        <f aca="false">IF(OR(E1298="",G1298=""),"",ROUND(E1298*G1298,2))</f>
        <v>8.07</v>
      </c>
      <c r="J1298" s="25" t="str">
        <f aca="false">IF(OR(H1298="",I1298=""),"",IF(ABS(H1298-I1298)&lt;=0.02,"OK","≠"))</f>
        <v>OK</v>
      </c>
      <c r="K1298" s="16"/>
      <c r="L1298" s="1"/>
    </row>
    <row r="1299" customFormat="false" ht="15" hidden="false" customHeight="false" outlineLevel="0" collapsed="false">
      <c r="A1299" s="1"/>
      <c r="B1299" s="32" t="s">
        <v>458</v>
      </c>
      <c r="C1299" s="19" t="s">
        <v>740</v>
      </c>
      <c r="D1299" s="19" t="s">
        <v>14</v>
      </c>
      <c r="E1299" s="65" t="n">
        <v>0.425</v>
      </c>
      <c r="F1299" s="27" t="s">
        <v>176</v>
      </c>
      <c r="G1299" s="20" t="n">
        <v>17.9</v>
      </c>
      <c r="H1299" s="20" t="n">
        <v>7.61</v>
      </c>
      <c r="I1299" s="62" t="n">
        <f aca="false">IF(OR(E1299="",G1299=""),"",ROUND(E1299*G1299,2))</f>
        <v>7.61</v>
      </c>
      <c r="J1299" s="25" t="str">
        <f aca="false">IF(OR(H1299="",I1299=""),"",IF(ABS(H1299-I1299)&lt;=0.02,"OK","≠"))</f>
        <v>OK</v>
      </c>
      <c r="K1299" s="16"/>
      <c r="L1299" s="1"/>
    </row>
    <row r="1300" customFormat="false" ht="15" hidden="false" customHeight="false" outlineLevel="0" collapsed="false">
      <c r="A1300" s="1"/>
      <c r="B1300" s="30" t="s">
        <v>230</v>
      </c>
      <c r="C1300" s="16" t="s">
        <v>760</v>
      </c>
      <c r="D1300" s="16" t="s">
        <v>13</v>
      </c>
      <c r="E1300" s="64" t="n">
        <v>1</v>
      </c>
      <c r="F1300" s="25" t="s">
        <v>179</v>
      </c>
      <c r="G1300" s="17" t="n">
        <v>6.69</v>
      </c>
      <c r="H1300" s="17" t="n">
        <v>6.69</v>
      </c>
      <c r="I1300" s="62" t="n">
        <f aca="false">IF(OR(E1300="",G1300=""),"",ROUND(E1300*G1300,2))</f>
        <v>6.69</v>
      </c>
      <c r="J1300" s="25" t="str">
        <f aca="false">IF(OR(H1300="",I1300=""),"",IF(ABS(H1300-I1300)&lt;=0.02,"OK","≠"))</f>
        <v>OK</v>
      </c>
      <c r="K1300" s="16"/>
      <c r="L1300" s="1"/>
    </row>
    <row r="1301" customFormat="false" ht="15" hidden="false" customHeight="false" outlineLevel="0" collapsed="false">
      <c r="A1301" s="1"/>
      <c r="B1301" s="32" t="s">
        <v>988</v>
      </c>
      <c r="C1301" s="19" t="s">
        <v>989</v>
      </c>
      <c r="D1301" s="19" t="s">
        <v>12</v>
      </c>
      <c r="E1301" s="65" t="n">
        <v>1</v>
      </c>
      <c r="F1301" s="27" t="s">
        <v>179</v>
      </c>
      <c r="G1301" s="20" t="n">
        <v>16.9</v>
      </c>
      <c r="H1301" s="20" t="n">
        <v>16.9</v>
      </c>
      <c r="I1301" s="62" t="n">
        <f aca="false">IF(OR(E1301="",G1301=""),"",ROUND(E1301*G1301,2))</f>
        <v>16.9</v>
      </c>
      <c r="J1301" s="25" t="str">
        <f aca="false">IF(OR(H1301="",I1301=""),"",IF(ABS(H1301-I1301)&lt;=0.02,"OK","≠"))</f>
        <v>OK</v>
      </c>
      <c r="K1301" s="16"/>
      <c r="L1301" s="1"/>
    </row>
    <row r="1302" customFormat="false" ht="15" hidden="false" customHeight="false" outlineLevel="0" collapsed="false">
      <c r="A1302" s="1"/>
      <c r="B1302" s="1"/>
      <c r="C1302" s="1"/>
      <c r="D1302" s="1"/>
      <c r="E1302" s="1"/>
      <c r="F1302" s="1"/>
      <c r="G1302" s="1"/>
      <c r="H1302" s="1"/>
      <c r="I1302" s="1"/>
      <c r="J1302" s="1"/>
      <c r="K1302" s="1"/>
      <c r="L1302" s="1"/>
    </row>
    <row r="1303" customFormat="false" ht="19.5" hidden="false" customHeight="true" outlineLevel="0" collapsed="false">
      <c r="A1303" s="1"/>
      <c r="B1303" s="63" t="s">
        <v>990</v>
      </c>
      <c r="C1303" s="63"/>
      <c r="D1303" s="63"/>
      <c r="E1303" s="63"/>
      <c r="F1303" s="63"/>
      <c r="G1303" s="63"/>
      <c r="H1303" s="63"/>
      <c r="I1303" s="63"/>
      <c r="J1303" s="63"/>
      <c r="K1303" s="63"/>
      <c r="L1303" s="1"/>
    </row>
    <row r="1304" customFormat="false" ht="15" hidden="false" customHeight="false" outlineLevel="0" collapsed="false">
      <c r="A1304" s="1"/>
      <c r="B1304" s="50" t="s">
        <v>34</v>
      </c>
      <c r="C1304" s="45" t="s">
        <v>37</v>
      </c>
      <c r="D1304" s="45"/>
      <c r="E1304" s="50" t="s">
        <v>157</v>
      </c>
      <c r="F1304" s="50"/>
      <c r="G1304" s="45" t="s">
        <v>991</v>
      </c>
      <c r="H1304" s="45"/>
      <c r="I1304" s="45"/>
      <c r="J1304" s="45"/>
      <c r="K1304" s="45"/>
      <c r="L1304" s="1"/>
    </row>
    <row r="1305" customFormat="false" ht="15" hidden="false" customHeight="false" outlineLevel="0" collapsed="false">
      <c r="A1305" s="1"/>
      <c r="B1305" s="50" t="s">
        <v>78</v>
      </c>
      <c r="C1305" s="39" t="n">
        <v>46231</v>
      </c>
      <c r="D1305" s="39"/>
      <c r="E1305" s="50" t="s">
        <v>80</v>
      </c>
      <c r="F1305" s="50"/>
      <c r="G1305" s="45" t="s">
        <v>992</v>
      </c>
      <c r="H1305" s="45"/>
      <c r="I1305" s="45"/>
      <c r="J1305" s="45"/>
      <c r="K1305" s="45"/>
      <c r="L1305" s="1"/>
    </row>
    <row r="1306" customFormat="false" ht="15" hidden="false" customHeight="false" outlineLevel="0" collapsed="false">
      <c r="A1306" s="1"/>
      <c r="B1306" s="50" t="s">
        <v>158</v>
      </c>
      <c r="C1306" s="55" t="n">
        <v>4</v>
      </c>
      <c r="D1306" s="55"/>
      <c r="E1306" s="50" t="s">
        <v>159</v>
      </c>
      <c r="F1306" s="50"/>
      <c r="G1306" s="56" t="n">
        <v>20.67</v>
      </c>
      <c r="H1306" s="56"/>
      <c r="I1306" s="56"/>
      <c r="J1306" s="56"/>
      <c r="K1306" s="56"/>
      <c r="L1306" s="1"/>
    </row>
    <row r="1307" customFormat="false" ht="15" hidden="false" customHeight="false" outlineLevel="0" collapsed="false">
      <c r="A1307" s="1"/>
      <c r="B1307" s="50" t="s">
        <v>160</v>
      </c>
      <c r="C1307" s="55" t="n">
        <f aca="false">COUNT(H1311:H1314)</f>
        <v>4</v>
      </c>
      <c r="D1307" s="55"/>
      <c r="E1307" s="50" t="s">
        <v>161</v>
      </c>
      <c r="F1307" s="50"/>
      <c r="G1307" s="56" t="n">
        <f aca="false">ROUND(SUM(H1311:H1314),2)</f>
        <v>20.67</v>
      </c>
      <c r="H1307" s="56"/>
      <c r="I1307" s="56"/>
      <c r="J1307" s="56"/>
      <c r="K1307" s="56"/>
      <c r="L1307" s="1"/>
    </row>
    <row r="1308" customFormat="false" ht="15" hidden="false" customHeight="false" outlineLevel="0" collapsed="false">
      <c r="A1308" s="1"/>
      <c r="B1308" s="50" t="s">
        <v>162</v>
      </c>
      <c r="C1308" s="55" t="n">
        <f aca="false">ROUND(SUMPRODUCT(((F1311:F1314="KG")+(F1311:F1314="G"))*1)+SUMPRODUCT((F1311:F1314&lt;&gt;"KG")*(F1311:F1314&lt;&gt;"G")*E1311:E1314),0)</f>
        <v>4</v>
      </c>
      <c r="D1308" s="55"/>
      <c r="E1308" s="50" t="s">
        <v>163</v>
      </c>
      <c r="F1308" s="50"/>
      <c r="G1308" s="56" t="n">
        <f aca="false">IF(G1306="","",ROUND(G1306-G1307,2))</f>
        <v>0</v>
      </c>
      <c r="H1308" s="56"/>
      <c r="I1308" s="56"/>
      <c r="J1308" s="56"/>
      <c r="K1308" s="56"/>
      <c r="L1308" s="1"/>
    </row>
    <row r="1309" customFormat="false" ht="15" hidden="false" customHeight="false" outlineLevel="0" collapsed="false">
      <c r="A1309" s="1"/>
      <c r="B1309" s="50" t="s">
        <v>84</v>
      </c>
      <c r="C1309" s="57" t="str">
        <f aca="false">IF(C1307=0,"— aguardando lançamento",IF(G1306="","SEM TOTAL OFICIAL — informe o total do cupom",IF(AND(OR(C1306="",C1306=C1307,C1306=C1308),ABS(G1308)&lt;=0.05),"FECHADO — itens e valor conferem",IF(ABS(G1308)&lt;=0.05,"REVISAR — qtd. de itens não bate","REVISAR — diferença de R$ "&amp;ABS(G1308)))))</f>
        <v>FECHADO — itens e valor conferem</v>
      </c>
      <c r="D1309" s="57"/>
      <c r="E1309" s="57"/>
      <c r="F1309" s="57"/>
      <c r="G1309" s="50" t="s">
        <v>164</v>
      </c>
      <c r="H1309" s="30"/>
      <c r="I1309" s="30"/>
      <c r="J1309" s="30"/>
      <c r="K1309" s="30"/>
      <c r="L1309" s="1"/>
    </row>
    <row r="1310" customFormat="false" ht="15" hidden="false" customHeight="false" outlineLevel="0" collapsed="false">
      <c r="A1310" s="1"/>
      <c r="B1310" s="15" t="s">
        <v>165</v>
      </c>
      <c r="C1310" s="15" t="s">
        <v>52</v>
      </c>
      <c r="D1310" s="15" t="s">
        <v>9</v>
      </c>
      <c r="E1310" s="15" t="s">
        <v>166</v>
      </c>
      <c r="F1310" s="15" t="s">
        <v>167</v>
      </c>
      <c r="G1310" s="15" t="s">
        <v>168</v>
      </c>
      <c r="H1310" s="15" t="s">
        <v>10</v>
      </c>
      <c r="I1310" s="15" t="s">
        <v>169</v>
      </c>
      <c r="J1310" s="15" t="s">
        <v>170</v>
      </c>
      <c r="K1310" s="15"/>
      <c r="L1310" s="1"/>
    </row>
    <row r="1311" customFormat="false" ht="15" hidden="false" customHeight="false" outlineLevel="0" collapsed="false">
      <c r="A1311" s="1"/>
      <c r="B1311" s="30" t="s">
        <v>458</v>
      </c>
      <c r="C1311" s="16" t="s">
        <v>740</v>
      </c>
      <c r="D1311" s="16" t="s">
        <v>14</v>
      </c>
      <c r="E1311" s="64" t="n">
        <v>0.285</v>
      </c>
      <c r="F1311" s="25" t="s">
        <v>176</v>
      </c>
      <c r="G1311" s="17" t="n">
        <v>17.9</v>
      </c>
      <c r="H1311" s="17" t="n">
        <v>5.1</v>
      </c>
      <c r="I1311" s="62" t="n">
        <f aca="false">IF(OR(E1311="",G1311=""),"",ROUND(E1311*G1311,2))</f>
        <v>5.1</v>
      </c>
      <c r="J1311" s="25" t="str">
        <f aca="false">IF(OR(H1311="",I1311=""),"",IF(ABS(H1311-I1311)&lt;=0.02,"OK","≠"))</f>
        <v>OK</v>
      </c>
      <c r="K1311" s="16"/>
      <c r="L1311" s="1"/>
    </row>
    <row r="1312" customFormat="false" ht="15" hidden="false" customHeight="false" outlineLevel="0" collapsed="false">
      <c r="A1312" s="1"/>
      <c r="B1312" s="32" t="s">
        <v>623</v>
      </c>
      <c r="C1312" s="19" t="s">
        <v>624</v>
      </c>
      <c r="D1312" s="19" t="s">
        <v>14</v>
      </c>
      <c r="E1312" s="65" t="n">
        <v>0.274</v>
      </c>
      <c r="F1312" s="27" t="s">
        <v>176</v>
      </c>
      <c r="G1312" s="20" t="n">
        <v>29.9</v>
      </c>
      <c r="H1312" s="20" t="n">
        <v>8.19</v>
      </c>
      <c r="I1312" s="62" t="n">
        <f aca="false">IF(OR(E1312="",G1312=""),"",ROUND(E1312*G1312,2))</f>
        <v>8.19</v>
      </c>
      <c r="J1312" s="25" t="str">
        <f aca="false">IF(OR(H1312="",I1312=""),"",IF(ABS(H1312-I1312)&lt;=0.02,"OK","≠"))</f>
        <v>OK</v>
      </c>
      <c r="K1312" s="16"/>
      <c r="L1312" s="1"/>
    </row>
    <row r="1313" customFormat="false" ht="15" hidden="false" customHeight="false" outlineLevel="0" collapsed="false">
      <c r="A1313" s="1"/>
      <c r="B1313" s="30" t="s">
        <v>186</v>
      </c>
      <c r="C1313" s="16" t="s">
        <v>993</v>
      </c>
      <c r="D1313" s="16" t="s">
        <v>12</v>
      </c>
      <c r="E1313" s="64" t="n">
        <v>1</v>
      </c>
      <c r="F1313" s="25" t="s">
        <v>179</v>
      </c>
      <c r="G1313" s="17" t="n">
        <v>3.69</v>
      </c>
      <c r="H1313" s="17" t="n">
        <v>3.69</v>
      </c>
      <c r="I1313" s="62" t="n">
        <f aca="false">IF(OR(E1313="",G1313=""),"",ROUND(E1313*G1313,2))</f>
        <v>3.69</v>
      </c>
      <c r="J1313" s="25" t="str">
        <f aca="false">IF(OR(H1313="",I1313=""),"",IF(ABS(H1313-I1313)&lt;=0.02,"OK","≠"))</f>
        <v>OK</v>
      </c>
      <c r="K1313" s="16"/>
      <c r="L1313" s="1"/>
    </row>
    <row r="1314" customFormat="false" ht="15" hidden="false" customHeight="false" outlineLevel="0" collapsed="false">
      <c r="A1314" s="1"/>
      <c r="B1314" s="32" t="s">
        <v>186</v>
      </c>
      <c r="C1314" s="19" t="s">
        <v>993</v>
      </c>
      <c r="D1314" s="19" t="s">
        <v>12</v>
      </c>
      <c r="E1314" s="65" t="n">
        <v>1</v>
      </c>
      <c r="F1314" s="27" t="s">
        <v>179</v>
      </c>
      <c r="G1314" s="20" t="n">
        <v>3.69</v>
      </c>
      <c r="H1314" s="20" t="n">
        <v>3.69</v>
      </c>
      <c r="I1314" s="62" t="n">
        <f aca="false">IF(OR(E1314="",G1314=""),"",ROUND(E1314*G1314,2))</f>
        <v>3.69</v>
      </c>
      <c r="J1314" s="25" t="str">
        <f aca="false">IF(OR(H1314="",I1314=""),"",IF(ABS(H1314-I1314)&lt;=0.02,"OK","≠"))</f>
        <v>OK</v>
      </c>
      <c r="K1314" s="16"/>
      <c r="L1314" s="1"/>
    </row>
    <row r="1315" customFormat="false" ht="15" hidden="false" customHeight="false" outlineLevel="0" collapsed="false">
      <c r="A1315" s="1"/>
      <c r="B1315" s="1"/>
      <c r="C1315" s="1"/>
      <c r="D1315" s="1"/>
      <c r="E1315" s="1"/>
      <c r="F1315" s="1"/>
      <c r="G1315" s="1"/>
      <c r="H1315" s="1"/>
      <c r="I1315" s="1"/>
      <c r="J1315" s="1"/>
      <c r="K1315" s="1"/>
      <c r="L1315" s="1"/>
    </row>
    <row r="1316" customFormat="false" ht="19.5" hidden="false" customHeight="true" outlineLevel="0" collapsed="false">
      <c r="A1316" s="1"/>
      <c r="B1316" s="63" t="s">
        <v>994</v>
      </c>
      <c r="C1316" s="63"/>
      <c r="D1316" s="63"/>
      <c r="E1316" s="63"/>
      <c r="F1316" s="63"/>
      <c r="G1316" s="63"/>
      <c r="H1316" s="63"/>
      <c r="I1316" s="63"/>
      <c r="J1316" s="63"/>
      <c r="K1316" s="63"/>
      <c r="L1316" s="1"/>
    </row>
    <row r="1317" customFormat="false" ht="15" hidden="false" customHeight="false" outlineLevel="0" collapsed="false">
      <c r="A1317" s="1"/>
      <c r="B1317" s="50" t="s">
        <v>34</v>
      </c>
      <c r="C1317" s="45" t="s">
        <v>37</v>
      </c>
      <c r="D1317" s="45"/>
      <c r="E1317" s="50" t="s">
        <v>157</v>
      </c>
      <c r="F1317" s="50"/>
      <c r="G1317" s="45" t="s">
        <v>995</v>
      </c>
      <c r="H1317" s="45"/>
      <c r="I1317" s="45"/>
      <c r="J1317" s="45"/>
      <c r="K1317" s="45"/>
      <c r="L1317" s="1"/>
    </row>
    <row r="1318" customFormat="false" ht="15" hidden="false" customHeight="false" outlineLevel="0" collapsed="false">
      <c r="A1318" s="1"/>
      <c r="B1318" s="50" t="s">
        <v>78</v>
      </c>
      <c r="C1318" s="39" t="n">
        <v>46232</v>
      </c>
      <c r="D1318" s="39"/>
      <c r="E1318" s="50" t="s">
        <v>80</v>
      </c>
      <c r="F1318" s="50"/>
      <c r="G1318" s="45" t="s">
        <v>992</v>
      </c>
      <c r="H1318" s="45"/>
      <c r="I1318" s="45"/>
      <c r="J1318" s="45"/>
      <c r="K1318" s="45"/>
      <c r="L1318" s="1"/>
    </row>
    <row r="1319" customFormat="false" ht="15" hidden="false" customHeight="false" outlineLevel="0" collapsed="false">
      <c r="A1319" s="1"/>
      <c r="B1319" s="50" t="s">
        <v>158</v>
      </c>
      <c r="C1319" s="55" t="n">
        <v>5</v>
      </c>
      <c r="D1319" s="55"/>
      <c r="E1319" s="50" t="s">
        <v>159</v>
      </c>
      <c r="F1319" s="50"/>
      <c r="G1319" s="56" t="n">
        <v>48.4</v>
      </c>
      <c r="H1319" s="56"/>
      <c r="I1319" s="56"/>
      <c r="J1319" s="56"/>
      <c r="K1319" s="56"/>
      <c r="L1319" s="1"/>
    </row>
    <row r="1320" customFormat="false" ht="15" hidden="false" customHeight="false" outlineLevel="0" collapsed="false">
      <c r="A1320" s="1"/>
      <c r="B1320" s="50" t="s">
        <v>160</v>
      </c>
      <c r="C1320" s="55" t="n">
        <f aca="false">COUNT(H1324:H1328)</f>
        <v>5</v>
      </c>
      <c r="D1320" s="55"/>
      <c r="E1320" s="50" t="s">
        <v>161</v>
      </c>
      <c r="F1320" s="50"/>
      <c r="G1320" s="56" t="n">
        <f aca="false">ROUND(SUM(H1324:H1328),2)</f>
        <v>48.4</v>
      </c>
      <c r="H1320" s="56"/>
      <c r="I1320" s="56"/>
      <c r="J1320" s="56"/>
      <c r="K1320" s="56"/>
      <c r="L1320" s="1"/>
    </row>
    <row r="1321" customFormat="false" ht="15" hidden="false" customHeight="false" outlineLevel="0" collapsed="false">
      <c r="A1321" s="1"/>
      <c r="B1321" s="50" t="s">
        <v>162</v>
      </c>
      <c r="C1321" s="55" t="n">
        <f aca="false">ROUND(SUMPRODUCT(((F1324:F1328="KG")+(F1324:F1328="G"))*1)+SUMPRODUCT((F1324:F1328&lt;&gt;"KG")*(F1324:F1328&lt;&gt;"G")*E1324:E1328),0)</f>
        <v>5</v>
      </c>
      <c r="D1321" s="55"/>
      <c r="E1321" s="50" t="s">
        <v>163</v>
      </c>
      <c r="F1321" s="50"/>
      <c r="G1321" s="56" t="n">
        <f aca="false">IF(G1319="","",ROUND(G1319-G1320,2))</f>
        <v>0</v>
      </c>
      <c r="H1321" s="56"/>
      <c r="I1321" s="56"/>
      <c r="J1321" s="56"/>
      <c r="K1321" s="56"/>
      <c r="L1321" s="1"/>
    </row>
    <row r="1322" customFormat="false" ht="15" hidden="false" customHeight="false" outlineLevel="0" collapsed="false">
      <c r="A1322" s="1"/>
      <c r="B1322" s="50" t="s">
        <v>84</v>
      </c>
      <c r="C1322" s="57" t="str">
        <f aca="false">IF(C1320=0,"— aguardando lançamento",IF(G1319="","SEM TOTAL OFICIAL — informe o total do cupom",IF(AND(OR(C1319="",C1319=C1320,C1319=C1321),ABS(G1321)&lt;=0.05),"FECHADO — itens e valor conferem",IF(ABS(G1321)&lt;=0.05,"REVISAR — qtd. de itens não bate","REVISAR — diferença de R$ "&amp;ABS(G1321)))))</f>
        <v>FECHADO — itens e valor conferem</v>
      </c>
      <c r="D1322" s="57"/>
      <c r="E1322" s="57"/>
      <c r="F1322" s="57"/>
      <c r="G1322" s="50" t="s">
        <v>164</v>
      </c>
      <c r="H1322" s="30"/>
      <c r="I1322" s="30"/>
      <c r="J1322" s="30"/>
      <c r="K1322" s="30"/>
      <c r="L1322" s="1"/>
    </row>
    <row r="1323" customFormat="false" ht="15" hidden="false" customHeight="false" outlineLevel="0" collapsed="false">
      <c r="A1323" s="1"/>
      <c r="B1323" s="15" t="s">
        <v>165</v>
      </c>
      <c r="C1323" s="15" t="s">
        <v>52</v>
      </c>
      <c r="D1323" s="15" t="s">
        <v>9</v>
      </c>
      <c r="E1323" s="15" t="s">
        <v>166</v>
      </c>
      <c r="F1323" s="15" t="s">
        <v>167</v>
      </c>
      <c r="G1323" s="15" t="s">
        <v>168</v>
      </c>
      <c r="H1323" s="15" t="s">
        <v>10</v>
      </c>
      <c r="I1323" s="15" t="s">
        <v>169</v>
      </c>
      <c r="J1323" s="15" t="s">
        <v>170</v>
      </c>
      <c r="K1323" s="15"/>
      <c r="L1323" s="1"/>
    </row>
    <row r="1324" customFormat="false" ht="15" hidden="false" customHeight="false" outlineLevel="0" collapsed="false">
      <c r="A1324" s="1"/>
      <c r="B1324" s="30" t="s">
        <v>763</v>
      </c>
      <c r="C1324" s="16" t="s">
        <v>764</v>
      </c>
      <c r="D1324" s="16" t="s">
        <v>12</v>
      </c>
      <c r="E1324" s="64" t="n">
        <v>1</v>
      </c>
      <c r="F1324" s="25" t="s">
        <v>179</v>
      </c>
      <c r="G1324" s="17" t="n">
        <v>15.9</v>
      </c>
      <c r="H1324" s="17" t="n">
        <v>15.9</v>
      </c>
      <c r="I1324" s="62" t="n">
        <f aca="false">IF(OR(E1324="",G1324=""),"",ROUND(E1324*G1324,2))</f>
        <v>15.9</v>
      </c>
      <c r="J1324" s="25" t="str">
        <f aca="false">IF(OR(H1324="",I1324=""),"",IF(ABS(H1324-I1324)&lt;=0.02,"OK","≠"))</f>
        <v>OK</v>
      </c>
      <c r="K1324" s="16"/>
      <c r="L1324" s="1"/>
    </row>
    <row r="1325" customFormat="false" ht="15" hidden="false" customHeight="false" outlineLevel="0" collapsed="false">
      <c r="A1325" s="1"/>
      <c r="B1325" s="32" t="s">
        <v>765</v>
      </c>
      <c r="C1325" s="19" t="s">
        <v>996</v>
      </c>
      <c r="D1325" s="19" t="s">
        <v>14</v>
      </c>
      <c r="E1325" s="65" t="n">
        <v>0.286</v>
      </c>
      <c r="F1325" s="27" t="s">
        <v>176</v>
      </c>
      <c r="G1325" s="20" t="n">
        <v>42.9</v>
      </c>
      <c r="H1325" s="20" t="n">
        <v>12.27</v>
      </c>
      <c r="I1325" s="62" t="n">
        <f aca="false">IF(OR(E1325="",G1325=""),"",ROUND(E1325*G1325,2))</f>
        <v>12.27</v>
      </c>
      <c r="J1325" s="25" t="str">
        <f aca="false">IF(OR(H1325="",I1325=""),"",IF(ABS(H1325-I1325)&lt;=0.02,"OK","≠"))</f>
        <v>OK</v>
      </c>
      <c r="K1325" s="16"/>
      <c r="L1325" s="1"/>
    </row>
    <row r="1326" customFormat="false" ht="15" hidden="false" customHeight="false" outlineLevel="0" collapsed="false">
      <c r="A1326" s="1"/>
      <c r="B1326" s="30" t="s">
        <v>458</v>
      </c>
      <c r="C1326" s="16" t="s">
        <v>740</v>
      </c>
      <c r="D1326" s="16" t="s">
        <v>14</v>
      </c>
      <c r="E1326" s="64" t="n">
        <v>0.35</v>
      </c>
      <c r="F1326" s="25" t="s">
        <v>176</v>
      </c>
      <c r="G1326" s="17" t="n">
        <v>17.9</v>
      </c>
      <c r="H1326" s="17" t="n">
        <v>6.27</v>
      </c>
      <c r="I1326" s="62" t="n">
        <f aca="false">IF(OR(E1326="",G1326=""),"",ROUND(E1326*G1326,2))</f>
        <v>6.27</v>
      </c>
      <c r="J1326" s="25" t="str">
        <f aca="false">IF(OR(H1326="",I1326=""),"",IF(ABS(H1326-I1326)&lt;=0.02,"OK","≠"))</f>
        <v>OK</v>
      </c>
      <c r="K1326" s="16"/>
      <c r="L1326" s="1"/>
    </row>
    <row r="1327" customFormat="false" ht="15" hidden="false" customHeight="false" outlineLevel="0" collapsed="false">
      <c r="A1327" s="1"/>
      <c r="B1327" s="32" t="s">
        <v>997</v>
      </c>
      <c r="C1327" s="19" t="s">
        <v>998</v>
      </c>
      <c r="D1327" s="19" t="s">
        <v>17</v>
      </c>
      <c r="E1327" s="65" t="n">
        <v>0.332</v>
      </c>
      <c r="F1327" s="27" t="s">
        <v>176</v>
      </c>
      <c r="G1327" s="20" t="n">
        <v>21.9</v>
      </c>
      <c r="H1327" s="20" t="n">
        <v>7.27</v>
      </c>
      <c r="I1327" s="62" t="n">
        <f aca="false">IF(OR(E1327="",G1327=""),"",ROUND(E1327*G1327,2))</f>
        <v>7.27</v>
      </c>
      <c r="J1327" s="25" t="str">
        <f aca="false">IF(OR(H1327="",I1327=""),"",IF(ABS(H1327-I1327)&lt;=0.02,"OK","≠"))</f>
        <v>OK</v>
      </c>
      <c r="K1327" s="16"/>
      <c r="L1327" s="1"/>
    </row>
    <row r="1328" customFormat="false" ht="15" hidden="false" customHeight="false" outlineLevel="0" collapsed="false">
      <c r="A1328" s="1"/>
      <c r="B1328" s="30" t="s">
        <v>230</v>
      </c>
      <c r="C1328" s="16" t="s">
        <v>760</v>
      </c>
      <c r="D1328" s="16" t="s">
        <v>13</v>
      </c>
      <c r="E1328" s="64" t="n">
        <v>1</v>
      </c>
      <c r="F1328" s="25" t="s">
        <v>179</v>
      </c>
      <c r="G1328" s="17" t="n">
        <v>6.69</v>
      </c>
      <c r="H1328" s="17" t="n">
        <v>6.69</v>
      </c>
      <c r="I1328" s="62" t="n">
        <f aca="false">IF(OR(E1328="",G1328=""),"",ROUND(E1328*G1328,2))</f>
        <v>6.69</v>
      </c>
      <c r="J1328" s="25" t="str">
        <f aca="false">IF(OR(H1328="",I1328=""),"",IF(ABS(H1328-I1328)&lt;=0.02,"OK","≠"))</f>
        <v>OK</v>
      </c>
      <c r="K1328" s="16"/>
      <c r="L1328" s="1"/>
    </row>
    <row r="1329" customFormat="false" ht="15" hidden="false" customHeight="false" outlineLevel="0" collapsed="false">
      <c r="A1329" s="1"/>
      <c r="B1329" s="1"/>
      <c r="C1329" s="1"/>
      <c r="D1329" s="1"/>
      <c r="E1329" s="1"/>
      <c r="F1329" s="1"/>
      <c r="G1329" s="1"/>
      <c r="H1329" s="1"/>
      <c r="I1329" s="1"/>
      <c r="J1329" s="1"/>
      <c r="K1329" s="1"/>
      <c r="L1329" s="1"/>
    </row>
    <row r="1330" customFormat="false" ht="19.5" hidden="false" customHeight="true" outlineLevel="0" collapsed="false">
      <c r="A1330" s="1"/>
      <c r="B1330" s="63" t="s">
        <v>999</v>
      </c>
      <c r="C1330" s="63"/>
      <c r="D1330" s="63"/>
      <c r="E1330" s="63"/>
      <c r="F1330" s="63"/>
      <c r="G1330" s="63"/>
      <c r="H1330" s="63"/>
      <c r="I1330" s="63"/>
      <c r="J1330" s="63"/>
      <c r="K1330" s="63"/>
      <c r="L1330" s="1"/>
    </row>
    <row r="1331" customFormat="false" ht="15" hidden="false" customHeight="false" outlineLevel="0" collapsed="false">
      <c r="A1331" s="1"/>
      <c r="B1331" s="50" t="s">
        <v>34</v>
      </c>
      <c r="C1331" s="45" t="s">
        <v>37</v>
      </c>
      <c r="D1331" s="45"/>
      <c r="E1331" s="50" t="s">
        <v>157</v>
      </c>
      <c r="F1331" s="50"/>
      <c r="G1331" s="45" t="s">
        <v>1000</v>
      </c>
      <c r="H1331" s="45"/>
      <c r="I1331" s="45"/>
      <c r="J1331" s="45"/>
      <c r="K1331" s="45"/>
      <c r="L1331" s="1"/>
    </row>
    <row r="1332" customFormat="false" ht="15" hidden="false" customHeight="false" outlineLevel="0" collapsed="false">
      <c r="A1332" s="1"/>
      <c r="B1332" s="50" t="s">
        <v>78</v>
      </c>
      <c r="C1332" s="39" t="n">
        <v>46233</v>
      </c>
      <c r="D1332" s="39"/>
      <c r="E1332" s="50" t="s">
        <v>80</v>
      </c>
      <c r="F1332" s="50"/>
      <c r="G1332" s="45" t="s">
        <v>992</v>
      </c>
      <c r="H1332" s="45"/>
      <c r="I1332" s="45"/>
      <c r="J1332" s="45"/>
      <c r="K1332" s="45"/>
      <c r="L1332" s="1"/>
    </row>
    <row r="1333" customFormat="false" ht="15" hidden="false" customHeight="false" outlineLevel="0" collapsed="false">
      <c r="A1333" s="1"/>
      <c r="B1333" s="50" t="s">
        <v>158</v>
      </c>
      <c r="C1333" s="55" t="n">
        <v>2</v>
      </c>
      <c r="D1333" s="55"/>
      <c r="E1333" s="50" t="s">
        <v>159</v>
      </c>
      <c r="F1333" s="50"/>
      <c r="G1333" s="56" t="n">
        <v>27.73</v>
      </c>
      <c r="H1333" s="56"/>
      <c r="I1333" s="56"/>
      <c r="J1333" s="56"/>
      <c r="K1333" s="56"/>
      <c r="L1333" s="1"/>
    </row>
    <row r="1334" customFormat="false" ht="15" hidden="false" customHeight="false" outlineLevel="0" collapsed="false">
      <c r="A1334" s="1"/>
      <c r="B1334" s="50" t="s">
        <v>160</v>
      </c>
      <c r="C1334" s="55" t="n">
        <f aca="false">COUNT(H1338:H1339)</f>
        <v>2</v>
      </c>
      <c r="D1334" s="55"/>
      <c r="E1334" s="50" t="s">
        <v>161</v>
      </c>
      <c r="F1334" s="50"/>
      <c r="G1334" s="56" t="n">
        <f aca="false">ROUND(SUM(H1338:H1339),2)</f>
        <v>27.73</v>
      </c>
      <c r="H1334" s="56"/>
      <c r="I1334" s="56"/>
      <c r="J1334" s="56"/>
      <c r="K1334" s="56"/>
      <c r="L1334" s="1"/>
    </row>
    <row r="1335" customFormat="false" ht="15" hidden="false" customHeight="false" outlineLevel="0" collapsed="false">
      <c r="A1335" s="1"/>
      <c r="B1335" s="50" t="s">
        <v>162</v>
      </c>
      <c r="C1335" s="55" t="n">
        <f aca="false">ROUND(SUMPRODUCT(((F1338:F1339="KG")+(F1338:F1339="G"))*1)+SUMPRODUCT((F1338:F1339&lt;&gt;"KG")*(F1338:F1339&lt;&gt;"G")*E1338:E1339),0)</f>
        <v>2</v>
      </c>
      <c r="D1335" s="55"/>
      <c r="E1335" s="50" t="s">
        <v>163</v>
      </c>
      <c r="F1335" s="50"/>
      <c r="G1335" s="56" t="n">
        <f aca="false">IF(G1333="","",ROUND(G1333-G1334,2))</f>
        <v>0</v>
      </c>
      <c r="H1335" s="56"/>
      <c r="I1335" s="56"/>
      <c r="J1335" s="56"/>
      <c r="K1335" s="56"/>
      <c r="L1335" s="1"/>
    </row>
    <row r="1336" customFormat="false" ht="15" hidden="false" customHeight="false" outlineLevel="0" collapsed="false">
      <c r="A1336" s="1"/>
      <c r="B1336" s="50" t="s">
        <v>84</v>
      </c>
      <c r="C1336" s="57" t="str">
        <f aca="false">IF(C1334=0,"— aguardando lançamento",IF(G1333="","SEM TOTAL OFICIAL — informe o total do cupom",IF(AND(OR(C1333="",C1333=C1334,C1333=C1335),ABS(G1335)&lt;=0.05),"FECHADO — itens e valor conferem",IF(ABS(G1335)&lt;=0.05,"REVISAR — qtd. de itens não bate","REVISAR — diferença de R$ "&amp;ABS(G1335)))))</f>
        <v>FECHADO — itens e valor conferem</v>
      </c>
      <c r="D1336" s="57"/>
      <c r="E1336" s="57"/>
      <c r="F1336" s="57"/>
      <c r="G1336" s="50" t="s">
        <v>164</v>
      </c>
      <c r="H1336" s="30"/>
      <c r="I1336" s="30"/>
      <c r="J1336" s="30"/>
      <c r="K1336" s="30"/>
      <c r="L1336" s="1"/>
    </row>
    <row r="1337" customFormat="false" ht="15" hidden="false" customHeight="false" outlineLevel="0" collapsed="false">
      <c r="A1337" s="1"/>
      <c r="B1337" s="15" t="s">
        <v>165</v>
      </c>
      <c r="C1337" s="15" t="s">
        <v>52</v>
      </c>
      <c r="D1337" s="15" t="s">
        <v>9</v>
      </c>
      <c r="E1337" s="15" t="s">
        <v>166</v>
      </c>
      <c r="F1337" s="15" t="s">
        <v>167</v>
      </c>
      <c r="G1337" s="15" t="s">
        <v>168</v>
      </c>
      <c r="H1337" s="15" t="s">
        <v>10</v>
      </c>
      <c r="I1337" s="15" t="s">
        <v>169</v>
      </c>
      <c r="J1337" s="15" t="s">
        <v>170</v>
      </c>
      <c r="K1337" s="15"/>
      <c r="L1337" s="1"/>
    </row>
    <row r="1338" customFormat="false" ht="15" hidden="false" customHeight="false" outlineLevel="0" collapsed="false">
      <c r="A1338" s="1"/>
      <c r="B1338" s="30" t="s">
        <v>1001</v>
      </c>
      <c r="C1338" s="16" t="s">
        <v>1002</v>
      </c>
      <c r="D1338" s="16" t="s">
        <v>12</v>
      </c>
      <c r="E1338" s="64" t="n">
        <v>1</v>
      </c>
      <c r="F1338" s="25" t="s">
        <v>179</v>
      </c>
      <c r="G1338" s="17" t="n">
        <v>12.9</v>
      </c>
      <c r="H1338" s="17" t="n">
        <v>12.9</v>
      </c>
      <c r="I1338" s="62" t="n">
        <f aca="false">IF(OR(E1338="",G1338=""),"",ROUND(E1338*G1338,2))</f>
        <v>12.9</v>
      </c>
      <c r="J1338" s="25" t="str">
        <f aca="false">IF(OR(H1338="",I1338=""),"",IF(ABS(H1338-I1338)&lt;=0.02,"OK","≠"))</f>
        <v>OK</v>
      </c>
      <c r="K1338" s="16"/>
      <c r="L1338" s="1"/>
    </row>
    <row r="1339" customFormat="false" ht="15" hidden="false" customHeight="false" outlineLevel="0" collapsed="false">
      <c r="A1339" s="1"/>
      <c r="B1339" s="32" t="s">
        <v>623</v>
      </c>
      <c r="C1339" s="19" t="s">
        <v>624</v>
      </c>
      <c r="D1339" s="19" t="s">
        <v>14</v>
      </c>
      <c r="E1339" s="65" t="n">
        <v>0.496</v>
      </c>
      <c r="F1339" s="27" t="s">
        <v>176</v>
      </c>
      <c r="G1339" s="20" t="n">
        <v>29.9</v>
      </c>
      <c r="H1339" s="20" t="n">
        <v>14.83</v>
      </c>
      <c r="I1339" s="62" t="n">
        <f aca="false">IF(OR(E1339="",G1339=""),"",ROUND(E1339*G1339,2))</f>
        <v>14.83</v>
      </c>
      <c r="J1339" s="25" t="str">
        <f aca="false">IF(OR(H1339="",I1339=""),"",IF(ABS(H1339-I1339)&lt;=0.02,"OK","≠"))</f>
        <v>OK</v>
      </c>
      <c r="K1339" s="16"/>
      <c r="L1339" s="1"/>
    </row>
    <row r="1340" customFormat="false" ht="15" hidden="false" customHeight="false" outlineLevel="0" collapsed="false">
      <c r="A1340" s="1"/>
      <c r="B1340" s="1"/>
      <c r="C1340" s="1"/>
      <c r="D1340" s="1"/>
      <c r="E1340" s="1"/>
      <c r="F1340" s="1"/>
      <c r="G1340" s="1"/>
      <c r="H1340" s="1"/>
      <c r="I1340" s="1"/>
      <c r="J1340" s="1"/>
      <c r="K1340" s="1"/>
      <c r="L1340" s="1"/>
    </row>
    <row r="1341" customFormat="false" ht="19.5" hidden="false" customHeight="true" outlineLevel="0" collapsed="false">
      <c r="A1341" s="1"/>
      <c r="B1341" s="63" t="s">
        <v>1003</v>
      </c>
      <c r="C1341" s="63"/>
      <c r="D1341" s="63"/>
      <c r="E1341" s="63"/>
      <c r="F1341" s="63"/>
      <c r="G1341" s="63"/>
      <c r="H1341" s="63"/>
      <c r="I1341" s="63"/>
      <c r="J1341" s="63"/>
      <c r="K1341" s="63"/>
      <c r="L1341" s="1"/>
    </row>
    <row r="1342" customFormat="false" ht="15" hidden="false" customHeight="false" outlineLevel="0" collapsed="false">
      <c r="A1342" s="1"/>
      <c r="B1342" s="50" t="s">
        <v>34</v>
      </c>
      <c r="C1342" s="45" t="s">
        <v>37</v>
      </c>
      <c r="D1342" s="45"/>
      <c r="E1342" s="50" t="s">
        <v>157</v>
      </c>
      <c r="F1342" s="50"/>
      <c r="G1342" s="45" t="s">
        <v>1004</v>
      </c>
      <c r="H1342" s="45"/>
      <c r="I1342" s="45"/>
      <c r="J1342" s="45"/>
      <c r="K1342" s="45"/>
      <c r="L1342" s="1"/>
    </row>
    <row r="1343" customFormat="false" ht="15" hidden="false" customHeight="false" outlineLevel="0" collapsed="false">
      <c r="A1343" s="1"/>
      <c r="B1343" s="50" t="s">
        <v>78</v>
      </c>
      <c r="C1343" s="39" t="n">
        <v>46237</v>
      </c>
      <c r="D1343" s="39"/>
      <c r="E1343" s="50" t="s">
        <v>80</v>
      </c>
      <c r="F1343" s="50"/>
      <c r="G1343" s="45" t="s">
        <v>992</v>
      </c>
      <c r="H1343" s="45"/>
      <c r="I1343" s="45"/>
      <c r="J1343" s="45"/>
      <c r="K1343" s="45"/>
      <c r="L1343" s="1"/>
    </row>
    <row r="1344" customFormat="false" ht="15" hidden="false" customHeight="false" outlineLevel="0" collapsed="false">
      <c r="A1344" s="1"/>
      <c r="B1344" s="50" t="s">
        <v>158</v>
      </c>
      <c r="C1344" s="55" t="n">
        <v>3</v>
      </c>
      <c r="D1344" s="55"/>
      <c r="E1344" s="50" t="s">
        <v>159</v>
      </c>
      <c r="F1344" s="50"/>
      <c r="G1344" s="56" t="n">
        <v>33.35</v>
      </c>
      <c r="H1344" s="56"/>
      <c r="I1344" s="56"/>
      <c r="J1344" s="56"/>
      <c r="K1344" s="56"/>
      <c r="L1344" s="1"/>
    </row>
    <row r="1345" customFormat="false" ht="15" hidden="false" customHeight="false" outlineLevel="0" collapsed="false">
      <c r="A1345" s="1"/>
      <c r="B1345" s="50" t="s">
        <v>160</v>
      </c>
      <c r="C1345" s="55" t="n">
        <f aca="false">COUNT(H1349:H1351)</f>
        <v>3</v>
      </c>
      <c r="D1345" s="55"/>
      <c r="E1345" s="50" t="s">
        <v>161</v>
      </c>
      <c r="F1345" s="50"/>
      <c r="G1345" s="56" t="n">
        <f aca="false">ROUND(SUM(H1349:H1351),2)</f>
        <v>33.35</v>
      </c>
      <c r="H1345" s="56"/>
      <c r="I1345" s="56"/>
      <c r="J1345" s="56"/>
      <c r="K1345" s="56"/>
      <c r="L1345" s="1"/>
    </row>
    <row r="1346" customFormat="false" ht="15" hidden="false" customHeight="false" outlineLevel="0" collapsed="false">
      <c r="A1346" s="1"/>
      <c r="B1346" s="50" t="s">
        <v>162</v>
      </c>
      <c r="C1346" s="55" t="n">
        <f aca="false">ROUND(SUMPRODUCT(((F1349:F1351="KG")+(F1349:F1351="G"))*1)+SUMPRODUCT((F1349:F1351&lt;&gt;"KG")*(F1349:F1351&lt;&gt;"G")*E1349:E1351),0)</f>
        <v>4</v>
      </c>
      <c r="D1346" s="55"/>
      <c r="E1346" s="50" t="s">
        <v>163</v>
      </c>
      <c r="F1346" s="50"/>
      <c r="G1346" s="56" t="n">
        <f aca="false">IF(G1344="","",ROUND(G1344-G1345,2))</f>
        <v>0</v>
      </c>
      <c r="H1346" s="56"/>
      <c r="I1346" s="56"/>
      <c r="J1346" s="56"/>
      <c r="K1346" s="56"/>
      <c r="L1346" s="1"/>
    </row>
    <row r="1347" customFormat="false" ht="15" hidden="false" customHeight="false" outlineLevel="0" collapsed="false">
      <c r="A1347" s="1"/>
      <c r="B1347" s="50" t="s">
        <v>84</v>
      </c>
      <c r="C1347" s="57" t="str">
        <f aca="false">IF(C1345=0,"— aguardando lançamento",IF(G1344="","SEM TOTAL OFICIAL — informe o total do cupom",IF(AND(OR(C1344="",C1344=C1345,C1344=C1346),ABS(G1346)&lt;=0.05),"FECHADO — itens e valor conferem",IF(ABS(G1346)&lt;=0.05,"REVISAR — qtd. de itens não bate","REVISAR — diferença de R$ "&amp;ABS(G1346)))))</f>
        <v>FECHADO — itens e valor conferem</v>
      </c>
      <c r="D1347" s="57"/>
      <c r="E1347" s="57"/>
      <c r="F1347" s="57"/>
      <c r="G1347" s="50" t="s">
        <v>164</v>
      </c>
      <c r="H1347" s="30"/>
      <c r="I1347" s="30"/>
      <c r="J1347" s="30"/>
      <c r="K1347" s="30"/>
      <c r="L1347" s="1"/>
    </row>
    <row r="1348" customFormat="false" ht="15" hidden="false" customHeight="false" outlineLevel="0" collapsed="false">
      <c r="A1348" s="1"/>
      <c r="B1348" s="15" t="s">
        <v>165</v>
      </c>
      <c r="C1348" s="15" t="s">
        <v>52</v>
      </c>
      <c r="D1348" s="15" t="s">
        <v>9</v>
      </c>
      <c r="E1348" s="15" t="s">
        <v>166</v>
      </c>
      <c r="F1348" s="15" t="s">
        <v>167</v>
      </c>
      <c r="G1348" s="15" t="s">
        <v>168</v>
      </c>
      <c r="H1348" s="15" t="s">
        <v>10</v>
      </c>
      <c r="I1348" s="15" t="s">
        <v>169</v>
      </c>
      <c r="J1348" s="15" t="s">
        <v>170</v>
      </c>
      <c r="K1348" s="15"/>
      <c r="L1348" s="1"/>
    </row>
    <row r="1349" customFormat="false" ht="15" hidden="false" customHeight="false" outlineLevel="0" collapsed="false">
      <c r="A1349" s="1"/>
      <c r="B1349" s="30" t="s">
        <v>458</v>
      </c>
      <c r="C1349" s="16" t="s">
        <v>740</v>
      </c>
      <c r="D1349" s="16" t="s">
        <v>14</v>
      </c>
      <c r="E1349" s="64" t="n">
        <v>0.21</v>
      </c>
      <c r="F1349" s="25" t="s">
        <v>176</v>
      </c>
      <c r="G1349" s="17" t="n">
        <v>17.9</v>
      </c>
      <c r="H1349" s="17" t="n">
        <v>3.76</v>
      </c>
      <c r="I1349" s="62" t="n">
        <f aca="false">IF(OR(E1349="",G1349=""),"",ROUND(E1349*G1349,2))</f>
        <v>3.76</v>
      </c>
      <c r="J1349" s="25" t="str">
        <f aca="false">IF(OR(H1349="",I1349=""),"",IF(ABS(H1349-I1349)&lt;=0.02,"OK","≠"))</f>
        <v>OK</v>
      </c>
      <c r="K1349" s="16"/>
      <c r="L1349" s="1"/>
    </row>
    <row r="1350" customFormat="false" ht="15" hidden="false" customHeight="false" outlineLevel="0" collapsed="false">
      <c r="A1350" s="1"/>
      <c r="B1350" s="32" t="s">
        <v>623</v>
      </c>
      <c r="C1350" s="19" t="s">
        <v>624</v>
      </c>
      <c r="D1350" s="19" t="s">
        <v>14</v>
      </c>
      <c r="E1350" s="65" t="n">
        <v>0.542</v>
      </c>
      <c r="F1350" s="27" t="s">
        <v>176</v>
      </c>
      <c r="G1350" s="20" t="n">
        <v>29.9</v>
      </c>
      <c r="H1350" s="20" t="n">
        <v>16.21</v>
      </c>
      <c r="I1350" s="62" t="n">
        <f aca="false">IF(OR(E1350="",G1350=""),"",ROUND(E1350*G1350,2))</f>
        <v>16.21</v>
      </c>
      <c r="J1350" s="25" t="str">
        <f aca="false">IF(OR(H1350="",I1350=""),"",IF(ABS(H1350-I1350)&lt;=0.02,"OK","≠"))</f>
        <v>OK</v>
      </c>
      <c r="K1350" s="16"/>
      <c r="L1350" s="1"/>
    </row>
    <row r="1351" customFormat="false" ht="15" hidden="false" customHeight="false" outlineLevel="0" collapsed="false">
      <c r="A1351" s="1"/>
      <c r="B1351" s="30" t="s">
        <v>230</v>
      </c>
      <c r="C1351" s="16" t="s">
        <v>760</v>
      </c>
      <c r="D1351" s="16" t="s">
        <v>13</v>
      </c>
      <c r="E1351" s="64" t="n">
        <v>2</v>
      </c>
      <c r="F1351" s="25" t="s">
        <v>179</v>
      </c>
      <c r="G1351" s="17" t="n">
        <v>6.69</v>
      </c>
      <c r="H1351" s="17" t="n">
        <v>13.38</v>
      </c>
      <c r="I1351" s="62" t="n">
        <f aca="false">IF(OR(E1351="",G1351=""),"",ROUND(E1351*G1351,2))</f>
        <v>13.38</v>
      </c>
      <c r="J1351" s="25" t="str">
        <f aca="false">IF(OR(H1351="",I1351=""),"",IF(ABS(H1351-I1351)&lt;=0.02,"OK","≠"))</f>
        <v>OK</v>
      </c>
      <c r="K1351" s="16"/>
      <c r="L1351" s="1"/>
    </row>
    <row r="1352" customFormat="false" ht="15" hidden="false" customHeight="false" outlineLevel="0" collapsed="false">
      <c r="A1352" s="1"/>
      <c r="B1352" s="1"/>
      <c r="C1352" s="1"/>
      <c r="D1352" s="1"/>
      <c r="E1352" s="1"/>
      <c r="F1352" s="1"/>
      <c r="G1352" s="1"/>
      <c r="H1352" s="1"/>
      <c r="I1352" s="1"/>
      <c r="J1352" s="1"/>
      <c r="K1352" s="1"/>
      <c r="L1352" s="1"/>
    </row>
    <row r="1353" customFormat="false" ht="15" hidden="false" customHeight="false" outlineLevel="0" collapsed="false">
      <c r="A1353" s="1"/>
      <c r="B1353" s="63" t="s">
        <v>1005</v>
      </c>
      <c r="C1353" s="63"/>
      <c r="D1353" s="63"/>
      <c r="E1353" s="63"/>
      <c r="F1353" s="63"/>
      <c r="G1353" s="63"/>
      <c r="H1353" s="63"/>
      <c r="I1353" s="63"/>
      <c r="J1353" s="63"/>
      <c r="K1353" s="63"/>
      <c r="L1353" s="1"/>
    </row>
    <row r="1354" customFormat="false" ht="15" hidden="false" customHeight="false" outlineLevel="0" collapsed="false">
      <c r="A1354" s="1"/>
      <c r="B1354" s="50" t="s">
        <v>34</v>
      </c>
      <c r="C1354" s="45" t="s">
        <v>37</v>
      </c>
      <c r="D1354" s="45"/>
      <c r="E1354" s="50" t="s">
        <v>157</v>
      </c>
      <c r="F1354" s="50"/>
      <c r="G1354" s="45" t="s">
        <v>1006</v>
      </c>
      <c r="H1354" s="45"/>
      <c r="I1354" s="45"/>
      <c r="J1354" s="45"/>
      <c r="K1354" s="45"/>
      <c r="L1354" s="1"/>
    </row>
    <row r="1355" customFormat="false" ht="15" hidden="false" customHeight="false" outlineLevel="0" collapsed="false">
      <c r="A1355" s="1"/>
      <c r="B1355" s="50" t="s">
        <v>78</v>
      </c>
      <c r="C1355" s="39" t="n">
        <v>46239</v>
      </c>
      <c r="D1355" s="39"/>
      <c r="E1355" s="50" t="s">
        <v>80</v>
      </c>
      <c r="F1355" s="50"/>
      <c r="G1355" s="45" t="s">
        <v>992</v>
      </c>
      <c r="H1355" s="45"/>
      <c r="I1355" s="45"/>
      <c r="J1355" s="45"/>
      <c r="K1355" s="45"/>
      <c r="L1355" s="1"/>
    </row>
    <row r="1356" customFormat="false" ht="15" hidden="false" customHeight="false" outlineLevel="0" collapsed="false">
      <c r="A1356" s="1"/>
      <c r="B1356" s="50" t="s">
        <v>158</v>
      </c>
      <c r="C1356" s="55" t="n">
        <v>6</v>
      </c>
      <c r="D1356" s="55"/>
      <c r="E1356" s="50" t="s">
        <v>159</v>
      </c>
      <c r="F1356" s="50"/>
      <c r="G1356" s="56" t="n">
        <v>55.75</v>
      </c>
      <c r="H1356" s="56"/>
      <c r="I1356" s="56"/>
      <c r="J1356" s="56"/>
      <c r="K1356" s="56"/>
      <c r="L1356" s="1"/>
    </row>
    <row r="1357" customFormat="false" ht="15" hidden="false" customHeight="false" outlineLevel="0" collapsed="false">
      <c r="B1357" s="50" t="s">
        <v>160</v>
      </c>
      <c r="C1357" s="55" t="n">
        <f aca="false">COUNT(H1361:H1366)</f>
        <v>6</v>
      </c>
      <c r="D1357" s="55"/>
      <c r="E1357" s="50" t="s">
        <v>161</v>
      </c>
      <c r="F1357" s="50"/>
      <c r="G1357" s="56" t="n">
        <f aca="false">ROUND(SUM(H1361:H1366),2)</f>
        <v>55.75</v>
      </c>
      <c r="H1357" s="56"/>
      <c r="I1357" s="56"/>
      <c r="J1357" s="56"/>
      <c r="K1357" s="56"/>
    </row>
    <row r="1358" customFormat="false" ht="15" hidden="false" customHeight="false" outlineLevel="0" collapsed="false">
      <c r="B1358" s="50" t="s">
        <v>162</v>
      </c>
      <c r="C1358" s="55" t="n">
        <f aca="false">ROUND(SUMPRODUCT(((F1361:F1366="KG")+(F1361:F1366="G"))*1)+SUMPRODUCT((F1361:F1366&lt;&gt;"KG")*(F1361:F1366&lt;&gt;"G")*E1361:E1366),0)</f>
        <v>6</v>
      </c>
      <c r="D1358" s="55"/>
      <c r="E1358" s="50" t="s">
        <v>163</v>
      </c>
      <c r="F1358" s="50"/>
      <c r="G1358" s="56" t="n">
        <f aca="false">IF(G1356="","",ROUND(G1356-G1357,2))</f>
        <v>0</v>
      </c>
      <c r="H1358" s="56"/>
      <c r="I1358" s="56"/>
      <c r="J1358" s="56"/>
      <c r="K1358" s="56"/>
    </row>
    <row r="1359" customFormat="false" ht="15" hidden="false" customHeight="false" outlineLevel="0" collapsed="false">
      <c r="B1359" s="50" t="s">
        <v>84</v>
      </c>
      <c r="C1359" s="57" t="str">
        <f aca="false">IF(C1357=0,"— aguardando lançamento",IF(G1356="","SEM TOTAL OFICIAL — informe o total do cupom",IF(AND(OR(C1356="",C1356=C1357,C1356=C1358),ABS(G1358)&lt;=0.05),"FECHADO — itens e valor conferem",IF(ABS(G1358)&lt;=0.05,"REVISAR — qtd. de itens não bate","REVISAR — diferença de R$ "&amp;ABS(G1358)))))</f>
        <v>FECHADO — itens e valor conferem</v>
      </c>
      <c r="D1359" s="57"/>
      <c r="E1359" s="57"/>
      <c r="F1359" s="57"/>
      <c r="G1359" s="50" t="s">
        <v>164</v>
      </c>
      <c r="H1359" s="30"/>
      <c r="I1359" s="30"/>
      <c r="J1359" s="30"/>
      <c r="K1359" s="30"/>
    </row>
    <row r="1360" customFormat="false" ht="15" hidden="false" customHeight="false" outlineLevel="0" collapsed="false">
      <c r="B1360" s="15" t="s">
        <v>165</v>
      </c>
      <c r="C1360" s="15" t="s">
        <v>52</v>
      </c>
      <c r="D1360" s="15" t="s">
        <v>9</v>
      </c>
      <c r="E1360" s="15" t="s">
        <v>166</v>
      </c>
      <c r="F1360" s="15" t="s">
        <v>167</v>
      </c>
      <c r="G1360" s="15" t="s">
        <v>168</v>
      </c>
      <c r="H1360" s="15" t="s">
        <v>10</v>
      </c>
      <c r="I1360" s="15" t="s">
        <v>169</v>
      </c>
      <c r="J1360" s="15" t="s">
        <v>170</v>
      </c>
      <c r="K1360" s="15"/>
    </row>
    <row r="1361" customFormat="false" ht="15" hidden="false" customHeight="false" outlineLevel="0" collapsed="false">
      <c r="B1361" s="46" t="s">
        <v>458</v>
      </c>
      <c r="C1361" s="16" t="s">
        <v>740</v>
      </c>
      <c r="D1361" s="16" t="s">
        <v>14</v>
      </c>
      <c r="E1361" s="64" t="n">
        <v>0.51</v>
      </c>
      <c r="F1361" s="25" t="s">
        <v>176</v>
      </c>
      <c r="G1361" s="17" t="n">
        <v>17.9</v>
      </c>
      <c r="H1361" s="17" t="n">
        <v>9.13</v>
      </c>
      <c r="I1361" s="62" t="n">
        <f aca="false">IF(OR(E1361="",G1361=""),"",ROUND(E1361*G1361,2))</f>
        <v>9.13</v>
      </c>
      <c r="J1361" s="25" t="str">
        <f aca="false">IF(OR(H1361="",I1361=""),"",IF(ABS(H1361-I1361)&lt;=0.02,"OK","≠"))</f>
        <v>OK</v>
      </c>
      <c r="K1361" s="16"/>
    </row>
    <row r="1362" customFormat="false" ht="15" hidden="false" customHeight="false" outlineLevel="0" collapsed="false">
      <c r="B1362" s="66" t="s">
        <v>230</v>
      </c>
      <c r="C1362" s="19" t="s">
        <v>760</v>
      </c>
      <c r="D1362" s="19" t="s">
        <v>13</v>
      </c>
      <c r="E1362" s="65" t="n">
        <v>1</v>
      </c>
      <c r="F1362" s="27" t="s">
        <v>179</v>
      </c>
      <c r="G1362" s="20" t="n">
        <v>6.69</v>
      </c>
      <c r="H1362" s="20" t="n">
        <v>6.69</v>
      </c>
      <c r="I1362" s="62" t="n">
        <f aca="false">IF(OR(E1362="",G1362=""),"",ROUND(E1362*G1362,2))</f>
        <v>6.69</v>
      </c>
      <c r="J1362" s="25" t="str">
        <f aca="false">IF(OR(H1362="",I1362=""),"",IF(ABS(H1362-I1362)&lt;=0.02,"OK","≠"))</f>
        <v>OK</v>
      </c>
      <c r="K1362" s="16"/>
    </row>
    <row r="1363" customFormat="false" ht="15" hidden="false" customHeight="false" outlineLevel="0" collapsed="false">
      <c r="B1363" s="46" t="s">
        <v>763</v>
      </c>
      <c r="C1363" s="16" t="s">
        <v>764</v>
      </c>
      <c r="D1363" s="16" t="s">
        <v>12</v>
      </c>
      <c r="E1363" s="64" t="n">
        <v>1</v>
      </c>
      <c r="F1363" s="25" t="s">
        <v>179</v>
      </c>
      <c r="G1363" s="17" t="n">
        <v>15.9</v>
      </c>
      <c r="H1363" s="17" t="n">
        <v>15.9</v>
      </c>
      <c r="I1363" s="62" t="n">
        <f aca="false">IF(OR(E1363="",G1363=""),"",ROUND(E1363*G1363,2))</f>
        <v>15.9</v>
      </c>
      <c r="J1363" s="25" t="str">
        <f aca="false">IF(OR(H1363="",I1363=""),"",IF(ABS(H1363-I1363)&lt;=0.02,"OK","≠"))</f>
        <v>OK</v>
      </c>
      <c r="K1363" s="16"/>
    </row>
    <row r="1364" customFormat="false" ht="15" hidden="false" customHeight="false" outlineLevel="0" collapsed="false">
      <c r="B1364" s="66" t="s">
        <v>1007</v>
      </c>
      <c r="C1364" s="19" t="s">
        <v>1008</v>
      </c>
      <c r="D1364" s="19" t="s">
        <v>12</v>
      </c>
      <c r="E1364" s="65" t="n">
        <v>1</v>
      </c>
      <c r="F1364" s="27" t="s">
        <v>179</v>
      </c>
      <c r="G1364" s="20" t="n">
        <v>11.9</v>
      </c>
      <c r="H1364" s="20" t="n">
        <v>11.9</v>
      </c>
      <c r="I1364" s="62" t="n">
        <f aca="false">IF(OR(E1364="",G1364=""),"",ROUND(E1364*G1364,2))</f>
        <v>11.9</v>
      </c>
      <c r="J1364" s="25" t="str">
        <f aca="false">IF(OR(H1364="",I1364=""),"",IF(ABS(H1364-I1364)&lt;=0.02,"OK","≠"))</f>
        <v>OK</v>
      </c>
      <c r="K1364" s="16"/>
    </row>
    <row r="1365" customFormat="false" ht="15" hidden="false" customHeight="false" outlineLevel="0" collapsed="false">
      <c r="B1365" s="46" t="s">
        <v>289</v>
      </c>
      <c r="C1365" s="16" t="s">
        <v>290</v>
      </c>
      <c r="D1365" s="16" t="s">
        <v>15</v>
      </c>
      <c r="E1365" s="64" t="n">
        <v>0.79</v>
      </c>
      <c r="F1365" s="25" t="s">
        <v>176</v>
      </c>
      <c r="G1365" s="17" t="n">
        <v>9.9</v>
      </c>
      <c r="H1365" s="17" t="n">
        <v>7.82</v>
      </c>
      <c r="I1365" s="62" t="n">
        <f aca="false">IF(OR(E1365="",G1365=""),"",ROUND(E1365*G1365,2))</f>
        <v>7.82</v>
      </c>
      <c r="J1365" s="25" t="str">
        <f aca="false">IF(OR(H1365="",I1365=""),"",IF(ABS(H1365-I1365)&lt;=0.02,"OK","≠"))</f>
        <v>OK</v>
      </c>
      <c r="K1365" s="16"/>
    </row>
    <row r="1366" customFormat="false" ht="15" hidden="false" customHeight="false" outlineLevel="0" collapsed="false">
      <c r="B1366" s="66" t="s">
        <v>732</v>
      </c>
      <c r="C1366" s="19" t="s">
        <v>951</v>
      </c>
      <c r="D1366" s="19" t="s">
        <v>15</v>
      </c>
      <c r="E1366" s="65" t="n">
        <v>0.72</v>
      </c>
      <c r="F1366" s="27" t="s">
        <v>176</v>
      </c>
      <c r="G1366" s="20" t="n">
        <v>5.99</v>
      </c>
      <c r="H1366" s="20" t="n">
        <v>4.31</v>
      </c>
      <c r="I1366" s="62" t="n">
        <f aca="false">IF(OR(E1366="",G1366=""),"",ROUND(E1366*G1366,2))</f>
        <v>4.31</v>
      </c>
      <c r="J1366" s="25" t="str">
        <f aca="false">IF(OR(H1366="",I1366=""),"",IF(ABS(H1366-I1366)&lt;=0.02,"OK","≠"))</f>
        <v>OK</v>
      </c>
      <c r="K1366" s="16"/>
    </row>
    <row r="1367" customFormat="false" ht="15" hidden="false" customHeight="false" outlineLevel="0" collapsed="false">
      <c r="B1367" s="1"/>
      <c r="C1367" s="1"/>
      <c r="D1367" s="1"/>
      <c r="E1367" s="1"/>
      <c r="F1367" s="1"/>
      <c r="G1367" s="1"/>
      <c r="H1367" s="1"/>
      <c r="I1367" s="1"/>
      <c r="J1367" s="1"/>
      <c r="K1367" s="1"/>
    </row>
    <row r="1368" customFormat="false" ht="15" hidden="false" customHeight="false" outlineLevel="0" collapsed="false">
      <c r="B1368" s="63" t="s">
        <v>1009</v>
      </c>
      <c r="C1368" s="63"/>
      <c r="D1368" s="63"/>
      <c r="E1368" s="63"/>
      <c r="F1368" s="63"/>
      <c r="G1368" s="63"/>
      <c r="H1368" s="63"/>
      <c r="I1368" s="63"/>
      <c r="J1368" s="63"/>
      <c r="K1368" s="63"/>
    </row>
    <row r="1369" customFormat="false" ht="15" hidden="false" customHeight="false" outlineLevel="0" collapsed="false">
      <c r="B1369" s="50" t="s">
        <v>34</v>
      </c>
      <c r="C1369" s="45" t="s">
        <v>37</v>
      </c>
      <c r="D1369" s="45"/>
      <c r="E1369" s="50" t="s">
        <v>157</v>
      </c>
      <c r="F1369" s="50"/>
      <c r="G1369" s="45" t="s">
        <v>1010</v>
      </c>
      <c r="H1369" s="45"/>
      <c r="I1369" s="45"/>
      <c r="J1369" s="45"/>
      <c r="K1369" s="45"/>
    </row>
    <row r="1370" customFormat="false" ht="15" hidden="false" customHeight="false" outlineLevel="0" collapsed="false">
      <c r="B1370" s="50" t="s">
        <v>78</v>
      </c>
      <c r="C1370" s="39" t="n">
        <v>46240</v>
      </c>
      <c r="D1370" s="39"/>
      <c r="E1370" s="50" t="s">
        <v>80</v>
      </c>
      <c r="F1370" s="50"/>
      <c r="G1370" s="45" t="s">
        <v>992</v>
      </c>
      <c r="H1370" s="45"/>
      <c r="I1370" s="45"/>
      <c r="J1370" s="45"/>
      <c r="K1370" s="45"/>
    </row>
    <row r="1371" customFormat="false" ht="15" hidden="false" customHeight="false" outlineLevel="0" collapsed="false">
      <c r="B1371" s="50" t="s">
        <v>158</v>
      </c>
      <c r="C1371" s="55" t="n">
        <v>4</v>
      </c>
      <c r="D1371" s="55"/>
      <c r="E1371" s="50" t="s">
        <v>159</v>
      </c>
      <c r="F1371" s="50"/>
      <c r="G1371" s="56" t="n">
        <v>49.26</v>
      </c>
      <c r="H1371" s="56"/>
      <c r="I1371" s="56"/>
      <c r="J1371" s="56"/>
      <c r="K1371" s="56"/>
    </row>
    <row r="1372" customFormat="false" ht="15" hidden="false" customHeight="false" outlineLevel="0" collapsed="false">
      <c r="B1372" s="50" t="s">
        <v>160</v>
      </c>
      <c r="C1372" s="55" t="n">
        <f aca="false">COUNT(H1376:H1379)</f>
        <v>4</v>
      </c>
      <c r="D1372" s="55"/>
      <c r="E1372" s="50" t="s">
        <v>161</v>
      </c>
      <c r="F1372" s="50"/>
      <c r="G1372" s="56" t="n">
        <f aca="false">ROUND(SUM(H1376:H1379),2)</f>
        <v>49.26</v>
      </c>
      <c r="H1372" s="56"/>
      <c r="I1372" s="56"/>
      <c r="J1372" s="56"/>
      <c r="K1372" s="56"/>
    </row>
    <row r="1373" customFormat="false" ht="15" hidden="false" customHeight="false" outlineLevel="0" collapsed="false">
      <c r="B1373" s="50" t="s">
        <v>162</v>
      </c>
      <c r="C1373" s="55" t="n">
        <f aca="false">ROUND(SUMPRODUCT(((F1376:F1379="KG")+(F1376:F1379="G"))*1)+SUMPRODUCT((F1376:F1379&lt;&gt;"KG")*(F1376:F1379&lt;&gt;"G")*E1376:E1379),0)</f>
        <v>4</v>
      </c>
      <c r="D1373" s="55"/>
      <c r="E1373" s="50" t="s">
        <v>163</v>
      </c>
      <c r="F1373" s="50"/>
      <c r="G1373" s="56" t="n">
        <f aca="false">IF(G1371="","",ROUND(G1371-G1372,2))</f>
        <v>0</v>
      </c>
      <c r="H1373" s="56"/>
      <c r="I1373" s="56"/>
      <c r="J1373" s="56"/>
      <c r="K1373" s="56"/>
    </row>
    <row r="1374" customFormat="false" ht="15" hidden="false" customHeight="false" outlineLevel="0" collapsed="false">
      <c r="B1374" s="50" t="s">
        <v>84</v>
      </c>
      <c r="C1374" s="57" t="str">
        <f aca="false">IF(C1372=0,"— aguardando lançamento",IF(G1371="","SEM TOTAL OFICIAL — informe o total do cupom",IF(AND(OR(C1371="",C1371=C1372,C1371=C1373),ABS(G1373)&lt;=0.05),"FECHADO — itens e valor conferem",IF(ABS(G1373)&lt;=0.05,"REVISAR — qtd. de itens não bate","REVISAR — diferença de R$ "&amp;ABS(G1373)))))</f>
        <v>FECHADO — itens e valor conferem</v>
      </c>
      <c r="D1374" s="57"/>
      <c r="E1374" s="57"/>
      <c r="F1374" s="57"/>
      <c r="G1374" s="50" t="s">
        <v>164</v>
      </c>
      <c r="H1374" s="30"/>
      <c r="I1374" s="30"/>
      <c r="J1374" s="30"/>
      <c r="K1374" s="30"/>
    </row>
    <row r="1375" customFormat="false" ht="15" hidden="false" customHeight="false" outlineLevel="0" collapsed="false">
      <c r="B1375" s="15" t="s">
        <v>165</v>
      </c>
      <c r="C1375" s="15" t="s">
        <v>52</v>
      </c>
      <c r="D1375" s="15" t="s">
        <v>9</v>
      </c>
      <c r="E1375" s="15" t="s">
        <v>166</v>
      </c>
      <c r="F1375" s="15" t="s">
        <v>167</v>
      </c>
      <c r="G1375" s="15" t="s">
        <v>168</v>
      </c>
      <c r="H1375" s="15" t="s">
        <v>10</v>
      </c>
      <c r="I1375" s="15" t="s">
        <v>169</v>
      </c>
      <c r="J1375" s="15" t="s">
        <v>170</v>
      </c>
      <c r="K1375" s="15"/>
    </row>
    <row r="1376" customFormat="false" ht="15" hidden="false" customHeight="false" outlineLevel="0" collapsed="false">
      <c r="B1376" s="46" t="s">
        <v>623</v>
      </c>
      <c r="C1376" s="16" t="s">
        <v>624</v>
      </c>
      <c r="D1376" s="16" t="s">
        <v>14</v>
      </c>
      <c r="E1376" s="64" t="n">
        <v>0.69</v>
      </c>
      <c r="F1376" s="25" t="s">
        <v>176</v>
      </c>
      <c r="G1376" s="17" t="n">
        <v>29.9</v>
      </c>
      <c r="H1376" s="17" t="n">
        <v>20.63</v>
      </c>
      <c r="I1376" s="62" t="n">
        <f aca="false">IF(OR(E1376="",G1376=""),"",ROUND(E1376*G1376,2))</f>
        <v>20.63</v>
      </c>
      <c r="J1376" s="25" t="str">
        <f aca="false">IF(OR(H1376="",I1376=""),"",IF(ABS(H1376-I1376)&lt;=0.02,"OK","≠"))</f>
        <v>OK</v>
      </c>
      <c r="K1376" s="16"/>
    </row>
    <row r="1377" customFormat="false" ht="15" hidden="false" customHeight="false" outlineLevel="0" collapsed="false">
      <c r="B1377" s="66" t="s">
        <v>765</v>
      </c>
      <c r="C1377" s="19" t="s">
        <v>996</v>
      </c>
      <c r="D1377" s="19" t="s">
        <v>14</v>
      </c>
      <c r="E1377" s="65" t="n">
        <v>0.232</v>
      </c>
      <c r="F1377" s="27" t="s">
        <v>176</v>
      </c>
      <c r="G1377" s="20" t="n">
        <v>42.9</v>
      </c>
      <c r="H1377" s="20" t="n">
        <v>9.95</v>
      </c>
      <c r="I1377" s="62" t="n">
        <f aca="false">IF(OR(E1377="",G1377=""),"",ROUND(E1377*G1377,2))</f>
        <v>9.95</v>
      </c>
      <c r="J1377" s="25" t="str">
        <f aca="false">IF(OR(H1377="",I1377=""),"",IF(ABS(H1377-I1377)&lt;=0.02,"OK","≠"))</f>
        <v>OK</v>
      </c>
      <c r="K1377" s="16"/>
    </row>
    <row r="1378" customFormat="false" ht="15" hidden="false" customHeight="false" outlineLevel="0" collapsed="false">
      <c r="B1378" s="46" t="s">
        <v>1011</v>
      </c>
      <c r="C1378" s="16" t="s">
        <v>1012</v>
      </c>
      <c r="D1378" s="16" t="s">
        <v>12</v>
      </c>
      <c r="E1378" s="64" t="n">
        <v>1</v>
      </c>
      <c r="F1378" s="25" t="s">
        <v>179</v>
      </c>
      <c r="G1378" s="17" t="n">
        <v>11.99</v>
      </c>
      <c r="H1378" s="17" t="n">
        <v>11.99</v>
      </c>
      <c r="I1378" s="62" t="n">
        <f aca="false">IF(OR(E1378="",G1378=""),"",ROUND(E1378*G1378,2))</f>
        <v>11.99</v>
      </c>
      <c r="J1378" s="25" t="str">
        <f aca="false">IF(OR(H1378="",I1378=""),"",IF(ABS(H1378-I1378)&lt;=0.02,"OK","≠"))</f>
        <v>OK</v>
      </c>
      <c r="K1378" s="16"/>
    </row>
    <row r="1379" customFormat="false" ht="15" hidden="false" customHeight="false" outlineLevel="0" collapsed="false">
      <c r="B1379" s="66" t="s">
        <v>230</v>
      </c>
      <c r="C1379" s="19" t="s">
        <v>760</v>
      </c>
      <c r="D1379" s="19" t="s">
        <v>13</v>
      </c>
      <c r="E1379" s="65" t="n">
        <v>1</v>
      </c>
      <c r="F1379" s="27" t="s">
        <v>179</v>
      </c>
      <c r="G1379" s="20" t="n">
        <v>6.69</v>
      </c>
      <c r="H1379" s="20" t="n">
        <v>6.69</v>
      </c>
      <c r="I1379" s="62" t="n">
        <f aca="false">IF(OR(E1379="",G1379=""),"",ROUND(E1379*G1379,2))</f>
        <v>6.69</v>
      </c>
      <c r="J1379" s="25" t="str">
        <f aca="false">IF(OR(H1379="",I1379=""),"",IF(ABS(H1379-I1379)&lt;=0.02,"OK","≠"))</f>
        <v>OK</v>
      </c>
      <c r="K1379" s="16"/>
    </row>
    <row r="1380" customFormat="false" ht="15" hidden="false" customHeight="false" outlineLevel="0" collapsed="false">
      <c r="B1380" s="1"/>
      <c r="C1380" s="1"/>
      <c r="D1380" s="1"/>
      <c r="E1380" s="1"/>
      <c r="F1380" s="1"/>
      <c r="G1380" s="1"/>
      <c r="H1380" s="1"/>
      <c r="I1380" s="1"/>
      <c r="J1380" s="1"/>
      <c r="K1380" s="1"/>
    </row>
    <row r="1381" customFormat="false" ht="15" hidden="false" customHeight="false" outlineLevel="0" collapsed="false">
      <c r="B1381" s="63" t="s">
        <v>1013</v>
      </c>
      <c r="C1381" s="63"/>
      <c r="D1381" s="63"/>
      <c r="E1381" s="63"/>
      <c r="F1381" s="63"/>
      <c r="G1381" s="63"/>
      <c r="H1381" s="63"/>
      <c r="I1381" s="63"/>
      <c r="J1381" s="63"/>
      <c r="K1381" s="63"/>
    </row>
    <row r="1382" customFormat="false" ht="15" hidden="false" customHeight="false" outlineLevel="0" collapsed="false">
      <c r="B1382" s="50" t="s">
        <v>34</v>
      </c>
      <c r="C1382" s="45" t="s">
        <v>36</v>
      </c>
      <c r="D1382" s="45"/>
      <c r="E1382" s="50" t="s">
        <v>157</v>
      </c>
      <c r="F1382" s="50"/>
      <c r="G1382" s="45" t="s">
        <v>1014</v>
      </c>
      <c r="H1382" s="45"/>
      <c r="I1382" s="45"/>
      <c r="J1382" s="45"/>
      <c r="K1382" s="45"/>
    </row>
    <row r="1383" customFormat="false" ht="15" hidden="false" customHeight="false" outlineLevel="0" collapsed="false">
      <c r="B1383" s="50" t="s">
        <v>78</v>
      </c>
      <c r="C1383" s="39" t="n">
        <v>46243</v>
      </c>
      <c r="D1383" s="39"/>
      <c r="E1383" s="50" t="s">
        <v>80</v>
      </c>
      <c r="F1383" s="50"/>
      <c r="G1383" s="45" t="s">
        <v>992</v>
      </c>
      <c r="H1383" s="45"/>
      <c r="I1383" s="45"/>
      <c r="J1383" s="45"/>
      <c r="K1383" s="45"/>
    </row>
    <row r="1384" customFormat="false" ht="15" hidden="false" customHeight="false" outlineLevel="0" collapsed="false">
      <c r="B1384" s="50" t="s">
        <v>158</v>
      </c>
      <c r="C1384" s="55" t="n">
        <v>13</v>
      </c>
      <c r="D1384" s="55"/>
      <c r="E1384" s="50" t="s">
        <v>159</v>
      </c>
      <c r="F1384" s="50"/>
      <c r="G1384" s="56" t="n">
        <v>104.29</v>
      </c>
      <c r="H1384" s="56"/>
      <c r="I1384" s="56"/>
      <c r="J1384" s="56"/>
      <c r="K1384" s="56"/>
    </row>
    <row r="1385" customFormat="false" ht="15" hidden="false" customHeight="false" outlineLevel="0" collapsed="false">
      <c r="B1385" s="50" t="s">
        <v>160</v>
      </c>
      <c r="C1385" s="55" t="n">
        <f aca="false">COUNT(H1389:H1398)</f>
        <v>10</v>
      </c>
      <c r="D1385" s="55"/>
      <c r="E1385" s="50" t="s">
        <v>161</v>
      </c>
      <c r="F1385" s="50"/>
      <c r="G1385" s="56" t="n">
        <f aca="false">ROUND(SUM(H1389:H1398),2)</f>
        <v>104.29</v>
      </c>
      <c r="H1385" s="56"/>
      <c r="I1385" s="56"/>
      <c r="J1385" s="56"/>
      <c r="K1385" s="56"/>
    </row>
    <row r="1386" customFormat="false" ht="15" hidden="false" customHeight="false" outlineLevel="0" collapsed="false">
      <c r="B1386" s="50" t="s">
        <v>162</v>
      </c>
      <c r="C1386" s="55" t="n">
        <f aca="false">ROUND(SUMPRODUCT(((F1389:F1398="KG")+(F1389:F1398="G"))*1)+SUMPRODUCT((F1389:F1398&lt;&gt;"KG")*(F1389:F1398&lt;&gt;"G")*E1389:E1398),0)</f>
        <v>13</v>
      </c>
      <c r="D1386" s="55"/>
      <c r="E1386" s="50" t="s">
        <v>163</v>
      </c>
      <c r="F1386" s="50"/>
      <c r="G1386" s="56" t="n">
        <f aca="false">IF(G1384="","",ROUND(G1384-G1385,2))</f>
        <v>0</v>
      </c>
      <c r="H1386" s="56"/>
      <c r="I1386" s="56"/>
      <c r="J1386" s="56"/>
      <c r="K1386" s="56"/>
    </row>
    <row r="1387" customFormat="false" ht="15" hidden="false" customHeight="false" outlineLevel="0" collapsed="false">
      <c r="B1387" s="50" t="s">
        <v>84</v>
      </c>
      <c r="C1387" s="57" t="str">
        <f aca="false">IF(C1385=0,"— aguardando lançamento",IF(G1384="","SEM TOTAL OFICIAL — informe o total do cupom",IF(AND(OR(C1384="",C1384=C1385,C1384=C1386),ABS(G1386)&lt;=0.05),"FECHADO — itens e valor conferem",IF(ABS(G1386)&lt;=0.05,"REVISAR — qtd. de itens não bate","REVISAR — diferença de R$ "&amp;ABS(G1386)))))</f>
        <v>FECHADO — itens e valor conferem</v>
      </c>
      <c r="D1387" s="57"/>
      <c r="E1387" s="57"/>
      <c r="F1387" s="57"/>
      <c r="G1387" s="50" t="s">
        <v>164</v>
      </c>
      <c r="H1387" s="30"/>
      <c r="I1387" s="30"/>
      <c r="J1387" s="30"/>
      <c r="K1387" s="30"/>
    </row>
    <row r="1388" customFormat="false" ht="15" hidden="false" customHeight="false" outlineLevel="0" collapsed="false">
      <c r="B1388" s="15" t="s">
        <v>165</v>
      </c>
      <c r="C1388" s="15" t="s">
        <v>52</v>
      </c>
      <c r="D1388" s="15" t="s">
        <v>9</v>
      </c>
      <c r="E1388" s="15" t="s">
        <v>166</v>
      </c>
      <c r="F1388" s="15" t="s">
        <v>167</v>
      </c>
      <c r="G1388" s="15" t="s">
        <v>168</v>
      </c>
      <c r="H1388" s="15" t="s">
        <v>10</v>
      </c>
      <c r="I1388" s="15" t="s">
        <v>169</v>
      </c>
      <c r="J1388" s="15" t="s">
        <v>170</v>
      </c>
      <c r="K1388" s="15"/>
    </row>
    <row r="1389" customFormat="false" ht="15" hidden="false" customHeight="false" outlineLevel="0" collapsed="false">
      <c r="B1389" s="46" t="s">
        <v>208</v>
      </c>
      <c r="C1389" s="16" t="s">
        <v>323</v>
      </c>
      <c r="D1389" s="16" t="s">
        <v>12</v>
      </c>
      <c r="E1389" s="64" t="n">
        <v>0.742</v>
      </c>
      <c r="F1389" s="25" t="s">
        <v>179</v>
      </c>
      <c r="G1389" s="17" t="n">
        <v>34</v>
      </c>
      <c r="H1389" s="17" t="n">
        <v>25.23</v>
      </c>
      <c r="I1389" s="62" t="n">
        <f aca="false">IF(OR(E1389="",G1389=""),"",ROUND(E1389*G1389,2))</f>
        <v>25.23</v>
      </c>
      <c r="J1389" s="25" t="str">
        <f aca="false">IF(OR(H1389="",I1389=""),"",IF(ABS(H1389-I1389)&lt;=0.02,"OK","≠"))</f>
        <v>OK</v>
      </c>
      <c r="K1389" s="16"/>
    </row>
    <row r="1390" customFormat="false" ht="15" hidden="false" customHeight="false" outlineLevel="0" collapsed="false">
      <c r="B1390" s="66" t="s">
        <v>314</v>
      </c>
      <c r="C1390" s="19" t="s">
        <v>598</v>
      </c>
      <c r="D1390" s="19" t="s">
        <v>16</v>
      </c>
      <c r="E1390" s="65" t="n">
        <v>1</v>
      </c>
      <c r="F1390" s="27" t="s">
        <v>179</v>
      </c>
      <c r="G1390" s="20" t="n">
        <v>7.29</v>
      </c>
      <c r="H1390" s="20" t="n">
        <v>7.29</v>
      </c>
      <c r="I1390" s="62" t="n">
        <f aca="false">IF(OR(E1390="",G1390=""),"",ROUND(E1390*G1390,2))</f>
        <v>7.29</v>
      </c>
      <c r="J1390" s="25" t="str">
        <f aca="false">IF(OR(H1390="",I1390=""),"",IF(ABS(H1390-I1390)&lt;=0.02,"OK","≠"))</f>
        <v>OK</v>
      </c>
      <c r="K1390" s="16"/>
    </row>
    <row r="1391" customFormat="false" ht="15" hidden="false" customHeight="false" outlineLevel="0" collapsed="false">
      <c r="B1391" s="46" t="s">
        <v>439</v>
      </c>
      <c r="C1391" s="16" t="s">
        <v>440</v>
      </c>
      <c r="D1391" s="16" t="s">
        <v>16</v>
      </c>
      <c r="E1391" s="64" t="n">
        <v>4</v>
      </c>
      <c r="F1391" s="25" t="s">
        <v>179</v>
      </c>
      <c r="G1391" s="17" t="n">
        <v>1.29</v>
      </c>
      <c r="H1391" s="17" t="n">
        <v>5.16</v>
      </c>
      <c r="I1391" s="62" t="n">
        <f aca="false">IF(OR(E1391="",G1391=""),"",ROUND(E1391*G1391,2))</f>
        <v>5.16</v>
      </c>
      <c r="J1391" s="25" t="str">
        <f aca="false">IF(OR(H1391="",I1391=""),"",IF(ABS(H1391-I1391)&lt;=0.02,"OK","≠"))</f>
        <v>OK</v>
      </c>
      <c r="K1391" s="16"/>
    </row>
    <row r="1392" customFormat="false" ht="15" hidden="false" customHeight="false" outlineLevel="0" collapsed="false">
      <c r="B1392" s="66" t="s">
        <v>1015</v>
      </c>
      <c r="C1392" s="19" t="s">
        <v>1016</v>
      </c>
      <c r="D1392" s="19" t="s">
        <v>15</v>
      </c>
      <c r="E1392" s="65" t="n">
        <v>0.78</v>
      </c>
      <c r="F1392" s="27" t="s">
        <v>176</v>
      </c>
      <c r="G1392" s="20" t="n">
        <v>5.99</v>
      </c>
      <c r="H1392" s="20" t="n">
        <v>4.67</v>
      </c>
      <c r="I1392" s="62" t="n">
        <f aca="false">IF(OR(E1392="",G1392=""),"",ROUND(E1392*G1392,2))</f>
        <v>4.67</v>
      </c>
      <c r="J1392" s="25" t="str">
        <f aca="false">IF(OR(H1392="",I1392=""),"",IF(ABS(H1392-I1392)&lt;=0.02,"OK","≠"))</f>
        <v>OK</v>
      </c>
      <c r="K1392" s="16"/>
    </row>
    <row r="1393" customFormat="false" ht="15" hidden="false" customHeight="false" outlineLevel="0" collapsed="false">
      <c r="B1393" s="46" t="s">
        <v>1017</v>
      </c>
      <c r="C1393" s="16" t="s">
        <v>1018</v>
      </c>
      <c r="D1393" s="16" t="s">
        <v>12</v>
      </c>
      <c r="E1393" s="64" t="n">
        <v>1</v>
      </c>
      <c r="F1393" s="25" t="s">
        <v>179</v>
      </c>
      <c r="G1393" s="17" t="n">
        <v>18.5</v>
      </c>
      <c r="H1393" s="17" t="n">
        <v>18.5</v>
      </c>
      <c r="I1393" s="62" t="n">
        <f aca="false">IF(OR(E1393="",G1393=""),"",ROUND(E1393*G1393,2))</f>
        <v>18.5</v>
      </c>
      <c r="J1393" s="25" t="str">
        <f aca="false">IF(OR(H1393="",I1393=""),"",IF(ABS(H1393-I1393)&lt;=0.02,"OK","≠"))</f>
        <v>OK</v>
      </c>
      <c r="K1393" s="16"/>
    </row>
    <row r="1394" customFormat="false" ht="15" hidden="false" customHeight="false" outlineLevel="0" collapsed="false">
      <c r="B1394" s="66" t="s">
        <v>1019</v>
      </c>
      <c r="C1394" s="19" t="s">
        <v>1020</v>
      </c>
      <c r="D1394" s="19" t="s">
        <v>18</v>
      </c>
      <c r="E1394" s="65" t="n">
        <v>1</v>
      </c>
      <c r="F1394" s="27" t="s">
        <v>179</v>
      </c>
      <c r="G1394" s="20" t="n">
        <v>12.2</v>
      </c>
      <c r="H1394" s="20" t="n">
        <v>12.2</v>
      </c>
      <c r="I1394" s="62" t="n">
        <f aca="false">IF(OR(E1394="",G1394=""),"",ROUND(E1394*G1394,2))</f>
        <v>12.2</v>
      </c>
      <c r="J1394" s="25" t="str">
        <f aca="false">IF(OR(H1394="",I1394=""),"",IF(ABS(H1394-I1394)&lt;=0.02,"OK","≠"))</f>
        <v>OK</v>
      </c>
      <c r="K1394" s="16"/>
    </row>
    <row r="1395" customFormat="false" ht="15" hidden="false" customHeight="false" outlineLevel="0" collapsed="false">
      <c r="B1395" s="46" t="s">
        <v>891</v>
      </c>
      <c r="C1395" s="16" t="s">
        <v>892</v>
      </c>
      <c r="D1395" s="16" t="s">
        <v>15</v>
      </c>
      <c r="E1395" s="64" t="n">
        <v>1</v>
      </c>
      <c r="F1395" s="25" t="s">
        <v>179</v>
      </c>
      <c r="G1395" s="17" t="n">
        <v>5.2</v>
      </c>
      <c r="H1395" s="17" t="n">
        <v>5.2</v>
      </c>
      <c r="I1395" s="62" t="n">
        <f aca="false">IF(OR(E1395="",G1395=""),"",ROUND(E1395*G1395,2))</f>
        <v>5.2</v>
      </c>
      <c r="J1395" s="25" t="str">
        <f aca="false">IF(OR(H1395="",I1395=""),"",IF(ABS(H1395-I1395)&lt;=0.02,"OK","≠"))</f>
        <v>OK</v>
      </c>
      <c r="K1395" s="16"/>
    </row>
    <row r="1396" customFormat="false" ht="15" hidden="false" customHeight="false" outlineLevel="0" collapsed="false">
      <c r="B1396" s="66" t="s">
        <v>840</v>
      </c>
      <c r="C1396" s="19" t="s">
        <v>446</v>
      </c>
      <c r="D1396" s="19" t="s">
        <v>12</v>
      </c>
      <c r="E1396" s="65" t="n">
        <v>1</v>
      </c>
      <c r="F1396" s="27" t="s">
        <v>179</v>
      </c>
      <c r="G1396" s="20" t="n">
        <v>11.99</v>
      </c>
      <c r="H1396" s="20" t="n">
        <v>11.99</v>
      </c>
      <c r="I1396" s="62" t="n">
        <f aca="false">IF(OR(E1396="",G1396=""),"",ROUND(E1396*G1396,2))</f>
        <v>11.99</v>
      </c>
      <c r="J1396" s="25" t="str">
        <f aca="false">IF(OR(H1396="",I1396=""),"",IF(ABS(H1396-I1396)&lt;=0.02,"OK","≠"))</f>
        <v>OK</v>
      </c>
      <c r="K1396" s="16"/>
    </row>
    <row r="1397" customFormat="false" ht="15" hidden="false" customHeight="false" outlineLevel="0" collapsed="false">
      <c r="B1397" s="46" t="s">
        <v>890</v>
      </c>
      <c r="C1397" s="16" t="s">
        <v>284</v>
      </c>
      <c r="D1397" s="16" t="s">
        <v>15</v>
      </c>
      <c r="E1397" s="64" t="n">
        <v>1.474</v>
      </c>
      <c r="F1397" s="25" t="s">
        <v>176</v>
      </c>
      <c r="G1397" s="17" t="n">
        <v>6.99</v>
      </c>
      <c r="H1397" s="17" t="n">
        <v>10.3</v>
      </c>
      <c r="I1397" s="62" t="n">
        <f aca="false">IF(OR(E1397="",G1397=""),"",ROUND(E1397*G1397,2))</f>
        <v>10.3</v>
      </c>
      <c r="J1397" s="25" t="str">
        <f aca="false">IF(OR(H1397="",I1397=""),"",IF(ABS(H1397-I1397)&lt;=0.02,"OK","≠"))</f>
        <v>OK</v>
      </c>
      <c r="K1397" s="16"/>
    </row>
    <row r="1398" customFormat="false" ht="15" hidden="false" customHeight="false" outlineLevel="0" collapsed="false">
      <c r="B1398" s="66" t="s">
        <v>1021</v>
      </c>
      <c r="C1398" s="19" t="s">
        <v>419</v>
      </c>
      <c r="D1398" s="19" t="s">
        <v>19</v>
      </c>
      <c r="E1398" s="65" t="n">
        <v>1</v>
      </c>
      <c r="F1398" s="27" t="s">
        <v>179</v>
      </c>
      <c r="G1398" s="20" t="n">
        <v>3.75</v>
      </c>
      <c r="H1398" s="20" t="n">
        <v>3.75</v>
      </c>
      <c r="I1398" s="62" t="n">
        <f aca="false">IF(OR(E1398="",G1398=""),"",ROUND(E1398*G1398,2))</f>
        <v>3.75</v>
      </c>
      <c r="J1398" s="25" t="str">
        <f aca="false">IF(OR(H1398="",I1398=""),"",IF(ABS(H1398-I1398)&lt;=0.02,"OK","≠"))</f>
        <v>OK</v>
      </c>
      <c r="K1398" s="16"/>
    </row>
    <row r="1399" customFormat="false" ht="15" hidden="false" customHeight="false" outlineLevel="0" collapsed="false">
      <c r="B1399" s="1"/>
      <c r="C1399" s="1"/>
      <c r="D1399" s="1"/>
      <c r="E1399" s="1"/>
      <c r="F1399" s="1"/>
      <c r="G1399" s="1"/>
      <c r="H1399" s="1"/>
      <c r="I1399" s="1"/>
      <c r="J1399" s="1"/>
      <c r="K1399" s="1"/>
    </row>
    <row r="1400" customFormat="false" ht="15" hidden="false" customHeight="false" outlineLevel="0" collapsed="false">
      <c r="B1400" s="63" t="s">
        <v>1022</v>
      </c>
      <c r="C1400" s="63"/>
      <c r="D1400" s="63"/>
      <c r="E1400" s="63"/>
      <c r="F1400" s="63"/>
      <c r="G1400" s="63"/>
      <c r="H1400" s="63"/>
      <c r="I1400" s="63"/>
      <c r="J1400" s="63"/>
      <c r="K1400" s="63"/>
    </row>
    <row r="1401" customFormat="false" ht="15" hidden="false" customHeight="false" outlineLevel="0" collapsed="false">
      <c r="B1401" s="50" t="s">
        <v>34</v>
      </c>
      <c r="C1401" s="45" t="s">
        <v>38</v>
      </c>
      <c r="D1401" s="45"/>
      <c r="E1401" s="50" t="s">
        <v>157</v>
      </c>
      <c r="F1401" s="50"/>
      <c r="G1401" s="45" t="s">
        <v>1023</v>
      </c>
      <c r="H1401" s="45"/>
      <c r="I1401" s="45"/>
      <c r="J1401" s="45"/>
      <c r="K1401" s="45"/>
    </row>
    <row r="1402" customFormat="false" ht="15" hidden="false" customHeight="false" outlineLevel="0" collapsed="false">
      <c r="B1402" s="50" t="s">
        <v>78</v>
      </c>
      <c r="C1402" s="39" t="n">
        <v>46244</v>
      </c>
      <c r="D1402" s="39"/>
      <c r="E1402" s="50" t="s">
        <v>80</v>
      </c>
      <c r="F1402" s="50"/>
      <c r="G1402" s="45" t="s">
        <v>992</v>
      </c>
      <c r="H1402" s="45"/>
      <c r="I1402" s="45"/>
      <c r="J1402" s="45"/>
      <c r="K1402" s="45"/>
    </row>
    <row r="1403" customFormat="false" ht="15" hidden="false" customHeight="false" outlineLevel="0" collapsed="false">
      <c r="B1403" s="50" t="s">
        <v>158</v>
      </c>
      <c r="C1403" s="55" t="n">
        <v>2</v>
      </c>
      <c r="D1403" s="55"/>
      <c r="E1403" s="50" t="s">
        <v>159</v>
      </c>
      <c r="F1403" s="50"/>
      <c r="G1403" s="56" t="n">
        <v>13.28</v>
      </c>
      <c r="H1403" s="56"/>
      <c r="I1403" s="56"/>
      <c r="J1403" s="56"/>
      <c r="K1403" s="56"/>
    </row>
    <row r="1404" customFormat="false" ht="15" hidden="false" customHeight="false" outlineLevel="0" collapsed="false">
      <c r="B1404" s="50" t="s">
        <v>160</v>
      </c>
      <c r="C1404" s="55" t="n">
        <f aca="false">COUNT(H1408:H1409)</f>
        <v>2</v>
      </c>
      <c r="D1404" s="55"/>
      <c r="E1404" s="50" t="s">
        <v>161</v>
      </c>
      <c r="F1404" s="50"/>
      <c r="G1404" s="56" t="n">
        <f aca="false">ROUND(SUM(H1408:H1409),2)</f>
        <v>13.28</v>
      </c>
      <c r="H1404" s="56"/>
      <c r="I1404" s="56"/>
      <c r="J1404" s="56"/>
      <c r="K1404" s="56"/>
    </row>
    <row r="1405" customFormat="false" ht="15" hidden="false" customHeight="false" outlineLevel="0" collapsed="false">
      <c r="B1405" s="50" t="s">
        <v>162</v>
      </c>
      <c r="C1405" s="55" t="n">
        <f aca="false">ROUND(SUMPRODUCT(((F1408:F1409="KG")+(F1408:F1409="G"))*1)+SUMPRODUCT((F1408:F1409&lt;&gt;"KG")*(F1408:F1409&lt;&gt;"G")*E1408:E1409),0)</f>
        <v>2</v>
      </c>
      <c r="D1405" s="55"/>
      <c r="E1405" s="50" t="s">
        <v>163</v>
      </c>
      <c r="F1405" s="50"/>
      <c r="G1405" s="56" t="n">
        <f aca="false">IF(G1403="","",ROUND(G1403-G1404,2))</f>
        <v>0</v>
      </c>
      <c r="H1405" s="56"/>
      <c r="I1405" s="56"/>
      <c r="J1405" s="56"/>
      <c r="K1405" s="56"/>
    </row>
    <row r="1406" customFormat="false" ht="15" hidden="false" customHeight="false" outlineLevel="0" collapsed="false">
      <c r="B1406" s="50" t="s">
        <v>84</v>
      </c>
      <c r="C1406" s="57" t="str">
        <f aca="false">IF(C1404=0,"— aguardando lançamento",IF(G1403="","SEM TOTAL OFICIAL — informe o total do cupom",IF(AND(OR(C1403="",C1403=C1404,C1403=C1405),ABS(G1405)&lt;=0.05),"FECHADO — itens e valor conferem",IF(ABS(G1405)&lt;=0.05,"REVISAR — qtd. de itens não bate","REVISAR — diferença de R$ "&amp;ABS(G1405)))))</f>
        <v>FECHADO — itens e valor conferem</v>
      </c>
      <c r="D1406" s="57"/>
      <c r="E1406" s="57"/>
      <c r="F1406" s="57"/>
      <c r="G1406" s="50" t="s">
        <v>164</v>
      </c>
      <c r="H1406" s="30"/>
      <c r="I1406" s="30"/>
      <c r="J1406" s="30"/>
      <c r="K1406" s="30"/>
    </row>
    <row r="1407" customFormat="false" ht="15" hidden="false" customHeight="false" outlineLevel="0" collapsed="false">
      <c r="B1407" s="15" t="s">
        <v>165</v>
      </c>
      <c r="C1407" s="15" t="s">
        <v>52</v>
      </c>
      <c r="D1407" s="15" t="s">
        <v>9</v>
      </c>
      <c r="E1407" s="15" t="s">
        <v>166</v>
      </c>
      <c r="F1407" s="15" t="s">
        <v>167</v>
      </c>
      <c r="G1407" s="15" t="s">
        <v>168</v>
      </c>
      <c r="H1407" s="15" t="s">
        <v>10</v>
      </c>
      <c r="I1407" s="15" t="s">
        <v>169</v>
      </c>
      <c r="J1407" s="15" t="s">
        <v>170</v>
      </c>
      <c r="K1407" s="15"/>
    </row>
    <row r="1408" customFormat="false" ht="15" hidden="false" customHeight="false" outlineLevel="0" collapsed="false">
      <c r="B1408" s="46" t="s">
        <v>482</v>
      </c>
      <c r="C1408" s="16" t="s">
        <v>483</v>
      </c>
      <c r="D1408" s="16" t="s">
        <v>15</v>
      </c>
      <c r="E1408" s="64" t="n">
        <v>0.97</v>
      </c>
      <c r="F1408" s="25" t="s">
        <v>176</v>
      </c>
      <c r="G1408" s="17" t="n">
        <v>7.5</v>
      </c>
      <c r="H1408" s="17" t="n">
        <v>7.28</v>
      </c>
      <c r="I1408" s="62" t="n">
        <f aca="false">IF(OR(E1408="",G1408=""),"",ROUND(E1408*G1408,2))</f>
        <v>7.28</v>
      </c>
      <c r="J1408" s="25" t="str">
        <f aca="false">IF(OR(H1408="",I1408=""),"",IF(ABS(H1408-I1408)&lt;=0.02,"OK","≠"))</f>
        <v>OK</v>
      </c>
      <c r="K1408" s="16"/>
    </row>
    <row r="1409" customFormat="false" ht="15" hidden="false" customHeight="false" outlineLevel="0" collapsed="false">
      <c r="B1409" s="66" t="s">
        <v>592</v>
      </c>
      <c r="C1409" s="19" t="s">
        <v>593</v>
      </c>
      <c r="D1409" s="19" t="s">
        <v>15</v>
      </c>
      <c r="E1409" s="65" t="n">
        <v>1</v>
      </c>
      <c r="F1409" s="27" t="s">
        <v>179</v>
      </c>
      <c r="G1409" s="20" t="n">
        <v>6</v>
      </c>
      <c r="H1409" s="20" t="n">
        <v>6</v>
      </c>
      <c r="I1409" s="62" t="n">
        <f aca="false">IF(OR(E1409="",G1409=""),"",ROUND(E1409*G1409,2))</f>
        <v>6</v>
      </c>
      <c r="J1409" s="25" t="str">
        <f aca="false">IF(OR(H1409="",I1409=""),"",IF(ABS(H1409-I1409)&lt;=0.02,"OK","≠"))</f>
        <v>OK</v>
      </c>
      <c r="K1409" s="16"/>
    </row>
  </sheetData>
  <mergeCells count="1296">
    <mergeCell ref="B83:K83"/>
    <mergeCell ref="C84:D84"/>
    <mergeCell ref="E84:F84"/>
    <mergeCell ref="G84:K84"/>
    <mergeCell ref="C85:D85"/>
    <mergeCell ref="E85:F85"/>
    <mergeCell ref="G85:K85"/>
    <mergeCell ref="C86:D86"/>
    <mergeCell ref="E86:F86"/>
    <mergeCell ref="G86:K86"/>
    <mergeCell ref="C87:D87"/>
    <mergeCell ref="E87:F87"/>
    <mergeCell ref="G87:K87"/>
    <mergeCell ref="C88:D88"/>
    <mergeCell ref="E88:F88"/>
    <mergeCell ref="G88:K88"/>
    <mergeCell ref="C89:F89"/>
    <mergeCell ref="H89:K89"/>
    <mergeCell ref="B101:K101"/>
    <mergeCell ref="C102:D102"/>
    <mergeCell ref="E102:F102"/>
    <mergeCell ref="G102:K102"/>
    <mergeCell ref="C103:D103"/>
    <mergeCell ref="E103:F103"/>
    <mergeCell ref="G103:K103"/>
    <mergeCell ref="C104:D104"/>
    <mergeCell ref="E104:F104"/>
    <mergeCell ref="G104:K104"/>
    <mergeCell ref="C105:D105"/>
    <mergeCell ref="E105:F105"/>
    <mergeCell ref="G105:K105"/>
    <mergeCell ref="C106:D106"/>
    <mergeCell ref="E106:F106"/>
    <mergeCell ref="G106:K106"/>
    <mergeCell ref="C107:F107"/>
    <mergeCell ref="H107:K107"/>
    <mergeCell ref="B113:K113"/>
    <mergeCell ref="C114:D114"/>
    <mergeCell ref="E114:F114"/>
    <mergeCell ref="G114:K114"/>
    <mergeCell ref="C115:D115"/>
    <mergeCell ref="E115:F115"/>
    <mergeCell ref="G115:K115"/>
    <mergeCell ref="C116:D116"/>
    <mergeCell ref="E116:F116"/>
    <mergeCell ref="G116:K116"/>
    <mergeCell ref="C117:D117"/>
    <mergeCell ref="E117:F117"/>
    <mergeCell ref="G117:K117"/>
    <mergeCell ref="C118:D118"/>
    <mergeCell ref="E118:F118"/>
    <mergeCell ref="G118:K118"/>
    <mergeCell ref="C119:F119"/>
    <mergeCell ref="H119:K119"/>
    <mergeCell ref="B143:K143"/>
    <mergeCell ref="C144:D144"/>
    <mergeCell ref="E144:F144"/>
    <mergeCell ref="G144:K144"/>
    <mergeCell ref="C145:D145"/>
    <mergeCell ref="E145:F145"/>
    <mergeCell ref="G145:K145"/>
    <mergeCell ref="C146:D146"/>
    <mergeCell ref="E146:F146"/>
    <mergeCell ref="G146:K146"/>
    <mergeCell ref="C147:D147"/>
    <mergeCell ref="E147:F147"/>
    <mergeCell ref="G147:K147"/>
    <mergeCell ref="C148:D148"/>
    <mergeCell ref="E148:F148"/>
    <mergeCell ref="G148:K148"/>
    <mergeCell ref="C149:F149"/>
    <mergeCell ref="H149:K149"/>
    <mergeCell ref="B185:K185"/>
    <mergeCell ref="C186:D186"/>
    <mergeCell ref="E186:F186"/>
    <mergeCell ref="G186:K186"/>
    <mergeCell ref="C187:D187"/>
    <mergeCell ref="E187:F187"/>
    <mergeCell ref="G187:K187"/>
    <mergeCell ref="C188:D188"/>
    <mergeCell ref="E188:F188"/>
    <mergeCell ref="G188:K188"/>
    <mergeCell ref="C189:D189"/>
    <mergeCell ref="E189:F189"/>
    <mergeCell ref="G189:K189"/>
    <mergeCell ref="C190:D190"/>
    <mergeCell ref="E190:F190"/>
    <mergeCell ref="G190:K190"/>
    <mergeCell ref="C191:F191"/>
    <mergeCell ref="H191:K191"/>
    <mergeCell ref="B197:K197"/>
    <mergeCell ref="C198:D198"/>
    <mergeCell ref="E198:F198"/>
    <mergeCell ref="G198:K198"/>
    <mergeCell ref="C199:D199"/>
    <mergeCell ref="E199:F199"/>
    <mergeCell ref="G199:K199"/>
    <mergeCell ref="C200:D200"/>
    <mergeCell ref="E200:F200"/>
    <mergeCell ref="G200:K200"/>
    <mergeCell ref="C201:D201"/>
    <mergeCell ref="E201:F201"/>
    <mergeCell ref="G201:K201"/>
    <mergeCell ref="C202:D202"/>
    <mergeCell ref="E202:F202"/>
    <mergeCell ref="G202:K202"/>
    <mergeCell ref="C203:F203"/>
    <mergeCell ref="H203:K203"/>
    <mergeCell ref="B208:K208"/>
    <mergeCell ref="C209:D209"/>
    <mergeCell ref="E209:F209"/>
    <mergeCell ref="G209:K209"/>
    <mergeCell ref="C210:D210"/>
    <mergeCell ref="E210:F210"/>
    <mergeCell ref="G210:K210"/>
    <mergeCell ref="C211:D211"/>
    <mergeCell ref="E211:F211"/>
    <mergeCell ref="G211:K211"/>
    <mergeCell ref="C212:D212"/>
    <mergeCell ref="E212:F212"/>
    <mergeCell ref="G212:K212"/>
    <mergeCell ref="C213:D213"/>
    <mergeCell ref="E213:F213"/>
    <mergeCell ref="G213:K213"/>
    <mergeCell ref="C214:F214"/>
    <mergeCell ref="H214:K214"/>
    <mergeCell ref="B219:K219"/>
    <mergeCell ref="C220:D220"/>
    <mergeCell ref="E220:F220"/>
    <mergeCell ref="G220:K220"/>
    <mergeCell ref="C221:D221"/>
    <mergeCell ref="E221:F221"/>
    <mergeCell ref="G221:K221"/>
    <mergeCell ref="C222:D222"/>
    <mergeCell ref="E222:F222"/>
    <mergeCell ref="G222:K222"/>
    <mergeCell ref="C223:D223"/>
    <mergeCell ref="E223:F223"/>
    <mergeCell ref="G223:K223"/>
    <mergeCell ref="C224:D224"/>
    <mergeCell ref="E224:F224"/>
    <mergeCell ref="G224:K224"/>
    <mergeCell ref="C225:F225"/>
    <mergeCell ref="H225:K225"/>
    <mergeCell ref="B230:K230"/>
    <mergeCell ref="C231:D231"/>
    <mergeCell ref="E231:F231"/>
    <mergeCell ref="G231:K231"/>
    <mergeCell ref="C232:D232"/>
    <mergeCell ref="E232:F232"/>
    <mergeCell ref="G232:K232"/>
    <mergeCell ref="C233:D233"/>
    <mergeCell ref="E233:F233"/>
    <mergeCell ref="G233:K233"/>
    <mergeCell ref="C234:D234"/>
    <mergeCell ref="E234:F234"/>
    <mergeCell ref="G234:K234"/>
    <mergeCell ref="C235:D235"/>
    <mergeCell ref="E235:F235"/>
    <mergeCell ref="G235:K235"/>
    <mergeCell ref="C236:F236"/>
    <mergeCell ref="H236:K236"/>
    <mergeCell ref="B242:K242"/>
    <mergeCell ref="C243:D243"/>
    <mergeCell ref="E243:F243"/>
    <mergeCell ref="G243:K243"/>
    <mergeCell ref="C244:D244"/>
    <mergeCell ref="E244:F244"/>
    <mergeCell ref="G244:K244"/>
    <mergeCell ref="C245:D245"/>
    <mergeCell ref="E245:F245"/>
    <mergeCell ref="G245:K245"/>
    <mergeCell ref="C246:D246"/>
    <mergeCell ref="E246:F246"/>
    <mergeCell ref="G246:K246"/>
    <mergeCell ref="C247:D247"/>
    <mergeCell ref="E247:F247"/>
    <mergeCell ref="G247:K247"/>
    <mergeCell ref="C248:F248"/>
    <mergeCell ref="H248:K248"/>
    <mergeCell ref="B254:K254"/>
    <mergeCell ref="C255:D255"/>
    <mergeCell ref="E255:F255"/>
    <mergeCell ref="G255:K255"/>
    <mergeCell ref="C256:D256"/>
    <mergeCell ref="E256:F256"/>
    <mergeCell ref="G256:K256"/>
    <mergeCell ref="C257:D257"/>
    <mergeCell ref="E257:F257"/>
    <mergeCell ref="G257:K257"/>
    <mergeCell ref="C258:D258"/>
    <mergeCell ref="E258:F258"/>
    <mergeCell ref="G258:K258"/>
    <mergeCell ref="C259:D259"/>
    <mergeCell ref="E259:F259"/>
    <mergeCell ref="G259:K259"/>
    <mergeCell ref="C260:F260"/>
    <mergeCell ref="H260:K260"/>
    <mergeCell ref="B266:K266"/>
    <mergeCell ref="C267:D267"/>
    <mergeCell ref="E267:F267"/>
    <mergeCell ref="G267:K267"/>
    <mergeCell ref="C268:D268"/>
    <mergeCell ref="E268:F268"/>
    <mergeCell ref="G268:K268"/>
    <mergeCell ref="C269:D269"/>
    <mergeCell ref="E269:F269"/>
    <mergeCell ref="G269:K269"/>
    <mergeCell ref="C270:D270"/>
    <mergeCell ref="E270:F270"/>
    <mergeCell ref="G270:K270"/>
    <mergeCell ref="C271:D271"/>
    <mergeCell ref="E271:F271"/>
    <mergeCell ref="G271:K271"/>
    <mergeCell ref="C272:F272"/>
    <mergeCell ref="H272:K272"/>
    <mergeCell ref="B277:K277"/>
    <mergeCell ref="C278:D278"/>
    <mergeCell ref="E278:F278"/>
    <mergeCell ref="G278:K278"/>
    <mergeCell ref="C279:D279"/>
    <mergeCell ref="E279:F279"/>
    <mergeCell ref="G279:K279"/>
    <mergeCell ref="C280:D280"/>
    <mergeCell ref="E280:F280"/>
    <mergeCell ref="G280:K280"/>
    <mergeCell ref="C281:D281"/>
    <mergeCell ref="E281:F281"/>
    <mergeCell ref="G281:K281"/>
    <mergeCell ref="C282:D282"/>
    <mergeCell ref="E282:F282"/>
    <mergeCell ref="G282:K282"/>
    <mergeCell ref="C283:F283"/>
    <mergeCell ref="H283:K283"/>
    <mergeCell ref="B290:K290"/>
    <mergeCell ref="C291:D291"/>
    <mergeCell ref="E291:F291"/>
    <mergeCell ref="G291:K291"/>
    <mergeCell ref="C292:D292"/>
    <mergeCell ref="E292:F292"/>
    <mergeCell ref="G292:K292"/>
    <mergeCell ref="C293:D293"/>
    <mergeCell ref="E293:F293"/>
    <mergeCell ref="G293:K293"/>
    <mergeCell ref="C294:D294"/>
    <mergeCell ref="E294:F294"/>
    <mergeCell ref="G294:K294"/>
    <mergeCell ref="C295:D295"/>
    <mergeCell ref="E295:F295"/>
    <mergeCell ref="G295:K295"/>
    <mergeCell ref="C296:F296"/>
    <mergeCell ref="H296:K296"/>
    <mergeCell ref="B349:K349"/>
    <mergeCell ref="C350:D350"/>
    <mergeCell ref="E350:F350"/>
    <mergeCell ref="G350:K350"/>
    <mergeCell ref="C351:D351"/>
    <mergeCell ref="E351:F351"/>
    <mergeCell ref="G351:K351"/>
    <mergeCell ref="C352:D352"/>
    <mergeCell ref="E352:F352"/>
    <mergeCell ref="G352:K352"/>
    <mergeCell ref="C353:D353"/>
    <mergeCell ref="E353:F353"/>
    <mergeCell ref="G353:K353"/>
    <mergeCell ref="C354:D354"/>
    <mergeCell ref="E354:F354"/>
    <mergeCell ref="G354:K354"/>
    <mergeCell ref="C355:F355"/>
    <mergeCell ref="H355:K355"/>
    <mergeCell ref="B363:K363"/>
    <mergeCell ref="C364:D364"/>
    <mergeCell ref="E364:F364"/>
    <mergeCell ref="G364:K364"/>
    <mergeCell ref="C365:D365"/>
    <mergeCell ref="E365:F365"/>
    <mergeCell ref="G365:K365"/>
    <mergeCell ref="C366:D366"/>
    <mergeCell ref="E366:F366"/>
    <mergeCell ref="G366:K366"/>
    <mergeCell ref="C367:D367"/>
    <mergeCell ref="E367:F367"/>
    <mergeCell ref="G367:K367"/>
    <mergeCell ref="C368:D368"/>
    <mergeCell ref="E368:F368"/>
    <mergeCell ref="G368:K368"/>
    <mergeCell ref="C369:F369"/>
    <mergeCell ref="H369:K369"/>
    <mergeCell ref="B381:K381"/>
    <mergeCell ref="C382:D382"/>
    <mergeCell ref="E382:F382"/>
    <mergeCell ref="G382:K382"/>
    <mergeCell ref="C383:D383"/>
    <mergeCell ref="E383:F383"/>
    <mergeCell ref="G383:K383"/>
    <mergeCell ref="C384:D384"/>
    <mergeCell ref="E384:F384"/>
    <mergeCell ref="G384:K384"/>
    <mergeCell ref="C385:D385"/>
    <mergeCell ref="E385:F385"/>
    <mergeCell ref="G385:K385"/>
    <mergeCell ref="C386:D386"/>
    <mergeCell ref="E386:F386"/>
    <mergeCell ref="G386:K386"/>
    <mergeCell ref="C387:F387"/>
    <mergeCell ref="H387:K387"/>
    <mergeCell ref="B392:K392"/>
    <mergeCell ref="C393:D393"/>
    <mergeCell ref="E393:F393"/>
    <mergeCell ref="G393:K393"/>
    <mergeCell ref="C394:D394"/>
    <mergeCell ref="E394:F394"/>
    <mergeCell ref="G394:K394"/>
    <mergeCell ref="C395:D395"/>
    <mergeCell ref="E395:F395"/>
    <mergeCell ref="G395:K395"/>
    <mergeCell ref="C396:D396"/>
    <mergeCell ref="E396:F396"/>
    <mergeCell ref="G396:K396"/>
    <mergeCell ref="C397:D397"/>
    <mergeCell ref="E397:F397"/>
    <mergeCell ref="G397:K397"/>
    <mergeCell ref="C398:F398"/>
    <mergeCell ref="H398:K398"/>
    <mergeCell ref="B405:K405"/>
    <mergeCell ref="C406:D406"/>
    <mergeCell ref="E406:F406"/>
    <mergeCell ref="G406:K406"/>
    <mergeCell ref="C407:D407"/>
    <mergeCell ref="E407:F407"/>
    <mergeCell ref="G407:K407"/>
    <mergeCell ref="C408:D408"/>
    <mergeCell ref="E408:F408"/>
    <mergeCell ref="G408:K408"/>
    <mergeCell ref="C409:D409"/>
    <mergeCell ref="E409:F409"/>
    <mergeCell ref="G409:K409"/>
    <mergeCell ref="C410:D410"/>
    <mergeCell ref="E410:F410"/>
    <mergeCell ref="G410:K410"/>
    <mergeCell ref="C411:F411"/>
    <mergeCell ref="H411:K411"/>
    <mergeCell ref="B419:K419"/>
    <mergeCell ref="C420:D420"/>
    <mergeCell ref="E420:F420"/>
    <mergeCell ref="G420:K420"/>
    <mergeCell ref="C421:D421"/>
    <mergeCell ref="E421:F421"/>
    <mergeCell ref="G421:K421"/>
    <mergeCell ref="C422:D422"/>
    <mergeCell ref="E422:F422"/>
    <mergeCell ref="G422:K422"/>
    <mergeCell ref="C423:D423"/>
    <mergeCell ref="E423:F423"/>
    <mergeCell ref="G423:K423"/>
    <mergeCell ref="C424:D424"/>
    <mergeCell ref="E424:F424"/>
    <mergeCell ref="G424:K424"/>
    <mergeCell ref="C425:F425"/>
    <mergeCell ref="H425:K425"/>
    <mergeCell ref="B433:K433"/>
    <mergeCell ref="C434:D434"/>
    <mergeCell ref="E434:F434"/>
    <mergeCell ref="G434:K434"/>
    <mergeCell ref="C435:D435"/>
    <mergeCell ref="E435:F435"/>
    <mergeCell ref="G435:K435"/>
    <mergeCell ref="C436:D436"/>
    <mergeCell ref="E436:F436"/>
    <mergeCell ref="G436:K436"/>
    <mergeCell ref="C437:D437"/>
    <mergeCell ref="E437:F437"/>
    <mergeCell ref="G437:K437"/>
    <mergeCell ref="C438:D438"/>
    <mergeCell ref="E438:F438"/>
    <mergeCell ref="G438:K438"/>
    <mergeCell ref="C439:F439"/>
    <mergeCell ref="H439:K439"/>
    <mergeCell ref="B443:K443"/>
    <mergeCell ref="C444:D444"/>
    <mergeCell ref="E444:F444"/>
    <mergeCell ref="G444:K444"/>
    <mergeCell ref="C445:D445"/>
    <mergeCell ref="E445:F445"/>
    <mergeCell ref="G445:K445"/>
    <mergeCell ref="C446:D446"/>
    <mergeCell ref="E446:F446"/>
    <mergeCell ref="G446:K446"/>
    <mergeCell ref="C447:D447"/>
    <mergeCell ref="E447:F447"/>
    <mergeCell ref="G447:K447"/>
    <mergeCell ref="C448:D448"/>
    <mergeCell ref="E448:F448"/>
    <mergeCell ref="G448:K448"/>
    <mergeCell ref="C449:F449"/>
    <mergeCell ref="H449:K449"/>
    <mergeCell ref="B454:K454"/>
    <mergeCell ref="C455:D455"/>
    <mergeCell ref="E455:F455"/>
    <mergeCell ref="G455:K455"/>
    <mergeCell ref="C456:D456"/>
    <mergeCell ref="E456:F456"/>
    <mergeCell ref="G456:K456"/>
    <mergeCell ref="C457:D457"/>
    <mergeCell ref="E457:F457"/>
    <mergeCell ref="G457:K457"/>
    <mergeCell ref="C458:D458"/>
    <mergeCell ref="E458:F458"/>
    <mergeCell ref="G458:K458"/>
    <mergeCell ref="C459:D459"/>
    <mergeCell ref="E459:F459"/>
    <mergeCell ref="G459:K459"/>
    <mergeCell ref="C460:F460"/>
    <mergeCell ref="H460:K460"/>
    <mergeCell ref="B466:K466"/>
    <mergeCell ref="C467:D467"/>
    <mergeCell ref="E467:F467"/>
    <mergeCell ref="G467:K467"/>
    <mergeCell ref="C468:D468"/>
    <mergeCell ref="E468:F468"/>
    <mergeCell ref="G468:K468"/>
    <mergeCell ref="C469:D469"/>
    <mergeCell ref="E469:F469"/>
    <mergeCell ref="G469:K469"/>
    <mergeCell ref="C470:D470"/>
    <mergeCell ref="E470:F470"/>
    <mergeCell ref="G470:K470"/>
    <mergeCell ref="C471:D471"/>
    <mergeCell ref="E471:F471"/>
    <mergeCell ref="G471:K471"/>
    <mergeCell ref="C472:F472"/>
    <mergeCell ref="H472:K472"/>
    <mergeCell ref="B478:K478"/>
    <mergeCell ref="C479:D479"/>
    <mergeCell ref="E479:F479"/>
    <mergeCell ref="G479:K479"/>
    <mergeCell ref="C480:D480"/>
    <mergeCell ref="E480:F480"/>
    <mergeCell ref="G480:K480"/>
    <mergeCell ref="C481:D481"/>
    <mergeCell ref="E481:F481"/>
    <mergeCell ref="G481:K481"/>
    <mergeCell ref="C482:D482"/>
    <mergeCell ref="E482:F482"/>
    <mergeCell ref="G482:K482"/>
    <mergeCell ref="C483:D483"/>
    <mergeCell ref="E483:F483"/>
    <mergeCell ref="G483:K483"/>
    <mergeCell ref="C484:F484"/>
    <mergeCell ref="H484:K484"/>
    <mergeCell ref="B488:K488"/>
    <mergeCell ref="C489:D489"/>
    <mergeCell ref="E489:F489"/>
    <mergeCell ref="G489:K489"/>
    <mergeCell ref="C490:D490"/>
    <mergeCell ref="E490:F490"/>
    <mergeCell ref="G490:K490"/>
    <mergeCell ref="C491:D491"/>
    <mergeCell ref="E491:F491"/>
    <mergeCell ref="G491:K491"/>
    <mergeCell ref="C492:D492"/>
    <mergeCell ref="E492:F492"/>
    <mergeCell ref="G492:K492"/>
    <mergeCell ref="C493:D493"/>
    <mergeCell ref="E493:F493"/>
    <mergeCell ref="G493:K493"/>
    <mergeCell ref="C494:F494"/>
    <mergeCell ref="H494:K494"/>
    <mergeCell ref="B509:K509"/>
    <mergeCell ref="C510:D510"/>
    <mergeCell ref="E510:F510"/>
    <mergeCell ref="G510:K510"/>
    <mergeCell ref="C511:D511"/>
    <mergeCell ref="E511:F511"/>
    <mergeCell ref="G511:K511"/>
    <mergeCell ref="C512:D512"/>
    <mergeCell ref="E512:F512"/>
    <mergeCell ref="G512:K512"/>
    <mergeCell ref="C513:D513"/>
    <mergeCell ref="E513:F513"/>
    <mergeCell ref="G513:K513"/>
    <mergeCell ref="C514:D514"/>
    <mergeCell ref="E514:F514"/>
    <mergeCell ref="G514:K514"/>
    <mergeCell ref="C515:F515"/>
    <mergeCell ref="H515:K515"/>
    <mergeCell ref="B562:K562"/>
    <mergeCell ref="C563:D563"/>
    <mergeCell ref="E563:F563"/>
    <mergeCell ref="G563:K563"/>
    <mergeCell ref="C564:D564"/>
    <mergeCell ref="E564:F564"/>
    <mergeCell ref="G564:K564"/>
    <mergeCell ref="C565:D565"/>
    <mergeCell ref="E565:F565"/>
    <mergeCell ref="G565:K565"/>
    <mergeCell ref="C566:D566"/>
    <mergeCell ref="E566:F566"/>
    <mergeCell ref="G566:K566"/>
    <mergeCell ref="C567:D567"/>
    <mergeCell ref="E567:F567"/>
    <mergeCell ref="G567:K567"/>
    <mergeCell ref="C568:F568"/>
    <mergeCell ref="H568:K568"/>
    <mergeCell ref="B575:K575"/>
    <mergeCell ref="C576:D576"/>
    <mergeCell ref="E576:F576"/>
    <mergeCell ref="G576:K576"/>
    <mergeCell ref="C577:D577"/>
    <mergeCell ref="E577:F577"/>
    <mergeCell ref="G577:K577"/>
    <mergeCell ref="C578:D578"/>
    <mergeCell ref="E578:F578"/>
    <mergeCell ref="G578:K578"/>
    <mergeCell ref="C579:D579"/>
    <mergeCell ref="E579:F579"/>
    <mergeCell ref="G579:K579"/>
    <mergeCell ref="C580:D580"/>
    <mergeCell ref="E580:F580"/>
    <mergeCell ref="G580:K580"/>
    <mergeCell ref="C581:F581"/>
    <mergeCell ref="H581:K581"/>
    <mergeCell ref="B597:K597"/>
    <mergeCell ref="C598:D598"/>
    <mergeCell ref="E598:F598"/>
    <mergeCell ref="G598:K598"/>
    <mergeCell ref="C599:D599"/>
    <mergeCell ref="E599:F599"/>
    <mergeCell ref="G599:K599"/>
    <mergeCell ref="C600:D600"/>
    <mergeCell ref="E600:F600"/>
    <mergeCell ref="G600:K600"/>
    <mergeCell ref="C601:D601"/>
    <mergeCell ref="E601:F601"/>
    <mergeCell ref="G601:K601"/>
    <mergeCell ref="C602:D602"/>
    <mergeCell ref="E602:F602"/>
    <mergeCell ref="G602:K602"/>
    <mergeCell ref="C603:F603"/>
    <mergeCell ref="H603:K603"/>
    <mergeCell ref="B653:K653"/>
    <mergeCell ref="C654:D654"/>
    <mergeCell ref="E654:F654"/>
    <mergeCell ref="G654:K654"/>
    <mergeCell ref="C655:D655"/>
    <mergeCell ref="E655:F655"/>
    <mergeCell ref="G655:K655"/>
    <mergeCell ref="C656:D656"/>
    <mergeCell ref="E656:F656"/>
    <mergeCell ref="G656:K656"/>
    <mergeCell ref="C657:D657"/>
    <mergeCell ref="E657:F657"/>
    <mergeCell ref="G657:K657"/>
    <mergeCell ref="C658:D658"/>
    <mergeCell ref="E658:F658"/>
    <mergeCell ref="G658:K658"/>
    <mergeCell ref="C659:F659"/>
    <mergeCell ref="H659:K659"/>
    <mergeCell ref="B667:K667"/>
    <mergeCell ref="C668:D668"/>
    <mergeCell ref="E668:F668"/>
    <mergeCell ref="G668:K668"/>
    <mergeCell ref="C669:D669"/>
    <mergeCell ref="E669:F669"/>
    <mergeCell ref="G669:K669"/>
    <mergeCell ref="C670:D670"/>
    <mergeCell ref="E670:F670"/>
    <mergeCell ref="G670:K670"/>
    <mergeCell ref="C671:D671"/>
    <mergeCell ref="E671:F671"/>
    <mergeCell ref="G671:K671"/>
    <mergeCell ref="C672:D672"/>
    <mergeCell ref="E672:F672"/>
    <mergeCell ref="G672:K672"/>
    <mergeCell ref="C673:F673"/>
    <mergeCell ref="H673:K673"/>
    <mergeCell ref="B692:K692"/>
    <mergeCell ref="C693:D693"/>
    <mergeCell ref="E693:F693"/>
    <mergeCell ref="G693:K693"/>
    <mergeCell ref="C694:D694"/>
    <mergeCell ref="E694:F694"/>
    <mergeCell ref="G694:K694"/>
    <mergeCell ref="C695:D695"/>
    <mergeCell ref="E695:F695"/>
    <mergeCell ref="G695:K695"/>
    <mergeCell ref="C696:D696"/>
    <mergeCell ref="E696:F696"/>
    <mergeCell ref="G696:K696"/>
    <mergeCell ref="C697:D697"/>
    <mergeCell ref="E697:F697"/>
    <mergeCell ref="G697:K697"/>
    <mergeCell ref="C698:F698"/>
    <mergeCell ref="H698:K698"/>
    <mergeCell ref="B703:K703"/>
    <mergeCell ref="C704:D704"/>
    <mergeCell ref="E704:F704"/>
    <mergeCell ref="G704:K704"/>
    <mergeCell ref="C705:D705"/>
    <mergeCell ref="E705:F705"/>
    <mergeCell ref="G705:K705"/>
    <mergeCell ref="C706:D706"/>
    <mergeCell ref="E706:F706"/>
    <mergeCell ref="G706:K706"/>
    <mergeCell ref="C707:D707"/>
    <mergeCell ref="E707:F707"/>
    <mergeCell ref="G707:K707"/>
    <mergeCell ref="C708:D708"/>
    <mergeCell ref="E708:F708"/>
    <mergeCell ref="G708:K708"/>
    <mergeCell ref="C709:F709"/>
    <mergeCell ref="H709:K709"/>
    <mergeCell ref="B714:K714"/>
    <mergeCell ref="C715:D715"/>
    <mergeCell ref="E715:F715"/>
    <mergeCell ref="G715:K715"/>
    <mergeCell ref="C716:D716"/>
    <mergeCell ref="E716:F716"/>
    <mergeCell ref="G716:K716"/>
    <mergeCell ref="C717:D717"/>
    <mergeCell ref="E717:F717"/>
    <mergeCell ref="G717:K717"/>
    <mergeCell ref="C718:D718"/>
    <mergeCell ref="E718:F718"/>
    <mergeCell ref="G718:K718"/>
    <mergeCell ref="C719:D719"/>
    <mergeCell ref="E719:F719"/>
    <mergeCell ref="G719:K719"/>
    <mergeCell ref="C720:F720"/>
    <mergeCell ref="H720:K720"/>
    <mergeCell ref="B786:K786"/>
    <mergeCell ref="C787:D787"/>
    <mergeCell ref="E787:F787"/>
    <mergeCell ref="G787:K787"/>
    <mergeCell ref="C788:D788"/>
    <mergeCell ref="E788:F788"/>
    <mergeCell ref="G788:K788"/>
    <mergeCell ref="C789:D789"/>
    <mergeCell ref="E789:F789"/>
    <mergeCell ref="G789:K789"/>
    <mergeCell ref="C790:D790"/>
    <mergeCell ref="E790:F790"/>
    <mergeCell ref="G790:K790"/>
    <mergeCell ref="C791:D791"/>
    <mergeCell ref="E791:F791"/>
    <mergeCell ref="G791:K791"/>
    <mergeCell ref="C792:F792"/>
    <mergeCell ref="H792:K792"/>
    <mergeCell ref="B814:K814"/>
    <mergeCell ref="C815:D815"/>
    <mergeCell ref="E815:F815"/>
    <mergeCell ref="G815:K815"/>
    <mergeCell ref="C816:D816"/>
    <mergeCell ref="E816:F816"/>
    <mergeCell ref="G816:K816"/>
    <mergeCell ref="C817:D817"/>
    <mergeCell ref="E817:F817"/>
    <mergeCell ref="G817:K817"/>
    <mergeCell ref="C818:D818"/>
    <mergeCell ref="E818:F818"/>
    <mergeCell ref="G818:K818"/>
    <mergeCell ref="C819:D819"/>
    <mergeCell ref="E819:F819"/>
    <mergeCell ref="G819:K819"/>
    <mergeCell ref="C820:F820"/>
    <mergeCell ref="H820:K820"/>
    <mergeCell ref="B825:K825"/>
    <mergeCell ref="C826:D826"/>
    <mergeCell ref="E826:F826"/>
    <mergeCell ref="G826:K826"/>
    <mergeCell ref="C827:D827"/>
    <mergeCell ref="E827:F827"/>
    <mergeCell ref="G827:K827"/>
    <mergeCell ref="C828:D828"/>
    <mergeCell ref="E828:F828"/>
    <mergeCell ref="G828:K828"/>
    <mergeCell ref="C829:D829"/>
    <mergeCell ref="E829:F829"/>
    <mergeCell ref="G829:K829"/>
    <mergeCell ref="C830:D830"/>
    <mergeCell ref="E830:F830"/>
    <mergeCell ref="G830:K830"/>
    <mergeCell ref="C831:F831"/>
    <mergeCell ref="H831:K831"/>
    <mergeCell ref="B838:K838"/>
    <mergeCell ref="C839:D839"/>
    <mergeCell ref="E839:F839"/>
    <mergeCell ref="G839:K839"/>
    <mergeCell ref="C840:D840"/>
    <mergeCell ref="E840:F840"/>
    <mergeCell ref="G840:K840"/>
    <mergeCell ref="C841:D841"/>
    <mergeCell ref="E841:F841"/>
    <mergeCell ref="G841:K841"/>
    <mergeCell ref="C842:D842"/>
    <mergeCell ref="E842:F842"/>
    <mergeCell ref="G842:K842"/>
    <mergeCell ref="C843:D843"/>
    <mergeCell ref="E843:F843"/>
    <mergeCell ref="G843:K843"/>
    <mergeCell ref="C844:F844"/>
    <mergeCell ref="H844:K844"/>
    <mergeCell ref="B855:K855"/>
    <mergeCell ref="C856:D856"/>
    <mergeCell ref="E856:F856"/>
    <mergeCell ref="G856:K856"/>
    <mergeCell ref="C857:D857"/>
    <mergeCell ref="E857:F857"/>
    <mergeCell ref="G857:K857"/>
    <mergeCell ref="C858:D858"/>
    <mergeCell ref="E858:F858"/>
    <mergeCell ref="G858:K858"/>
    <mergeCell ref="C859:D859"/>
    <mergeCell ref="E859:F859"/>
    <mergeCell ref="G859:K859"/>
    <mergeCell ref="C860:D860"/>
    <mergeCell ref="E860:F860"/>
    <mergeCell ref="G860:K860"/>
    <mergeCell ref="C861:F861"/>
    <mergeCell ref="H861:K861"/>
    <mergeCell ref="B867:K867"/>
    <mergeCell ref="C868:D868"/>
    <mergeCell ref="E868:F868"/>
    <mergeCell ref="G868:K868"/>
    <mergeCell ref="C869:D869"/>
    <mergeCell ref="E869:F869"/>
    <mergeCell ref="G869:K869"/>
    <mergeCell ref="C870:D870"/>
    <mergeCell ref="E870:F870"/>
    <mergeCell ref="G870:K870"/>
    <mergeCell ref="C871:D871"/>
    <mergeCell ref="E871:F871"/>
    <mergeCell ref="G871:K871"/>
    <mergeCell ref="C872:D872"/>
    <mergeCell ref="E872:F872"/>
    <mergeCell ref="G872:K872"/>
    <mergeCell ref="C873:F873"/>
    <mergeCell ref="H873:K873"/>
    <mergeCell ref="B882:K882"/>
    <mergeCell ref="C883:D883"/>
    <mergeCell ref="E883:F883"/>
    <mergeCell ref="G883:K883"/>
    <mergeCell ref="C884:D884"/>
    <mergeCell ref="E884:F884"/>
    <mergeCell ref="G884:K884"/>
    <mergeCell ref="C885:D885"/>
    <mergeCell ref="E885:F885"/>
    <mergeCell ref="G885:K885"/>
    <mergeCell ref="C886:D886"/>
    <mergeCell ref="E886:F886"/>
    <mergeCell ref="G886:K886"/>
    <mergeCell ref="C887:D887"/>
    <mergeCell ref="E887:F887"/>
    <mergeCell ref="G887:K887"/>
    <mergeCell ref="C888:F888"/>
    <mergeCell ref="H888:K888"/>
    <mergeCell ref="B895:K895"/>
    <mergeCell ref="C896:D896"/>
    <mergeCell ref="E896:F896"/>
    <mergeCell ref="G896:K896"/>
    <mergeCell ref="C897:D897"/>
    <mergeCell ref="E897:F897"/>
    <mergeCell ref="G897:K897"/>
    <mergeCell ref="C898:D898"/>
    <mergeCell ref="E898:F898"/>
    <mergeCell ref="G898:K898"/>
    <mergeCell ref="C899:D899"/>
    <mergeCell ref="E899:F899"/>
    <mergeCell ref="G899:K899"/>
    <mergeCell ref="C900:D900"/>
    <mergeCell ref="E900:F900"/>
    <mergeCell ref="G900:K900"/>
    <mergeCell ref="C901:F901"/>
    <mergeCell ref="H901:K901"/>
    <mergeCell ref="B978:K978"/>
    <mergeCell ref="C979:D979"/>
    <mergeCell ref="E979:F979"/>
    <mergeCell ref="G979:K979"/>
    <mergeCell ref="C980:D980"/>
    <mergeCell ref="E980:F980"/>
    <mergeCell ref="G980:K980"/>
    <mergeCell ref="C981:D981"/>
    <mergeCell ref="E981:F981"/>
    <mergeCell ref="G981:K981"/>
    <mergeCell ref="C982:D982"/>
    <mergeCell ref="E982:F982"/>
    <mergeCell ref="G982:K982"/>
    <mergeCell ref="C983:D983"/>
    <mergeCell ref="E983:F983"/>
    <mergeCell ref="G983:K983"/>
    <mergeCell ref="C984:F984"/>
    <mergeCell ref="H984:K984"/>
    <mergeCell ref="B990:K990"/>
    <mergeCell ref="C991:D991"/>
    <mergeCell ref="E991:F991"/>
    <mergeCell ref="G991:K991"/>
    <mergeCell ref="C992:D992"/>
    <mergeCell ref="E992:F992"/>
    <mergeCell ref="G992:K992"/>
    <mergeCell ref="C993:D993"/>
    <mergeCell ref="E993:F993"/>
    <mergeCell ref="G993:K993"/>
    <mergeCell ref="C994:D994"/>
    <mergeCell ref="E994:F994"/>
    <mergeCell ref="G994:K994"/>
    <mergeCell ref="C995:D995"/>
    <mergeCell ref="E995:F995"/>
    <mergeCell ref="G995:K995"/>
    <mergeCell ref="C996:F996"/>
    <mergeCell ref="H996:K996"/>
    <mergeCell ref="B1006:K1006"/>
    <mergeCell ref="C1007:D1007"/>
    <mergeCell ref="E1007:F1007"/>
    <mergeCell ref="G1007:K1007"/>
    <mergeCell ref="C1008:D1008"/>
    <mergeCell ref="E1008:F1008"/>
    <mergeCell ref="G1008:K1008"/>
    <mergeCell ref="C1009:D1009"/>
    <mergeCell ref="E1009:F1009"/>
    <mergeCell ref="G1009:K1009"/>
    <mergeCell ref="C1010:D1010"/>
    <mergeCell ref="E1010:F1010"/>
    <mergeCell ref="G1010:K1010"/>
    <mergeCell ref="C1011:D1011"/>
    <mergeCell ref="E1011:F1011"/>
    <mergeCell ref="G1011:K1011"/>
    <mergeCell ref="C1012:F1012"/>
    <mergeCell ref="H1012:K1012"/>
    <mergeCell ref="B1017:K1017"/>
    <mergeCell ref="C1018:D1018"/>
    <mergeCell ref="E1018:F1018"/>
    <mergeCell ref="G1018:K1018"/>
    <mergeCell ref="C1019:D1019"/>
    <mergeCell ref="E1019:F1019"/>
    <mergeCell ref="G1019:K1019"/>
    <mergeCell ref="C1020:D1020"/>
    <mergeCell ref="E1020:F1020"/>
    <mergeCell ref="G1020:K1020"/>
    <mergeCell ref="C1021:D1021"/>
    <mergeCell ref="E1021:F1021"/>
    <mergeCell ref="G1021:K1021"/>
    <mergeCell ref="C1022:D1022"/>
    <mergeCell ref="E1022:F1022"/>
    <mergeCell ref="G1022:K1022"/>
    <mergeCell ref="C1023:F1023"/>
    <mergeCell ref="H1023:K1023"/>
    <mergeCell ref="B1029:K1029"/>
    <mergeCell ref="C1030:D1030"/>
    <mergeCell ref="E1030:F1030"/>
    <mergeCell ref="G1030:K1030"/>
    <mergeCell ref="C1031:D1031"/>
    <mergeCell ref="E1031:F1031"/>
    <mergeCell ref="G1031:K1031"/>
    <mergeCell ref="C1032:D1032"/>
    <mergeCell ref="E1032:F1032"/>
    <mergeCell ref="G1032:K1032"/>
    <mergeCell ref="C1033:D1033"/>
    <mergeCell ref="E1033:F1033"/>
    <mergeCell ref="G1033:K1033"/>
    <mergeCell ref="C1034:D1034"/>
    <mergeCell ref="E1034:F1034"/>
    <mergeCell ref="G1034:K1034"/>
    <mergeCell ref="C1035:F1035"/>
    <mergeCell ref="H1035:K1035"/>
    <mergeCell ref="B1058:K1058"/>
    <mergeCell ref="C1059:D1059"/>
    <mergeCell ref="E1059:F1059"/>
    <mergeCell ref="G1059:K1059"/>
    <mergeCell ref="C1060:D1060"/>
    <mergeCell ref="E1060:F1060"/>
    <mergeCell ref="G1060:K1060"/>
    <mergeCell ref="C1061:D1061"/>
    <mergeCell ref="E1061:F1061"/>
    <mergeCell ref="G1061:K1061"/>
    <mergeCell ref="C1062:D1062"/>
    <mergeCell ref="E1062:F1062"/>
    <mergeCell ref="G1062:K1062"/>
    <mergeCell ref="C1063:D1063"/>
    <mergeCell ref="E1063:F1063"/>
    <mergeCell ref="G1063:K1063"/>
    <mergeCell ref="C1064:F1064"/>
    <mergeCell ref="H1064:K1064"/>
    <mergeCell ref="B1091:K1091"/>
    <mergeCell ref="C1092:D1092"/>
    <mergeCell ref="E1092:F1092"/>
    <mergeCell ref="G1092:K1092"/>
    <mergeCell ref="C1093:D1093"/>
    <mergeCell ref="E1093:F1093"/>
    <mergeCell ref="G1093:K1093"/>
    <mergeCell ref="C1094:D1094"/>
    <mergeCell ref="E1094:F1094"/>
    <mergeCell ref="G1094:K1094"/>
    <mergeCell ref="C1095:D1095"/>
    <mergeCell ref="E1095:F1095"/>
    <mergeCell ref="G1095:K1095"/>
    <mergeCell ref="C1096:D1096"/>
    <mergeCell ref="E1096:F1096"/>
    <mergeCell ref="G1096:K1096"/>
    <mergeCell ref="C1097:F1097"/>
    <mergeCell ref="H1097:K1097"/>
    <mergeCell ref="B1113:K1113"/>
    <mergeCell ref="C1114:D1114"/>
    <mergeCell ref="E1114:F1114"/>
    <mergeCell ref="G1114:K1114"/>
    <mergeCell ref="C1115:D1115"/>
    <mergeCell ref="E1115:F1115"/>
    <mergeCell ref="G1115:K1115"/>
    <mergeCell ref="C1116:D1116"/>
    <mergeCell ref="E1116:F1116"/>
    <mergeCell ref="G1116:K1116"/>
    <mergeCell ref="C1117:D1117"/>
    <mergeCell ref="E1117:F1117"/>
    <mergeCell ref="G1117:K1117"/>
    <mergeCell ref="C1118:D1118"/>
    <mergeCell ref="E1118:F1118"/>
    <mergeCell ref="G1118:K1118"/>
    <mergeCell ref="C1119:F1119"/>
    <mergeCell ref="H1119:K1119"/>
    <mergeCell ref="B1125:K1125"/>
    <mergeCell ref="C1126:D1126"/>
    <mergeCell ref="E1126:F1126"/>
    <mergeCell ref="G1126:K1126"/>
    <mergeCell ref="C1127:D1127"/>
    <mergeCell ref="E1127:F1127"/>
    <mergeCell ref="G1127:K1127"/>
    <mergeCell ref="C1128:D1128"/>
    <mergeCell ref="E1128:F1128"/>
    <mergeCell ref="G1128:K1128"/>
    <mergeCell ref="C1129:D1129"/>
    <mergeCell ref="E1129:F1129"/>
    <mergeCell ref="G1129:K1129"/>
    <mergeCell ref="C1130:D1130"/>
    <mergeCell ref="E1130:F1130"/>
    <mergeCell ref="G1130:K1130"/>
    <mergeCell ref="C1131:F1131"/>
    <mergeCell ref="H1131:K1131"/>
    <mergeCell ref="B1139:K1139"/>
    <mergeCell ref="C1140:D1140"/>
    <mergeCell ref="E1140:F1140"/>
    <mergeCell ref="G1140:K1140"/>
    <mergeCell ref="C1141:D1141"/>
    <mergeCell ref="E1141:F1141"/>
    <mergeCell ref="G1141:K1141"/>
    <mergeCell ref="C1142:D1142"/>
    <mergeCell ref="E1142:F1142"/>
    <mergeCell ref="G1142:K1142"/>
    <mergeCell ref="C1143:D1143"/>
    <mergeCell ref="E1143:F1143"/>
    <mergeCell ref="G1143:K1143"/>
    <mergeCell ref="C1144:D1144"/>
    <mergeCell ref="E1144:F1144"/>
    <mergeCell ref="G1144:K1144"/>
    <mergeCell ref="C1145:F1145"/>
    <mergeCell ref="H1145:K1145"/>
    <mergeCell ref="B1152:K1152"/>
    <mergeCell ref="C1153:D1153"/>
    <mergeCell ref="E1153:F1153"/>
    <mergeCell ref="G1153:K1153"/>
    <mergeCell ref="C1154:D1154"/>
    <mergeCell ref="E1154:F1154"/>
    <mergeCell ref="G1154:K1154"/>
    <mergeCell ref="C1155:D1155"/>
    <mergeCell ref="E1155:F1155"/>
    <mergeCell ref="G1155:K1155"/>
    <mergeCell ref="C1156:D1156"/>
    <mergeCell ref="E1156:F1156"/>
    <mergeCell ref="G1156:K1156"/>
    <mergeCell ref="C1157:D1157"/>
    <mergeCell ref="E1157:F1157"/>
    <mergeCell ref="G1157:K1157"/>
    <mergeCell ref="C1158:F1158"/>
    <mergeCell ref="H1158:K1158"/>
    <mergeCell ref="B1163:K1163"/>
    <mergeCell ref="C1164:D1164"/>
    <mergeCell ref="E1164:F1164"/>
    <mergeCell ref="G1164:K1164"/>
    <mergeCell ref="C1165:D1165"/>
    <mergeCell ref="E1165:F1165"/>
    <mergeCell ref="G1165:K1165"/>
    <mergeCell ref="C1166:D1166"/>
    <mergeCell ref="E1166:F1166"/>
    <mergeCell ref="G1166:K1166"/>
    <mergeCell ref="C1167:D1167"/>
    <mergeCell ref="E1167:F1167"/>
    <mergeCell ref="G1167:K1167"/>
    <mergeCell ref="C1168:D1168"/>
    <mergeCell ref="E1168:F1168"/>
    <mergeCell ref="G1168:K1168"/>
    <mergeCell ref="C1169:F1169"/>
    <mergeCell ref="H1169:K1169"/>
    <mergeCell ref="B1173:K1173"/>
    <mergeCell ref="C1174:D1174"/>
    <mergeCell ref="E1174:F1174"/>
    <mergeCell ref="G1174:K1174"/>
    <mergeCell ref="C1175:D1175"/>
    <mergeCell ref="E1175:F1175"/>
    <mergeCell ref="G1175:K1175"/>
    <mergeCell ref="C1176:D1176"/>
    <mergeCell ref="E1176:F1176"/>
    <mergeCell ref="G1176:K1176"/>
    <mergeCell ref="C1177:D1177"/>
    <mergeCell ref="E1177:F1177"/>
    <mergeCell ref="G1177:K1177"/>
    <mergeCell ref="C1178:D1178"/>
    <mergeCell ref="E1178:F1178"/>
    <mergeCell ref="G1178:K1178"/>
    <mergeCell ref="C1179:F1179"/>
    <mergeCell ref="H1179:K1179"/>
    <mergeCell ref="B1183:K1183"/>
    <mergeCell ref="C1184:D1184"/>
    <mergeCell ref="E1184:F1184"/>
    <mergeCell ref="G1184:K1184"/>
    <mergeCell ref="C1185:D1185"/>
    <mergeCell ref="E1185:F1185"/>
    <mergeCell ref="G1185:K1185"/>
    <mergeCell ref="C1186:D1186"/>
    <mergeCell ref="E1186:F1186"/>
    <mergeCell ref="G1186:K1186"/>
    <mergeCell ref="C1187:D1187"/>
    <mergeCell ref="E1187:F1187"/>
    <mergeCell ref="G1187:K1187"/>
    <mergeCell ref="C1188:D1188"/>
    <mergeCell ref="E1188:F1188"/>
    <mergeCell ref="G1188:K1188"/>
    <mergeCell ref="C1189:F1189"/>
    <mergeCell ref="H1189:K1189"/>
    <mergeCell ref="B1197:K1197"/>
    <mergeCell ref="C1198:D1198"/>
    <mergeCell ref="E1198:F1198"/>
    <mergeCell ref="G1198:K1198"/>
    <mergeCell ref="C1199:D1199"/>
    <mergeCell ref="E1199:F1199"/>
    <mergeCell ref="G1199:K1199"/>
    <mergeCell ref="C1200:D1200"/>
    <mergeCell ref="E1200:F1200"/>
    <mergeCell ref="G1200:K1200"/>
    <mergeCell ref="C1201:D1201"/>
    <mergeCell ref="E1201:F1201"/>
    <mergeCell ref="G1201:K1201"/>
    <mergeCell ref="C1202:D1202"/>
    <mergeCell ref="E1202:F1202"/>
    <mergeCell ref="G1202:K1202"/>
    <mergeCell ref="C1203:F1203"/>
    <mergeCell ref="H1203:K1203"/>
    <mergeCell ref="B1207:K1207"/>
    <mergeCell ref="C1208:D1208"/>
    <mergeCell ref="E1208:F1208"/>
    <mergeCell ref="G1208:K1208"/>
    <mergeCell ref="C1209:D1209"/>
    <mergeCell ref="E1209:F1209"/>
    <mergeCell ref="G1209:K1209"/>
    <mergeCell ref="C1210:D1210"/>
    <mergeCell ref="E1210:F1210"/>
    <mergeCell ref="G1210:K1210"/>
    <mergeCell ref="C1211:D1211"/>
    <mergeCell ref="E1211:F1211"/>
    <mergeCell ref="G1211:K1211"/>
    <mergeCell ref="C1212:D1212"/>
    <mergeCell ref="E1212:F1212"/>
    <mergeCell ref="G1212:K1212"/>
    <mergeCell ref="C1213:F1213"/>
    <mergeCell ref="H1213:K1213"/>
    <mergeCell ref="B1219:K1219"/>
    <mergeCell ref="C1220:D1220"/>
    <mergeCell ref="E1220:F1220"/>
    <mergeCell ref="G1220:K1220"/>
    <mergeCell ref="C1221:D1221"/>
    <mergeCell ref="E1221:F1221"/>
    <mergeCell ref="G1221:K1221"/>
    <mergeCell ref="C1222:D1222"/>
    <mergeCell ref="E1222:F1222"/>
    <mergeCell ref="G1222:K1222"/>
    <mergeCell ref="C1223:D1223"/>
    <mergeCell ref="E1223:F1223"/>
    <mergeCell ref="G1223:K1223"/>
    <mergeCell ref="C1224:D1224"/>
    <mergeCell ref="E1224:F1224"/>
    <mergeCell ref="G1224:K1224"/>
    <mergeCell ref="C1225:F1225"/>
    <mergeCell ref="H1225:K1225"/>
    <mergeCell ref="B1233:K1233"/>
    <mergeCell ref="C1234:D1234"/>
    <mergeCell ref="E1234:F1234"/>
    <mergeCell ref="G1234:K1234"/>
    <mergeCell ref="C1235:D1235"/>
    <mergeCell ref="E1235:F1235"/>
    <mergeCell ref="G1235:K1235"/>
    <mergeCell ref="C1236:D1236"/>
    <mergeCell ref="E1236:F1236"/>
    <mergeCell ref="G1236:K1236"/>
    <mergeCell ref="C1237:D1237"/>
    <mergeCell ref="E1237:F1237"/>
    <mergeCell ref="G1237:K1237"/>
    <mergeCell ref="C1238:D1238"/>
    <mergeCell ref="E1238:F1238"/>
    <mergeCell ref="G1238:K1238"/>
    <mergeCell ref="C1239:F1239"/>
    <mergeCell ref="H1239:K1239"/>
    <mergeCell ref="B1252:K1252"/>
    <mergeCell ref="C1253:D1253"/>
    <mergeCell ref="E1253:F1253"/>
    <mergeCell ref="G1253:K1253"/>
    <mergeCell ref="C1254:D1254"/>
    <mergeCell ref="E1254:F1254"/>
    <mergeCell ref="G1254:K1254"/>
    <mergeCell ref="C1255:D1255"/>
    <mergeCell ref="E1255:F1255"/>
    <mergeCell ref="G1255:K1255"/>
    <mergeCell ref="C1256:D1256"/>
    <mergeCell ref="E1256:F1256"/>
    <mergeCell ref="G1256:K1256"/>
    <mergeCell ref="C1257:D1257"/>
    <mergeCell ref="E1257:F1257"/>
    <mergeCell ref="G1257:K1257"/>
    <mergeCell ref="C1258:F1258"/>
    <mergeCell ref="H1258:K1258"/>
    <mergeCell ref="B1278:K1278"/>
    <mergeCell ref="C1279:D1279"/>
    <mergeCell ref="E1279:F1279"/>
    <mergeCell ref="G1279:K1279"/>
    <mergeCell ref="C1280:D1280"/>
    <mergeCell ref="E1280:F1280"/>
    <mergeCell ref="G1280:K1280"/>
    <mergeCell ref="C1281:D1281"/>
    <mergeCell ref="E1281:F1281"/>
    <mergeCell ref="G1281:K1281"/>
    <mergeCell ref="C1282:D1282"/>
    <mergeCell ref="E1282:F1282"/>
    <mergeCell ref="G1282:K1282"/>
    <mergeCell ref="C1283:D1283"/>
    <mergeCell ref="E1283:F1283"/>
    <mergeCell ref="G1283:K1283"/>
    <mergeCell ref="C1284:F1284"/>
    <mergeCell ref="H1284:K1284"/>
    <mergeCell ref="B1290:K1290"/>
    <mergeCell ref="C1291:D1291"/>
    <mergeCell ref="E1291:F1291"/>
    <mergeCell ref="G1291:K1291"/>
    <mergeCell ref="C1292:D1292"/>
    <mergeCell ref="E1292:F1292"/>
    <mergeCell ref="G1292:K1292"/>
    <mergeCell ref="C1293:D1293"/>
    <mergeCell ref="E1293:F1293"/>
    <mergeCell ref="G1293:K1293"/>
    <mergeCell ref="C1294:D1294"/>
    <mergeCell ref="E1294:F1294"/>
    <mergeCell ref="G1294:K1294"/>
    <mergeCell ref="C1295:D1295"/>
    <mergeCell ref="E1295:F1295"/>
    <mergeCell ref="G1295:K1295"/>
    <mergeCell ref="C1296:F1296"/>
    <mergeCell ref="H1296:K1296"/>
    <mergeCell ref="B1303:K1303"/>
    <mergeCell ref="C1304:D1304"/>
    <mergeCell ref="E1304:F1304"/>
    <mergeCell ref="G1304:K1304"/>
    <mergeCell ref="C1305:D1305"/>
    <mergeCell ref="E1305:F1305"/>
    <mergeCell ref="G1305:K1305"/>
    <mergeCell ref="C1306:D1306"/>
    <mergeCell ref="E1306:F1306"/>
    <mergeCell ref="G1306:K1306"/>
    <mergeCell ref="C1307:D1307"/>
    <mergeCell ref="E1307:F1307"/>
    <mergeCell ref="G1307:K1307"/>
    <mergeCell ref="C1308:D1308"/>
    <mergeCell ref="E1308:F1308"/>
    <mergeCell ref="G1308:K1308"/>
    <mergeCell ref="C1309:F1309"/>
    <mergeCell ref="H1309:K1309"/>
    <mergeCell ref="B1316:K1316"/>
    <mergeCell ref="C1317:D1317"/>
    <mergeCell ref="E1317:F1317"/>
    <mergeCell ref="G1317:K1317"/>
    <mergeCell ref="C1318:D1318"/>
    <mergeCell ref="E1318:F1318"/>
    <mergeCell ref="G1318:K1318"/>
    <mergeCell ref="C1319:D1319"/>
    <mergeCell ref="E1319:F1319"/>
    <mergeCell ref="G1319:K1319"/>
    <mergeCell ref="C1320:D1320"/>
    <mergeCell ref="E1320:F1320"/>
    <mergeCell ref="G1320:K1320"/>
    <mergeCell ref="C1321:D1321"/>
    <mergeCell ref="E1321:F1321"/>
    <mergeCell ref="G1321:K1321"/>
    <mergeCell ref="C1322:F1322"/>
    <mergeCell ref="H1322:K1322"/>
    <mergeCell ref="B1330:K1330"/>
    <mergeCell ref="C1331:D1331"/>
    <mergeCell ref="E1331:F1331"/>
    <mergeCell ref="G1331:K1331"/>
    <mergeCell ref="C1332:D1332"/>
    <mergeCell ref="E1332:F1332"/>
    <mergeCell ref="G1332:K1332"/>
    <mergeCell ref="C1333:D1333"/>
    <mergeCell ref="E1333:F1333"/>
    <mergeCell ref="G1333:K1333"/>
    <mergeCell ref="C1334:D1334"/>
    <mergeCell ref="E1334:F1334"/>
    <mergeCell ref="G1334:K1334"/>
    <mergeCell ref="C1335:D1335"/>
    <mergeCell ref="E1335:F1335"/>
    <mergeCell ref="G1335:K1335"/>
    <mergeCell ref="C1336:F1336"/>
    <mergeCell ref="H1336:K1336"/>
    <mergeCell ref="B1341:K1341"/>
    <mergeCell ref="C1342:D1342"/>
    <mergeCell ref="E1342:F1342"/>
    <mergeCell ref="G1342:K1342"/>
    <mergeCell ref="C1343:D1343"/>
    <mergeCell ref="E1343:F1343"/>
    <mergeCell ref="G1343:K1343"/>
    <mergeCell ref="C1344:D1344"/>
    <mergeCell ref="E1344:F1344"/>
    <mergeCell ref="G1344:K1344"/>
    <mergeCell ref="C1345:D1345"/>
    <mergeCell ref="E1345:F1345"/>
    <mergeCell ref="G1345:K1345"/>
    <mergeCell ref="C1346:D1346"/>
    <mergeCell ref="E1346:F1346"/>
    <mergeCell ref="G1346:K1346"/>
    <mergeCell ref="C1347:F1347"/>
    <mergeCell ref="H1347:K1347"/>
    <mergeCell ref="B1353:K1353"/>
    <mergeCell ref="C1354:D1354"/>
    <mergeCell ref="E1354:F1354"/>
    <mergeCell ref="G1354:K1354"/>
    <mergeCell ref="C1355:D1355"/>
    <mergeCell ref="E1355:F1355"/>
    <mergeCell ref="G1355:K1355"/>
    <mergeCell ref="C1356:D1356"/>
    <mergeCell ref="E1356:F1356"/>
    <mergeCell ref="G1356:K1356"/>
    <mergeCell ref="C1357:D1357"/>
    <mergeCell ref="E1357:F1357"/>
    <mergeCell ref="G1357:K1357"/>
    <mergeCell ref="C1358:D1358"/>
    <mergeCell ref="E1358:F1358"/>
    <mergeCell ref="G1358:K1358"/>
    <mergeCell ref="C1359:F1359"/>
    <mergeCell ref="H1359:K1359"/>
    <mergeCell ref="B1368:K1368"/>
    <mergeCell ref="C1369:D1369"/>
    <mergeCell ref="E1369:F1369"/>
    <mergeCell ref="G1369:K1369"/>
    <mergeCell ref="C1370:D1370"/>
    <mergeCell ref="E1370:F1370"/>
    <mergeCell ref="G1370:K1370"/>
    <mergeCell ref="C1371:D1371"/>
    <mergeCell ref="E1371:F1371"/>
    <mergeCell ref="G1371:K1371"/>
    <mergeCell ref="C1372:D1372"/>
    <mergeCell ref="E1372:F1372"/>
    <mergeCell ref="G1372:K1372"/>
    <mergeCell ref="C1373:D1373"/>
    <mergeCell ref="E1373:F1373"/>
    <mergeCell ref="G1373:K1373"/>
    <mergeCell ref="C1374:F1374"/>
    <mergeCell ref="H1374:K1374"/>
    <mergeCell ref="B1381:K1381"/>
    <mergeCell ref="C1382:D1382"/>
    <mergeCell ref="E1382:F1382"/>
    <mergeCell ref="G1382:K1382"/>
    <mergeCell ref="C1383:D1383"/>
    <mergeCell ref="E1383:F1383"/>
    <mergeCell ref="G1383:K1383"/>
    <mergeCell ref="C1384:D1384"/>
    <mergeCell ref="E1384:F1384"/>
    <mergeCell ref="G1384:K1384"/>
    <mergeCell ref="C1385:D1385"/>
    <mergeCell ref="E1385:F1385"/>
    <mergeCell ref="G1385:K1385"/>
    <mergeCell ref="C1386:D1386"/>
    <mergeCell ref="E1386:F1386"/>
    <mergeCell ref="G1386:K1386"/>
    <mergeCell ref="C1387:F1387"/>
    <mergeCell ref="H1387:K1387"/>
    <mergeCell ref="B1400:K1400"/>
    <mergeCell ref="C1401:D1401"/>
    <mergeCell ref="E1401:F1401"/>
    <mergeCell ref="G1401:K1401"/>
    <mergeCell ref="C1402:D1402"/>
    <mergeCell ref="E1402:F1402"/>
    <mergeCell ref="G1402:K1402"/>
    <mergeCell ref="C1403:D1403"/>
    <mergeCell ref="E1403:F1403"/>
    <mergeCell ref="G1403:K1403"/>
    <mergeCell ref="C1404:D1404"/>
    <mergeCell ref="E1404:F1404"/>
    <mergeCell ref="G1404:K1404"/>
    <mergeCell ref="C1405:D1405"/>
    <mergeCell ref="E1405:F1405"/>
    <mergeCell ref="G1405:K1405"/>
    <mergeCell ref="C1406:F1406"/>
    <mergeCell ref="H1406:K1406"/>
  </mergeCells>
  <conditionalFormatting sqref="J1408:J1409">
    <cfRule type="expression" priority="2" aboveAverage="0" equalAverage="0" bottom="0" percent="0" rank="0" text="" dxfId="0">
      <formula>J1408="≠"</formula>
    </cfRule>
  </conditionalFormatting>
  <conditionalFormatting sqref="J1389:J1398">
    <cfRule type="expression" priority="3" aboveAverage="0" equalAverage="0" bottom="0" percent="0" rank="0" text="" dxfId="0">
      <formula>J1389="≠"</formula>
    </cfRule>
  </conditionalFormatting>
  <conditionalFormatting sqref="C1406">
    <cfRule type="expression" priority="4" aboveAverage="0" equalAverage="0" bottom="0" percent="0" rank="0" text="" dxfId="1">
      <formula>ISNUMBER(SEARCH("FECHADO",C1406))</formula>
    </cfRule>
    <cfRule type="expression" priority="5" aboveAverage="0" equalAverage="0" bottom="0" percent="0" rank="0" text="" dxfId="0">
      <formula>ISNUMBER(SEARCH("REVISAR",C1406))</formula>
    </cfRule>
    <cfRule type="expression" priority="6" aboveAverage="0" equalAverage="0" bottom="0" percent="0" rank="0" text="" dxfId="2">
      <formula>ISNUMBER(SEARCH("aguardando",C1406))</formula>
    </cfRule>
  </conditionalFormatting>
  <conditionalFormatting sqref="C1387">
    <cfRule type="expression" priority="7" aboveAverage="0" equalAverage="0" bottom="0" percent="0" rank="0" text="" dxfId="1">
      <formula>ISNUMBER(SEARCH("FECHADO",C1387))</formula>
    </cfRule>
    <cfRule type="expression" priority="8" aboveAverage="0" equalAverage="0" bottom="0" percent="0" rank="0" text="" dxfId="0">
      <formula>ISNUMBER(SEARCH("REVISAR",C1387))</formula>
    </cfRule>
    <cfRule type="expression" priority="9" aboveAverage="0" equalAverage="0" bottom="0" percent="0" rank="0" text="" dxfId="2">
      <formula>ISNUMBER(SEARCH("aguardando",C1387))</formula>
    </cfRule>
  </conditionalFormatting>
  <conditionalFormatting sqref="J1376:J1379">
    <cfRule type="expression" priority="10" aboveAverage="0" equalAverage="0" bottom="0" percent="0" rank="0" text="" dxfId="0">
      <formula>J1376="≠"</formula>
    </cfRule>
  </conditionalFormatting>
  <conditionalFormatting sqref="C1374">
    <cfRule type="expression" priority="11" aboveAverage="0" equalAverage="0" bottom="0" percent="0" rank="0" text="" dxfId="1">
      <formula>ISNUMBER(SEARCH("FECHADO",C1374))</formula>
    </cfRule>
    <cfRule type="expression" priority="12" aboveAverage="0" equalAverage="0" bottom="0" percent="0" rank="0" text="" dxfId="0">
      <formula>ISNUMBER(SEARCH("REVISAR",C1374))</formula>
    </cfRule>
    <cfRule type="expression" priority="13" aboveAverage="0" equalAverage="0" bottom="0" percent="0" rank="0" text="" dxfId="2">
      <formula>ISNUMBER(SEARCH("aguardando",C1374))</formula>
    </cfRule>
  </conditionalFormatting>
  <conditionalFormatting sqref="J1361:J1366">
    <cfRule type="expression" priority="14" aboveAverage="0" equalAverage="0" bottom="0" percent="0" rank="0" text="" dxfId="0">
      <formula>J1361="≠"</formula>
    </cfRule>
  </conditionalFormatting>
  <conditionalFormatting sqref="C1359">
    <cfRule type="expression" priority="15" aboveAverage="0" equalAverage="0" bottom="0" percent="0" rank="0" text="" dxfId="1">
      <formula>ISNUMBER(SEARCH("FECHADO",C1359))</formula>
    </cfRule>
    <cfRule type="expression" priority="16" aboveAverage="0" equalAverage="0" bottom="0" percent="0" rank="0" text="" dxfId="0">
      <formula>ISNUMBER(SEARCH("REVISAR",C1359))</formula>
    </cfRule>
    <cfRule type="expression" priority="17" aboveAverage="0" equalAverage="0" bottom="0" percent="0" rank="0" text="" dxfId="2">
      <formula>ISNUMBER(SEARCH("aguardando",C1359))</formula>
    </cfRule>
  </conditionalFormatting>
  <conditionalFormatting sqref="C89 C107 C119 C149 C191 C203 C214 C225 C236 C248 C260 C272 C283 C296 C355 C369 C387 C398 C411 C425 C439 C449 C460 C472 C484 C494 C515 C568 C581 C603 C659 C673 C698 C709 C720 C792 C820 C831 C844 C861">
    <cfRule type="expression" priority="18" aboveAverage="0" equalAverage="0" bottom="0" percent="0" rank="0" text="" dxfId="1">
      <formula>ISNUMBER(SEARCH("FECHADO",C89))</formula>
    </cfRule>
    <cfRule type="expression" priority="19" aboveAverage="0" equalAverage="0" bottom="0" percent="0" rank="0" text="" dxfId="0">
      <formula>ISNUMBER(SEARCH("REVISAR",C89))</formula>
    </cfRule>
    <cfRule type="expression" priority="20" aboveAverage="0" equalAverage="0" bottom="0" percent="0" rank="0" text="" dxfId="2">
      <formula>ISNUMBER(SEARCH("aguardando",C89))</formula>
    </cfRule>
  </conditionalFormatting>
  <conditionalFormatting sqref="C873 C888 C901 C984 C996 C1012 C1023 C1035 C1064 C1097 C1119 C1131 C1145 C1158 C1169 C1179 C1189 C1203 C1213 C1225 C1239 C1258 C1284 C1296 C1309 C1322 C1336 C1347">
    <cfRule type="expression" priority="21" aboveAverage="0" equalAverage="0" bottom="0" percent="0" rank="0" text="" dxfId="1">
      <formula>ISNUMBER(SEARCH("FECHADO",C873))</formula>
    </cfRule>
    <cfRule type="expression" priority="22" aboveAverage="0" equalAverage="0" bottom="0" percent="0" rank="0" text="" dxfId="0">
      <formula>ISNUMBER(SEARCH("REVISAR",C873))</formula>
    </cfRule>
    <cfRule type="expression" priority="23" aboveAverage="0" equalAverage="0" bottom="0" percent="0" rank="0" text="" dxfId="2">
      <formula>ISNUMBER(SEARCH("aguardando",C873))</formula>
    </cfRule>
  </conditionalFormatting>
  <conditionalFormatting sqref="K11:K81">
    <cfRule type="expression" priority="24" aboveAverage="0" equalAverage="0" bottom="0" percent="0" rank="0" text="" dxfId="1">
      <formula>K11="OK"</formula>
    </cfRule>
    <cfRule type="expression" priority="25" aboveAverage="0" equalAverage="0" bottom="0" percent="0" rank="0" text="" dxfId="0">
      <formula>K11="Revisar"</formula>
    </cfRule>
  </conditionalFormatting>
  <conditionalFormatting sqref="J91:J98 J109:J111 J121:J141 J151:J183 J193:J195 J205:J206 J216:J217 J227:J228 J238:J240 J250:J252 J262:J264 J274:J275 J285:J288 J298:J347 J357:J361 J371:J379 J389:J390 J400:J403 J413:J417 J427:J431 J441 J451:J452 J462:J464 J474:J476 J486 J496:J507 J517:J560 J570:J573 J583:J595 J605:J651 J661:J665 J675:J690 J700:J701 J711:J712 J722:J784 J794:J812 J822:J823 J833:J836 J846:J853 J863:J865">
    <cfRule type="expression" priority="26" aboveAverage="0" equalAverage="0" bottom="0" percent="0" rank="0" text="" dxfId="0">
      <formula>J91="≠"</formula>
    </cfRule>
  </conditionalFormatting>
  <conditionalFormatting sqref="J875:J880 J890:J893 J903:J976 J986:J988 J998:J1004 J1014:J1015 J1025:J1027 J1037:J1056 J1066:J1089 J1099:J1111 J1121:J1123 J1133:J1137 J1147:J1150 J1160:J1161 J1171 J1181 J1191:J1195 J1205 J1215:J1217 J1227:J1231 J1241:J1250 J1260:J1276 J1286:J1288 J1298:J1301 J1311:J1314 J1324:J1328 J1338:J1339 J1349:J1351">
    <cfRule type="expression" priority="27" aboveAverage="0" equalAverage="0" bottom="0" percent="0" rank="0" text="" dxfId="0">
      <formula>J875="≠"</formula>
    </cfRule>
  </conditionalFormatting>
  <hyperlinks>
    <hyperlink ref="B11" location="'Nota Fiscal'!B101" display="001"/>
    <hyperlink ref="B12" location="'Nota Fiscal'!B113" display="002"/>
    <hyperlink ref="B13" location="'Nota Fiscal'!B143" display="003"/>
    <hyperlink ref="B14" location="'Nota Fiscal'!B185" display="004"/>
    <hyperlink ref="B15" location="'Nota Fiscal'!B197" display="005"/>
    <hyperlink ref="B16" location="'Nota Fiscal'!B208" display="006"/>
    <hyperlink ref="B17" location="'Nota Fiscal'!B219" display="007"/>
    <hyperlink ref="B18" location="'Nota Fiscal'!B230" display="008"/>
    <hyperlink ref="B19" location="'Nota Fiscal'!B242" display="009"/>
    <hyperlink ref="B20" location="'Nota Fiscal'!B254" display="010"/>
    <hyperlink ref="B21" location="'Nota Fiscal'!B266" display="011"/>
    <hyperlink ref="B22" location="'Nota Fiscal'!B277" display="012"/>
    <hyperlink ref="B23" location="'Nota Fiscal'!B290" display="013"/>
    <hyperlink ref="B24" location="'Nota Fiscal'!B349" display="014"/>
    <hyperlink ref="B25" location="'Nota Fiscal'!B363" display="015"/>
    <hyperlink ref="B26" location="'Nota Fiscal'!B381" display="016"/>
    <hyperlink ref="B27" location="'Nota Fiscal'!B392" display="017"/>
    <hyperlink ref="B28" location="'Nota Fiscal'!B405" display="018"/>
    <hyperlink ref="B29" location="'Nota Fiscal'!B419" display="019"/>
    <hyperlink ref="B30" location="'Nota Fiscal'!B433" display="020"/>
    <hyperlink ref="B31" location="'Nota Fiscal'!B443" display="021"/>
    <hyperlink ref="B32" location="'Nota Fiscal'!B454" display="022"/>
    <hyperlink ref="B33" location="'Nota Fiscal'!B466" display="023"/>
    <hyperlink ref="B34" location="'Nota Fiscal'!B478" display="024"/>
    <hyperlink ref="B35" location="'Nota Fiscal'!B488" display="025"/>
    <hyperlink ref="B36" location="'Nota Fiscal'!B509" display="026"/>
    <hyperlink ref="B37" location="'Nota Fiscal'!B562" display="027"/>
    <hyperlink ref="B38" location="'Nota Fiscal'!B575" display="028"/>
    <hyperlink ref="B39" location="'Nota Fiscal'!B597" display="029"/>
    <hyperlink ref="B40" location="'Nota Fiscal'!B653" display="030"/>
    <hyperlink ref="B41" location="'Nota Fiscal'!B667" display="031"/>
    <hyperlink ref="B42" location="'Nota Fiscal'!B692" display="032"/>
    <hyperlink ref="B43" location="'Nota Fiscal'!B703" display="033"/>
    <hyperlink ref="B44" location="'Nota Fiscal'!B714" display="034"/>
    <hyperlink ref="B45" location="'Nota Fiscal'!B786" display="035"/>
    <hyperlink ref="B46" location="'Nota Fiscal'!B814" display="036"/>
    <hyperlink ref="B47" location="'Nota Fiscal'!B825" display="037"/>
    <hyperlink ref="B48" location="'Nota Fiscal'!B838" display="038"/>
    <hyperlink ref="B49" location="'Nota Fiscal'!B855" display="039"/>
    <hyperlink ref="B50" location="'Nota Fiscal'!B867" display="040"/>
    <hyperlink ref="B51" location="'Nota Fiscal'!B882" display="041"/>
    <hyperlink ref="B52" location="'Nota Fiscal'!B895" display="042"/>
    <hyperlink ref="B53" location="'Nota Fiscal'!B978" display="043"/>
    <hyperlink ref="B54" location="'Nota Fiscal'!B990" display="044"/>
    <hyperlink ref="B55" location="'Nota Fiscal'!B1006" display="045"/>
    <hyperlink ref="B56" location="'Nota Fiscal'!B1017" display="046"/>
    <hyperlink ref="B57" location="'Nota Fiscal'!B1029" display="047"/>
    <hyperlink ref="B58" location="'Nota Fiscal'!B1058" display="048"/>
    <hyperlink ref="B59" location="'Nota Fiscal'!B1091" display="049"/>
    <hyperlink ref="B60" location="'Nota Fiscal'!B1113" display="050"/>
    <hyperlink ref="B61" location="'Nota Fiscal'!B1125" display="051"/>
    <hyperlink ref="B62" location="'Nota Fiscal'!B1139" display="052"/>
    <hyperlink ref="B63" location="'Nota Fiscal'!B1152" display="053"/>
    <hyperlink ref="B64" location="'Nota Fiscal'!B1163" display="054"/>
    <hyperlink ref="B65" location="'Nota Fiscal'!B1173" display="055"/>
    <hyperlink ref="B66" location="'Nota Fiscal'!B1183" display="056"/>
    <hyperlink ref="B67" location="'Nota Fiscal'!B1197" display="057"/>
    <hyperlink ref="B68" location="'Nota Fiscal'!B1207" display="058"/>
    <hyperlink ref="B69" location="'Nota Fiscal'!B1219" display="059"/>
    <hyperlink ref="B70" location="'Nota Fiscal'!B1233" display="060"/>
    <hyperlink ref="B71" location="'Nota Fiscal'!B1252" display="061"/>
    <hyperlink ref="B72" location="'Nota Fiscal'!B1278" display="062"/>
    <hyperlink ref="B73" location="'Nota Fiscal'!B1290" display="063"/>
    <hyperlink ref="B74" location="'Nota Fiscal'!B1303" display="064"/>
    <hyperlink ref="B75" location="'Nota Fiscal'!B1316" display="065"/>
    <hyperlink ref="B76" location="'Nota Fiscal'!B1330" display="066"/>
    <hyperlink ref="B77" location="'Nota Fiscal'!B1341" display="067"/>
    <hyperlink ref="B78" location="'Nota Fiscal'!B1353" display="068"/>
    <hyperlink ref="B79" location="'Nota Fiscal'!B1368" display="069"/>
    <hyperlink ref="B80" location="'Nota Fiscal'!B1381" display="070"/>
    <hyperlink ref="B81" location="'Nota Fiscal'!B1400" display="071"/>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75"/>
  <sheetViews>
    <sheetView showFormulas="false" showGridLines="true" showRowColHeaders="true" showZeros="true" rightToLeft="false" tabSelected="false" showOutlineSymbols="true" defaultGridColor="true" view="normal" topLeftCell="A247" colorId="64" zoomScale="100" zoomScaleNormal="100" zoomScalePageLayoutView="100" workbookViewId="0">
      <selection pane="topLeft" activeCell="H129" activeCellId="0" sqref="H129"/>
    </sheetView>
  </sheetViews>
  <sheetFormatPr defaultColWidth="9.14453125" defaultRowHeight="13.5" zeroHeight="false" outlineLevelRow="0" outlineLevelCol="0"/>
  <cols>
    <col collapsed="false" customWidth="true" hidden="false" outlineLevel="0" max="1" min="1" style="67" width="29.43"/>
    <col collapsed="false" customWidth="true" hidden="false" outlineLevel="0" max="2" min="2" style="67" width="12.43"/>
    <col collapsed="false" customWidth="true" hidden="false" outlineLevel="0" max="3" min="3" style="67" width="26.71"/>
    <col collapsed="false" customWidth="true" hidden="false" outlineLevel="0" max="4" min="4" style="67" width="41.86"/>
    <col collapsed="false" customWidth="true" hidden="false" outlineLevel="0" max="5" min="5" style="67" width="17.14"/>
    <col collapsed="false" customWidth="true" hidden="false" outlineLevel="0" max="6" min="6" style="67" width="11.43"/>
    <col collapsed="false" customWidth="true" hidden="false" outlineLevel="0" max="7" min="7" style="67" width="9.57"/>
    <col collapsed="false" customWidth="true" hidden="false" outlineLevel="0" max="9" min="8" style="67" width="16.14"/>
    <col collapsed="false" customWidth="true" hidden="false" outlineLevel="0" max="10" min="10" style="67" width="30.43"/>
    <col collapsed="false" customWidth="true" hidden="false" outlineLevel="0" max="11" min="11" style="67" width="41.86"/>
    <col collapsed="false" customWidth="false" hidden="false" outlineLevel="0" max="16384" min="12" style="67" width="9.14"/>
  </cols>
  <sheetData>
    <row r="1" customFormat="false" ht="30" hidden="false" customHeight="true" outlineLevel="0" collapsed="false">
      <c r="A1" s="68" t="s">
        <v>1024</v>
      </c>
    </row>
    <row r="2" customFormat="false" ht="15" hidden="false" customHeight="true" outlineLevel="0" collapsed="false">
      <c r="A2" s="69" t="s">
        <v>1025</v>
      </c>
    </row>
    <row r="3" customFormat="false" ht="15" hidden="false" customHeight="true" outlineLevel="0" collapsed="false"/>
    <row r="4" customFormat="false" ht="15" hidden="false" customHeight="true" outlineLevel="0" collapsed="false">
      <c r="A4" s="70" t="s">
        <v>78</v>
      </c>
      <c r="B4" s="70" t="s">
        <v>30</v>
      </c>
      <c r="C4" s="70" t="s">
        <v>34</v>
      </c>
      <c r="D4" s="70" t="s">
        <v>52</v>
      </c>
      <c r="E4" s="70" t="s">
        <v>9</v>
      </c>
      <c r="F4" s="70" t="s">
        <v>166</v>
      </c>
      <c r="G4" s="70" t="s">
        <v>167</v>
      </c>
      <c r="H4" s="70" t="s">
        <v>1026</v>
      </c>
      <c r="I4" s="70" t="s">
        <v>168</v>
      </c>
      <c r="J4" s="70" t="s">
        <v>1027</v>
      </c>
      <c r="K4" s="70" t="s">
        <v>164</v>
      </c>
    </row>
    <row r="5" customFormat="false" ht="15" hidden="false" customHeight="true" outlineLevel="0" collapsed="false">
      <c r="A5" s="71" t="n">
        <v>46147</v>
      </c>
      <c r="B5" s="67" t="str">
        <f aca="false">TEXT(A5,"mmm/aaaa")</f>
        <v>Iyar/Tuesday</v>
      </c>
      <c r="C5" s="67" t="s">
        <v>36</v>
      </c>
      <c r="D5" s="67" t="s">
        <v>223</v>
      </c>
      <c r="E5" s="67" t="s">
        <v>13</v>
      </c>
      <c r="F5" s="72" t="n">
        <v>1</v>
      </c>
      <c r="G5" s="67" t="s">
        <v>179</v>
      </c>
      <c r="H5" s="73" t="n">
        <v>10.8</v>
      </c>
      <c r="I5" s="73" t="n">
        <f aca="false">IFERROR(H5/F5,0)</f>
        <v>10.8</v>
      </c>
      <c r="J5" s="67" t="s">
        <v>1028</v>
      </c>
    </row>
    <row r="6" customFormat="false" ht="15" hidden="false" customHeight="true" outlineLevel="0" collapsed="false">
      <c r="A6" s="71" t="n">
        <v>46147</v>
      </c>
      <c r="B6" s="67" t="str">
        <f aca="false">TEXT(A6,"mmm/aaaa")</f>
        <v>Iyar/Tuesday</v>
      </c>
      <c r="C6" s="67" t="s">
        <v>36</v>
      </c>
      <c r="D6" s="67" t="s">
        <v>225</v>
      </c>
      <c r="E6" s="67" t="s">
        <v>13</v>
      </c>
      <c r="F6" s="72" t="n">
        <v>1</v>
      </c>
      <c r="G6" s="67" t="s">
        <v>179</v>
      </c>
      <c r="H6" s="73" t="n">
        <v>14.5</v>
      </c>
      <c r="I6" s="73" t="n">
        <f aca="false">IFERROR(H6/F6,0)</f>
        <v>14.5</v>
      </c>
      <c r="J6" s="67" t="s">
        <v>1028</v>
      </c>
    </row>
    <row r="7" customFormat="false" ht="15" hidden="false" customHeight="true" outlineLevel="0" collapsed="false">
      <c r="A7" s="71" t="n">
        <v>46147</v>
      </c>
      <c r="B7" s="67" t="str">
        <f aca="false">TEXT(A7,"mmm/aaaa")</f>
        <v>Iyar/Tuesday</v>
      </c>
      <c r="C7" s="67" t="s">
        <v>36</v>
      </c>
      <c r="D7" s="67" t="s">
        <v>227</v>
      </c>
      <c r="E7" s="67" t="s">
        <v>13</v>
      </c>
      <c r="F7" s="72" t="n">
        <v>1</v>
      </c>
      <c r="G7" s="67" t="s">
        <v>179</v>
      </c>
      <c r="H7" s="73" t="n">
        <v>17.5</v>
      </c>
      <c r="I7" s="73" t="n">
        <f aca="false">IFERROR(H7/F7,0)</f>
        <v>17.5</v>
      </c>
      <c r="J7" s="67" t="s">
        <v>1028</v>
      </c>
    </row>
    <row r="8" customFormat="false" ht="15" hidden="false" customHeight="true" outlineLevel="0" collapsed="false">
      <c r="A8" s="71" t="n">
        <v>46147</v>
      </c>
      <c r="B8" s="67" t="str">
        <f aca="false">TEXT(A8,"mmm/aaaa")</f>
        <v>Iyar/Tuesday</v>
      </c>
      <c r="C8" s="67" t="s">
        <v>36</v>
      </c>
      <c r="D8" s="67" t="s">
        <v>229</v>
      </c>
      <c r="E8" s="67" t="s">
        <v>13</v>
      </c>
      <c r="F8" s="72" t="n">
        <v>1</v>
      </c>
      <c r="G8" s="67" t="s">
        <v>179</v>
      </c>
      <c r="H8" s="73" t="n">
        <v>6.25</v>
      </c>
      <c r="I8" s="73" t="n">
        <f aca="false">IFERROR(H8/F8,0)</f>
        <v>6.25</v>
      </c>
      <c r="J8" s="67" t="s">
        <v>1028</v>
      </c>
    </row>
    <row r="9" customFormat="false" ht="15" hidden="false" customHeight="true" outlineLevel="0" collapsed="false">
      <c r="A9" s="71" t="n">
        <v>46147</v>
      </c>
      <c r="B9" s="67" t="str">
        <f aca="false">TEXT(A9,"mmm/aaaa")</f>
        <v>Iyar/Tuesday</v>
      </c>
      <c r="C9" s="67" t="s">
        <v>36</v>
      </c>
      <c r="D9" s="67" t="s">
        <v>231</v>
      </c>
      <c r="E9" s="67" t="s">
        <v>13</v>
      </c>
      <c r="F9" s="72" t="n">
        <v>1</v>
      </c>
      <c r="G9" s="67" t="s">
        <v>179</v>
      </c>
      <c r="H9" s="73" t="n">
        <v>6.65</v>
      </c>
      <c r="I9" s="73" t="n">
        <f aca="false">IFERROR(H9/F9,0)</f>
        <v>6.65</v>
      </c>
      <c r="J9" s="67" t="s">
        <v>1028</v>
      </c>
    </row>
    <row r="10" customFormat="false" ht="15" hidden="false" customHeight="true" outlineLevel="0" collapsed="false">
      <c r="A10" s="71" t="n">
        <v>46147</v>
      </c>
      <c r="B10" s="67" t="str">
        <f aca="false">TEXT(A10,"mmm/aaaa")</f>
        <v>Iyar/Tuesday</v>
      </c>
      <c r="C10" s="67" t="s">
        <v>36</v>
      </c>
      <c r="D10" s="67" t="s">
        <v>233</v>
      </c>
      <c r="E10" s="67" t="s">
        <v>12</v>
      </c>
      <c r="F10" s="72" t="n">
        <v>1</v>
      </c>
      <c r="G10" s="67" t="s">
        <v>179</v>
      </c>
      <c r="H10" s="73" t="n">
        <v>23</v>
      </c>
      <c r="I10" s="73" t="n">
        <f aca="false">IFERROR(H10/F10,0)</f>
        <v>23</v>
      </c>
      <c r="J10" s="67" t="s">
        <v>1028</v>
      </c>
    </row>
    <row r="11" customFormat="false" ht="15" hidden="false" customHeight="true" outlineLevel="0" collapsed="false">
      <c r="A11" s="71" t="n">
        <v>46147</v>
      </c>
      <c r="B11" s="67" t="str">
        <f aca="false">TEXT(A11,"mmm/aaaa")</f>
        <v>Iyar/Tuesday</v>
      </c>
      <c r="C11" s="67" t="s">
        <v>36</v>
      </c>
      <c r="D11" s="67" t="s">
        <v>235</v>
      </c>
      <c r="E11" s="67" t="s">
        <v>12</v>
      </c>
      <c r="F11" s="72" t="n">
        <v>1</v>
      </c>
      <c r="G11" s="67" t="s">
        <v>179</v>
      </c>
      <c r="H11" s="73" t="n">
        <v>10.99</v>
      </c>
      <c r="I11" s="73" t="n">
        <f aca="false">IFERROR(H11/F11,0)</f>
        <v>10.99</v>
      </c>
      <c r="J11" s="67" t="s">
        <v>1028</v>
      </c>
    </row>
    <row r="12" customFormat="false" ht="15" hidden="false" customHeight="true" outlineLevel="0" collapsed="false">
      <c r="A12" s="71" t="n">
        <v>46147</v>
      </c>
      <c r="B12" s="67" t="str">
        <f aca="false">TEXT(A12,"mmm/aaaa")</f>
        <v>Iyar/Tuesday</v>
      </c>
      <c r="C12" s="67" t="s">
        <v>36</v>
      </c>
      <c r="D12" s="67" t="s">
        <v>237</v>
      </c>
      <c r="E12" s="67" t="s">
        <v>12</v>
      </c>
      <c r="F12" s="72" t="n">
        <v>1</v>
      </c>
      <c r="G12" s="67" t="s">
        <v>179</v>
      </c>
      <c r="H12" s="73" t="n">
        <v>5.75</v>
      </c>
      <c r="I12" s="73" t="n">
        <f aca="false">IFERROR(H12/F12,0)</f>
        <v>5.75</v>
      </c>
      <c r="J12" s="67" t="s">
        <v>1028</v>
      </c>
    </row>
    <row r="13" customFormat="false" ht="15" hidden="false" customHeight="true" outlineLevel="0" collapsed="false">
      <c r="A13" s="71" t="n">
        <v>46147</v>
      </c>
      <c r="B13" s="67" t="str">
        <f aca="false">TEXT(A13,"mmm/aaaa")</f>
        <v>Iyar/Tuesday</v>
      </c>
      <c r="C13" s="67" t="s">
        <v>36</v>
      </c>
      <c r="D13" s="67" t="s">
        <v>239</v>
      </c>
      <c r="E13" s="67" t="s">
        <v>12</v>
      </c>
      <c r="F13" s="72" t="n">
        <v>1</v>
      </c>
      <c r="G13" s="67" t="s">
        <v>179</v>
      </c>
      <c r="H13" s="73" t="n">
        <v>2.49</v>
      </c>
      <c r="I13" s="73" t="n">
        <f aca="false">IFERROR(H13/F13,0)</f>
        <v>2.49</v>
      </c>
      <c r="J13" s="67" t="s">
        <v>1028</v>
      </c>
    </row>
    <row r="14" customFormat="false" ht="15" hidden="false" customHeight="true" outlineLevel="0" collapsed="false">
      <c r="A14" s="71" t="n">
        <v>46147</v>
      </c>
      <c r="B14" s="67" t="str">
        <f aca="false">TEXT(A14,"mmm/aaaa")</f>
        <v>Iyar/Tuesday</v>
      </c>
      <c r="C14" s="67" t="s">
        <v>36</v>
      </c>
      <c r="D14" s="67" t="s">
        <v>241</v>
      </c>
      <c r="E14" s="67" t="s">
        <v>12</v>
      </c>
      <c r="F14" s="72" t="n">
        <v>3</v>
      </c>
      <c r="G14" s="67" t="s">
        <v>179</v>
      </c>
      <c r="H14" s="73" t="n">
        <v>5.4</v>
      </c>
      <c r="I14" s="73" t="n">
        <f aca="false">IFERROR(H14/F14,0)</f>
        <v>1.8</v>
      </c>
      <c r="J14" s="67" t="s">
        <v>1028</v>
      </c>
    </row>
    <row r="15" customFormat="false" ht="15" hidden="false" customHeight="true" outlineLevel="0" collapsed="false">
      <c r="A15" s="71" t="n">
        <v>46147</v>
      </c>
      <c r="B15" s="67" t="str">
        <f aca="false">TEXT(A15,"mmm/aaaa")</f>
        <v>Iyar/Tuesday</v>
      </c>
      <c r="C15" s="67" t="s">
        <v>36</v>
      </c>
      <c r="D15" s="67" t="s">
        <v>242</v>
      </c>
      <c r="E15" s="67" t="s">
        <v>12</v>
      </c>
      <c r="F15" s="72" t="n">
        <v>1</v>
      </c>
      <c r="G15" s="67" t="s">
        <v>179</v>
      </c>
      <c r="H15" s="73" t="n">
        <v>3.7</v>
      </c>
      <c r="I15" s="73" t="n">
        <f aca="false">IFERROR(H15/F15,0)</f>
        <v>3.7</v>
      </c>
      <c r="J15" s="67" t="s">
        <v>1028</v>
      </c>
    </row>
    <row r="16" customFormat="false" ht="15" hidden="false" customHeight="true" outlineLevel="0" collapsed="false">
      <c r="A16" s="71" t="n">
        <v>46147</v>
      </c>
      <c r="B16" s="67" t="str">
        <f aca="false">TEXT(A16,"mmm/aaaa")</f>
        <v>Iyar/Tuesday</v>
      </c>
      <c r="C16" s="67" t="s">
        <v>36</v>
      </c>
      <c r="D16" s="67" t="s">
        <v>242</v>
      </c>
      <c r="E16" s="67" t="s">
        <v>12</v>
      </c>
      <c r="F16" s="72" t="n">
        <v>3</v>
      </c>
      <c r="G16" s="67" t="s">
        <v>179</v>
      </c>
      <c r="H16" s="73" t="n">
        <v>11.1</v>
      </c>
      <c r="I16" s="73" t="n">
        <f aca="false">IFERROR(H16/F16,0)</f>
        <v>3.7</v>
      </c>
      <c r="J16" s="67" t="s">
        <v>1028</v>
      </c>
    </row>
    <row r="17" customFormat="false" ht="15" hidden="false" customHeight="true" outlineLevel="0" collapsed="false">
      <c r="A17" s="71" t="n">
        <v>46147</v>
      </c>
      <c r="B17" s="67" t="str">
        <f aca="false">TEXT(A17,"mmm/aaaa")</f>
        <v>Iyar/Tuesday</v>
      </c>
      <c r="C17" s="67" t="s">
        <v>36</v>
      </c>
      <c r="D17" s="67" t="s">
        <v>244</v>
      </c>
      <c r="E17" s="67" t="s">
        <v>13</v>
      </c>
      <c r="F17" s="72" t="n">
        <v>1</v>
      </c>
      <c r="G17" s="67" t="s">
        <v>179</v>
      </c>
      <c r="H17" s="73" t="n">
        <v>21.99</v>
      </c>
      <c r="I17" s="73" t="n">
        <f aca="false">IFERROR(H17/F17,0)</f>
        <v>21.99</v>
      </c>
      <c r="J17" s="67" t="s">
        <v>1028</v>
      </c>
    </row>
    <row r="18" customFormat="false" ht="15" hidden="false" customHeight="true" outlineLevel="0" collapsed="false">
      <c r="A18" s="71" t="n">
        <v>46147</v>
      </c>
      <c r="B18" s="67" t="str">
        <f aca="false">TEXT(A18,"mmm/aaaa")</f>
        <v>Iyar/Tuesday</v>
      </c>
      <c r="C18" s="67" t="s">
        <v>36</v>
      </c>
      <c r="D18" s="67" t="s">
        <v>246</v>
      </c>
      <c r="E18" s="67" t="s">
        <v>12</v>
      </c>
      <c r="F18" s="72" t="n">
        <v>1</v>
      </c>
      <c r="G18" s="67" t="s">
        <v>179</v>
      </c>
      <c r="H18" s="73" t="n">
        <v>2.99</v>
      </c>
      <c r="I18" s="73" t="n">
        <f aca="false">IFERROR(H18/F18,0)</f>
        <v>2.99</v>
      </c>
      <c r="J18" s="67" t="s">
        <v>1028</v>
      </c>
    </row>
    <row r="19" customFormat="false" ht="15" hidden="false" customHeight="true" outlineLevel="0" collapsed="false">
      <c r="A19" s="71" t="n">
        <v>46147</v>
      </c>
      <c r="B19" s="67" t="str">
        <f aca="false">TEXT(A19,"mmm/aaaa")</f>
        <v>Iyar/Tuesday</v>
      </c>
      <c r="C19" s="67" t="s">
        <v>36</v>
      </c>
      <c r="D19" s="67" t="s">
        <v>246</v>
      </c>
      <c r="E19" s="67" t="s">
        <v>12</v>
      </c>
      <c r="F19" s="72" t="n">
        <v>1</v>
      </c>
      <c r="G19" s="67" t="s">
        <v>179</v>
      </c>
      <c r="H19" s="73" t="n">
        <v>2.99</v>
      </c>
      <c r="I19" s="73" t="n">
        <f aca="false">IFERROR(H19/F19,0)</f>
        <v>2.99</v>
      </c>
      <c r="J19" s="67" t="s">
        <v>1028</v>
      </c>
    </row>
    <row r="20" customFormat="false" ht="15" hidden="false" customHeight="true" outlineLevel="0" collapsed="false">
      <c r="A20" s="71" t="n">
        <v>46147</v>
      </c>
      <c r="B20" s="67" t="str">
        <f aca="false">TEXT(A20,"mmm/aaaa")</f>
        <v>Iyar/Tuesday</v>
      </c>
      <c r="C20" s="67" t="s">
        <v>36</v>
      </c>
      <c r="D20" s="67" t="s">
        <v>248</v>
      </c>
      <c r="E20" s="67" t="s">
        <v>12</v>
      </c>
      <c r="F20" s="72" t="n">
        <v>1</v>
      </c>
      <c r="G20" s="67" t="s">
        <v>179</v>
      </c>
      <c r="H20" s="73" t="n">
        <v>5.45</v>
      </c>
      <c r="I20" s="73" t="n">
        <f aca="false">IFERROR(H20/F20,0)</f>
        <v>5.45</v>
      </c>
      <c r="J20" s="67" t="s">
        <v>1028</v>
      </c>
    </row>
    <row r="21" customFormat="false" ht="15" hidden="false" customHeight="true" outlineLevel="0" collapsed="false">
      <c r="A21" s="71" t="n">
        <v>46147</v>
      </c>
      <c r="B21" s="67" t="str">
        <f aca="false">TEXT(A21,"mmm/aaaa")</f>
        <v>Iyar/Tuesday</v>
      </c>
      <c r="C21" s="67" t="s">
        <v>36</v>
      </c>
      <c r="D21" s="67" t="s">
        <v>250</v>
      </c>
      <c r="E21" s="67" t="s">
        <v>13</v>
      </c>
      <c r="F21" s="72" t="n">
        <v>1</v>
      </c>
      <c r="G21" s="67" t="s">
        <v>179</v>
      </c>
      <c r="H21" s="73" t="n">
        <v>2.75</v>
      </c>
      <c r="I21" s="73" t="n">
        <f aca="false">IFERROR(H21/F21,0)</f>
        <v>2.75</v>
      </c>
      <c r="J21" s="67" t="s">
        <v>1028</v>
      </c>
    </row>
    <row r="22" customFormat="false" ht="15" hidden="false" customHeight="true" outlineLevel="0" collapsed="false">
      <c r="A22" s="71" t="n">
        <v>46147</v>
      </c>
      <c r="B22" s="67" t="str">
        <f aca="false">TEXT(A22,"mmm/aaaa")</f>
        <v>Iyar/Tuesday</v>
      </c>
      <c r="C22" s="67" t="s">
        <v>36</v>
      </c>
      <c r="D22" s="67" t="s">
        <v>250</v>
      </c>
      <c r="E22" s="67" t="s">
        <v>13</v>
      </c>
      <c r="F22" s="72" t="n">
        <v>1</v>
      </c>
      <c r="G22" s="67" t="s">
        <v>179</v>
      </c>
      <c r="H22" s="73" t="n">
        <v>2.75</v>
      </c>
      <c r="I22" s="73" t="n">
        <f aca="false">IFERROR(H22/F22,0)</f>
        <v>2.75</v>
      </c>
      <c r="J22" s="67" t="s">
        <v>1028</v>
      </c>
    </row>
    <row r="23" customFormat="false" ht="15" hidden="false" customHeight="true" outlineLevel="0" collapsed="false">
      <c r="A23" s="71" t="n">
        <v>46147</v>
      </c>
      <c r="B23" s="67" t="str">
        <f aca="false">TEXT(A23,"mmm/aaaa")</f>
        <v>Iyar/Tuesday</v>
      </c>
      <c r="C23" s="67" t="s">
        <v>36</v>
      </c>
      <c r="D23" s="67" t="s">
        <v>1029</v>
      </c>
      <c r="E23" s="67" t="s">
        <v>14</v>
      </c>
      <c r="F23" s="72" t="n">
        <v>1</v>
      </c>
      <c r="G23" s="67" t="s">
        <v>176</v>
      </c>
      <c r="H23" s="73" t="n">
        <v>8.28</v>
      </c>
      <c r="I23" s="73" t="n">
        <f aca="false">IFERROR(H23/F23,0)</f>
        <v>8.28</v>
      </c>
      <c r="J23" s="67" t="s">
        <v>1028</v>
      </c>
    </row>
    <row r="24" customFormat="false" ht="15" hidden="false" customHeight="true" outlineLevel="0" collapsed="false">
      <c r="A24" s="71" t="n">
        <v>46147</v>
      </c>
      <c r="B24" s="67" t="str">
        <f aca="false">TEXT(A24,"mmm/aaaa")</f>
        <v>Iyar/Tuesday</v>
      </c>
      <c r="C24" s="67" t="s">
        <v>36</v>
      </c>
      <c r="D24" s="67" t="s">
        <v>254</v>
      </c>
      <c r="E24" s="67" t="s">
        <v>12</v>
      </c>
      <c r="F24" s="72" t="n">
        <v>1</v>
      </c>
      <c r="G24" s="67" t="s">
        <v>179</v>
      </c>
      <c r="H24" s="73" t="n">
        <v>7.7</v>
      </c>
      <c r="I24" s="73" t="n">
        <f aca="false">IFERROR(H24/F24,0)</f>
        <v>7.7</v>
      </c>
      <c r="J24" s="67" t="s">
        <v>1028</v>
      </c>
    </row>
    <row r="25" customFormat="false" ht="15" hidden="false" customHeight="true" outlineLevel="0" collapsed="false">
      <c r="A25" s="71" t="n">
        <v>46147</v>
      </c>
      <c r="B25" s="67" t="str">
        <f aca="false">TEXT(A25,"mmm/aaaa")</f>
        <v>Iyar/Tuesday</v>
      </c>
      <c r="C25" s="67" t="s">
        <v>36</v>
      </c>
      <c r="D25" s="67" t="s">
        <v>256</v>
      </c>
      <c r="E25" s="67" t="s">
        <v>12</v>
      </c>
      <c r="F25" s="72" t="n">
        <v>1</v>
      </c>
      <c r="G25" s="67" t="s">
        <v>179</v>
      </c>
      <c r="H25" s="73" t="n">
        <v>5.99</v>
      </c>
      <c r="I25" s="73" t="n">
        <f aca="false">IFERROR(H25/F25,0)</f>
        <v>5.99</v>
      </c>
      <c r="J25" s="67" t="s">
        <v>1028</v>
      </c>
    </row>
    <row r="26" customFormat="false" ht="15" hidden="false" customHeight="true" outlineLevel="0" collapsed="false">
      <c r="A26" s="71" t="n">
        <v>46147</v>
      </c>
      <c r="B26" s="67" t="str">
        <f aca="false">TEXT(A26,"mmm/aaaa")</f>
        <v>Iyar/Tuesday</v>
      </c>
      <c r="C26" s="67" t="s">
        <v>36</v>
      </c>
      <c r="D26" s="67" t="s">
        <v>257</v>
      </c>
      <c r="E26" s="67" t="s">
        <v>12</v>
      </c>
      <c r="F26" s="72" t="n">
        <v>1</v>
      </c>
      <c r="G26" s="67" t="s">
        <v>179</v>
      </c>
      <c r="H26" s="73" t="n">
        <v>4.25</v>
      </c>
      <c r="I26" s="73" t="n">
        <f aca="false">IFERROR(H26/F26,0)</f>
        <v>4.25</v>
      </c>
      <c r="J26" s="67" t="s">
        <v>1028</v>
      </c>
    </row>
    <row r="27" customFormat="false" ht="15" hidden="false" customHeight="true" outlineLevel="0" collapsed="false">
      <c r="A27" s="71" t="n">
        <v>46147</v>
      </c>
      <c r="B27" s="67" t="str">
        <f aca="false">TEXT(A27,"mmm/aaaa")</f>
        <v>Iyar/Tuesday</v>
      </c>
      <c r="C27" s="67" t="s">
        <v>36</v>
      </c>
      <c r="D27" s="67" t="s">
        <v>259</v>
      </c>
      <c r="E27" s="67" t="s">
        <v>22</v>
      </c>
      <c r="F27" s="72" t="n">
        <v>1</v>
      </c>
      <c r="G27" s="67" t="s">
        <v>179</v>
      </c>
      <c r="H27" s="73" t="n">
        <v>2.99</v>
      </c>
      <c r="I27" s="73" t="n">
        <f aca="false">IFERROR(H27/F27,0)</f>
        <v>2.99</v>
      </c>
      <c r="J27" s="67" t="s">
        <v>1028</v>
      </c>
    </row>
    <row r="28" customFormat="false" ht="15" hidden="false" customHeight="true" outlineLevel="0" collapsed="false">
      <c r="A28" s="71" t="n">
        <v>46147</v>
      </c>
      <c r="B28" s="67" t="str">
        <f aca="false">TEXT(A28,"mmm/aaaa")</f>
        <v>Iyar/Tuesday</v>
      </c>
      <c r="C28" s="67" t="s">
        <v>36</v>
      </c>
      <c r="D28" s="67" t="s">
        <v>261</v>
      </c>
      <c r="E28" s="67" t="s">
        <v>12</v>
      </c>
      <c r="F28" s="72" t="n">
        <v>1</v>
      </c>
      <c r="G28" s="67" t="s">
        <v>179</v>
      </c>
      <c r="H28" s="73" t="n">
        <v>10.2</v>
      </c>
      <c r="I28" s="73" t="n">
        <f aca="false">IFERROR(H28/F28,0)</f>
        <v>10.2</v>
      </c>
      <c r="J28" s="67" t="s">
        <v>1028</v>
      </c>
    </row>
    <row r="29" customFormat="false" ht="15" hidden="false" customHeight="true" outlineLevel="0" collapsed="false">
      <c r="A29" s="71" t="n">
        <v>46147</v>
      </c>
      <c r="B29" s="67" t="str">
        <f aca="false">TEXT(A29,"mmm/aaaa")</f>
        <v>Iyar/Tuesday</v>
      </c>
      <c r="C29" s="67" t="s">
        <v>36</v>
      </c>
      <c r="D29" s="67" t="s">
        <v>263</v>
      </c>
      <c r="E29" s="67" t="s">
        <v>14</v>
      </c>
      <c r="F29" s="72" t="n">
        <v>1</v>
      </c>
      <c r="G29" s="67" t="s">
        <v>179</v>
      </c>
      <c r="H29" s="73" t="n">
        <v>6.55</v>
      </c>
      <c r="I29" s="73" t="n">
        <f aca="false">IFERROR(H29/F29,0)</f>
        <v>6.55</v>
      </c>
      <c r="J29" s="67" t="s">
        <v>1028</v>
      </c>
    </row>
    <row r="30" customFormat="false" ht="15" hidden="false" customHeight="true" outlineLevel="0" collapsed="false">
      <c r="A30" s="71" t="n">
        <v>46147</v>
      </c>
      <c r="B30" s="67" t="str">
        <f aca="false">TEXT(A30,"mmm/aaaa")</f>
        <v>Iyar/Tuesday</v>
      </c>
      <c r="C30" s="67" t="s">
        <v>36</v>
      </c>
      <c r="D30" s="67" t="s">
        <v>1030</v>
      </c>
      <c r="E30" s="67" t="s">
        <v>14</v>
      </c>
      <c r="F30" s="72" t="n">
        <v>1</v>
      </c>
      <c r="G30" s="67" t="s">
        <v>176</v>
      </c>
      <c r="H30" s="73" t="n">
        <v>8.11</v>
      </c>
      <c r="I30" s="73" t="n">
        <f aca="false">IFERROR(H30/F30,0)</f>
        <v>8.11</v>
      </c>
      <c r="J30" s="67" t="s">
        <v>1028</v>
      </c>
    </row>
    <row r="31" customFormat="false" ht="15" hidden="false" customHeight="true" outlineLevel="0" collapsed="false">
      <c r="A31" s="71" t="n">
        <v>46147</v>
      </c>
      <c r="B31" s="67" t="str">
        <f aca="false">TEXT(A31,"mmm/aaaa")</f>
        <v>Iyar/Tuesday</v>
      </c>
      <c r="C31" s="67" t="s">
        <v>36</v>
      </c>
      <c r="D31" s="67" t="s">
        <v>266</v>
      </c>
      <c r="E31" s="67" t="s">
        <v>12</v>
      </c>
      <c r="F31" s="72" t="n">
        <v>1</v>
      </c>
      <c r="G31" s="67" t="s">
        <v>179</v>
      </c>
      <c r="H31" s="73" t="n">
        <v>23.99</v>
      </c>
      <c r="I31" s="73" t="n">
        <f aca="false">IFERROR(H31/F31,0)</f>
        <v>23.99</v>
      </c>
      <c r="J31" s="67" t="s">
        <v>1028</v>
      </c>
    </row>
    <row r="32" customFormat="false" ht="15" hidden="false" customHeight="true" outlineLevel="0" collapsed="false">
      <c r="A32" s="71" t="n">
        <v>46147</v>
      </c>
      <c r="B32" s="67" t="str">
        <f aca="false">TEXT(A32,"mmm/aaaa")</f>
        <v>Iyar/Tuesday</v>
      </c>
      <c r="C32" s="67" t="s">
        <v>36</v>
      </c>
      <c r="D32" s="67" t="s">
        <v>268</v>
      </c>
      <c r="E32" s="67" t="s">
        <v>12</v>
      </c>
      <c r="F32" s="72" t="n">
        <v>1</v>
      </c>
      <c r="G32" s="67" t="s">
        <v>179</v>
      </c>
      <c r="H32" s="73" t="n">
        <v>16.5</v>
      </c>
      <c r="I32" s="73" t="n">
        <f aca="false">IFERROR(H32/F32,0)</f>
        <v>16.5</v>
      </c>
      <c r="J32" s="67" t="s">
        <v>1028</v>
      </c>
    </row>
    <row r="33" customFormat="false" ht="15" hidden="false" customHeight="true" outlineLevel="0" collapsed="false">
      <c r="A33" s="71" t="n">
        <v>46147</v>
      </c>
      <c r="B33" s="67" t="str">
        <f aca="false">TEXT(A33,"mmm/aaaa")</f>
        <v>Iyar/Tuesday</v>
      </c>
      <c r="C33" s="67" t="s">
        <v>36</v>
      </c>
      <c r="D33" s="67" t="s">
        <v>270</v>
      </c>
      <c r="E33" s="67" t="s">
        <v>12</v>
      </c>
      <c r="F33" s="72" t="n">
        <v>1</v>
      </c>
      <c r="G33" s="67" t="s">
        <v>179</v>
      </c>
      <c r="H33" s="73" t="n">
        <v>7.7</v>
      </c>
      <c r="I33" s="73" t="n">
        <f aca="false">IFERROR(H33/F33,0)</f>
        <v>7.7</v>
      </c>
      <c r="J33" s="67" t="s">
        <v>1028</v>
      </c>
    </row>
    <row r="34" customFormat="false" ht="15" hidden="false" customHeight="true" outlineLevel="0" collapsed="false">
      <c r="A34" s="71" t="n">
        <v>46147</v>
      </c>
      <c r="B34" s="67" t="str">
        <f aca="false">TEXT(A34,"mmm/aaaa")</f>
        <v>Iyar/Tuesday</v>
      </c>
      <c r="C34" s="67" t="s">
        <v>36</v>
      </c>
      <c r="D34" s="67" t="s">
        <v>272</v>
      </c>
      <c r="E34" s="67" t="s">
        <v>12</v>
      </c>
      <c r="F34" s="72" t="n">
        <v>1</v>
      </c>
      <c r="G34" s="67" t="s">
        <v>179</v>
      </c>
      <c r="H34" s="73" t="n">
        <v>14.9</v>
      </c>
      <c r="I34" s="73" t="n">
        <f aca="false">IFERROR(H34/F34,0)</f>
        <v>14.9</v>
      </c>
      <c r="J34" s="67" t="s">
        <v>1028</v>
      </c>
    </row>
    <row r="35" customFormat="false" ht="15" hidden="false" customHeight="true" outlineLevel="0" collapsed="false">
      <c r="A35" s="71" t="n">
        <v>46147</v>
      </c>
      <c r="B35" s="67" t="str">
        <f aca="false">TEXT(A35,"mmm/aaaa")</f>
        <v>Iyar/Tuesday</v>
      </c>
      <c r="C35" s="67" t="s">
        <v>36</v>
      </c>
      <c r="D35" s="67" t="s">
        <v>274</v>
      </c>
      <c r="E35" s="67" t="s">
        <v>19</v>
      </c>
      <c r="F35" s="72" t="n">
        <v>1</v>
      </c>
      <c r="G35" s="67" t="s">
        <v>179</v>
      </c>
      <c r="H35" s="73" t="n">
        <v>3.5</v>
      </c>
      <c r="I35" s="73" t="n">
        <f aca="false">IFERROR(H35/F35,0)</f>
        <v>3.5</v>
      </c>
      <c r="J35" s="67" t="s">
        <v>1028</v>
      </c>
    </row>
    <row r="36" customFormat="false" ht="15" hidden="false" customHeight="true" outlineLevel="0" collapsed="false">
      <c r="A36" s="71" t="n">
        <v>46147</v>
      </c>
      <c r="B36" s="67" t="str">
        <f aca="false">TEXT(A36,"mmm/aaaa")</f>
        <v>Iyar/Tuesday</v>
      </c>
      <c r="C36" s="67" t="s">
        <v>36</v>
      </c>
      <c r="D36" s="67" t="s">
        <v>276</v>
      </c>
      <c r="E36" s="67" t="s">
        <v>19</v>
      </c>
      <c r="F36" s="72" t="n">
        <v>1</v>
      </c>
      <c r="G36" s="67" t="s">
        <v>179</v>
      </c>
      <c r="H36" s="73" t="n">
        <v>7.45</v>
      </c>
      <c r="I36" s="73" t="n">
        <f aca="false">IFERROR(H36/F36,0)</f>
        <v>7.45</v>
      </c>
      <c r="J36" s="67" t="s">
        <v>1028</v>
      </c>
    </row>
    <row r="37" customFormat="false" ht="15" hidden="false" customHeight="true" outlineLevel="0" collapsed="false">
      <c r="A37" s="71" t="n">
        <v>46147</v>
      </c>
      <c r="B37" s="67" t="str">
        <f aca="false">TEXT(A37,"mmm/aaaa")</f>
        <v>Iyar/Tuesday</v>
      </c>
      <c r="C37" s="67" t="s">
        <v>36</v>
      </c>
      <c r="D37" s="67" t="s">
        <v>278</v>
      </c>
      <c r="E37" s="67" t="s">
        <v>19</v>
      </c>
      <c r="F37" s="72" t="n">
        <v>1</v>
      </c>
      <c r="G37" s="67" t="s">
        <v>179</v>
      </c>
      <c r="H37" s="73" t="n">
        <v>16.6</v>
      </c>
      <c r="I37" s="73" t="n">
        <f aca="false">IFERROR(H37/F37,0)</f>
        <v>16.6</v>
      </c>
      <c r="J37" s="67" t="s">
        <v>1028</v>
      </c>
    </row>
    <row r="38" customFormat="false" ht="15" hidden="false" customHeight="true" outlineLevel="0" collapsed="false">
      <c r="A38" s="71" t="n">
        <v>46148</v>
      </c>
      <c r="B38" s="67" t="str">
        <f aca="false">TEXT(A38,"mmm/aaaa")</f>
        <v>Iyar/Wednesday</v>
      </c>
      <c r="C38" s="67" t="s">
        <v>38</v>
      </c>
      <c r="D38" s="67" t="s">
        <v>282</v>
      </c>
      <c r="E38" s="67" t="s">
        <v>15</v>
      </c>
      <c r="F38" s="72" t="n">
        <v>0.574</v>
      </c>
      <c r="G38" s="67" t="s">
        <v>176</v>
      </c>
      <c r="H38" s="73" t="n">
        <v>2</v>
      </c>
      <c r="I38" s="73" t="n">
        <f aca="false">IFERROR(H38/F38,0)</f>
        <v>3.48432055749129</v>
      </c>
      <c r="J38" s="67" t="s">
        <v>1031</v>
      </c>
      <c r="K38" s="67" t="s">
        <v>1032</v>
      </c>
    </row>
    <row r="39" customFormat="false" ht="15" hidden="false" customHeight="true" outlineLevel="0" collapsed="false">
      <c r="A39" s="71" t="n">
        <v>46148</v>
      </c>
      <c r="B39" s="67" t="str">
        <f aca="false">TEXT(A39,"mmm/aaaa")</f>
        <v>Iyar/Wednesday</v>
      </c>
      <c r="C39" s="67" t="s">
        <v>38</v>
      </c>
      <c r="D39" s="67" t="s">
        <v>284</v>
      </c>
      <c r="E39" s="67" t="s">
        <v>15</v>
      </c>
      <c r="F39" s="72" t="n">
        <v>1.504</v>
      </c>
      <c r="G39" s="67" t="s">
        <v>176</v>
      </c>
      <c r="H39" s="73" t="n">
        <v>7.49</v>
      </c>
      <c r="I39" s="73" t="n">
        <f aca="false">IFERROR(H39/F39,0)</f>
        <v>4.98005319148936</v>
      </c>
      <c r="J39" s="67" t="s">
        <v>1031</v>
      </c>
      <c r="K39" s="67" t="s">
        <v>1032</v>
      </c>
    </row>
    <row r="40" customFormat="false" ht="15" hidden="false" customHeight="true" outlineLevel="0" collapsed="false">
      <c r="A40" s="71" t="n">
        <v>46148</v>
      </c>
      <c r="B40" s="67" t="str">
        <f aca="false">TEXT(A40,"mmm/aaaa")</f>
        <v>Iyar/Wednesday</v>
      </c>
      <c r="C40" s="67" t="s">
        <v>38</v>
      </c>
      <c r="D40" s="67" t="s">
        <v>286</v>
      </c>
      <c r="E40" s="67" t="s">
        <v>15</v>
      </c>
      <c r="F40" s="72" t="n">
        <v>0.702</v>
      </c>
      <c r="G40" s="67" t="s">
        <v>176</v>
      </c>
      <c r="H40" s="73" t="n">
        <v>8.2</v>
      </c>
      <c r="I40" s="73" t="n">
        <f aca="false">IFERROR(H40/F40,0)</f>
        <v>11.6809116809117</v>
      </c>
      <c r="J40" s="67" t="s">
        <v>1031</v>
      </c>
      <c r="K40" s="67" t="s">
        <v>1032</v>
      </c>
    </row>
    <row r="41" customFormat="false" ht="15" hidden="false" customHeight="true" outlineLevel="0" collapsed="false">
      <c r="A41" s="71" t="n">
        <v>46144</v>
      </c>
      <c r="B41" s="67" t="str">
        <f aca="false">TEXT(A41,"mmm/aaaa")</f>
        <v>Iyar/Shabbat</v>
      </c>
      <c r="C41" s="67" t="s">
        <v>45</v>
      </c>
      <c r="D41" s="67" t="s">
        <v>175</v>
      </c>
      <c r="E41" s="67" t="s">
        <v>14</v>
      </c>
      <c r="F41" s="72" t="n">
        <v>0.0859351318581388</v>
      </c>
      <c r="G41" s="67" t="s">
        <v>176</v>
      </c>
      <c r="H41" s="73" t="n">
        <v>5.67</v>
      </c>
      <c r="I41" s="73" t="n">
        <f aca="false">IFERROR(H41/F41,0)</f>
        <v>65.98</v>
      </c>
      <c r="J41" s="67" t="s">
        <v>1033</v>
      </c>
      <c r="K41" s="67" t="s">
        <v>1034</v>
      </c>
    </row>
    <row r="42" customFormat="false" ht="15" hidden="false" customHeight="true" outlineLevel="0" collapsed="false">
      <c r="A42" s="71" t="n">
        <v>46144</v>
      </c>
      <c r="B42" s="67" t="str">
        <f aca="false">TEXT(A42,"mmm/aaaa")</f>
        <v>Iyar/Shabbat</v>
      </c>
      <c r="C42" s="67" t="s">
        <v>45</v>
      </c>
      <c r="D42" s="67" t="s">
        <v>178</v>
      </c>
      <c r="E42" s="67" t="s">
        <v>12</v>
      </c>
      <c r="F42" s="72" t="n">
        <v>1</v>
      </c>
      <c r="G42" s="67" t="s">
        <v>179</v>
      </c>
      <c r="H42" s="73" t="n">
        <v>11.98</v>
      </c>
      <c r="I42" s="73" t="n">
        <f aca="false">IFERROR(H42/F42,0)</f>
        <v>11.98</v>
      </c>
      <c r="J42" s="67" t="s">
        <v>1033</v>
      </c>
      <c r="K42" s="67" t="s">
        <v>1035</v>
      </c>
    </row>
    <row r="43" customFormat="false" ht="15" hidden="false" customHeight="true" outlineLevel="0" collapsed="false">
      <c r="A43" s="71" t="n">
        <v>46144</v>
      </c>
      <c r="B43" s="67" t="str">
        <f aca="false">TEXT(A43,"mmm/aaaa")</f>
        <v>Iyar/Shabbat</v>
      </c>
      <c r="C43" s="67" t="s">
        <v>45</v>
      </c>
      <c r="D43" s="67" t="s">
        <v>181</v>
      </c>
      <c r="E43" s="67" t="s">
        <v>14</v>
      </c>
      <c r="F43" s="72" t="n">
        <v>0.59</v>
      </c>
      <c r="G43" s="67" t="s">
        <v>176</v>
      </c>
      <c r="H43" s="73" t="n">
        <v>10.02</v>
      </c>
      <c r="I43" s="73" t="n">
        <f aca="false">IFERROR(H43/F43,0)</f>
        <v>16.9830508474576</v>
      </c>
      <c r="J43" s="67" t="s">
        <v>1033</v>
      </c>
      <c r="K43" s="67" t="s">
        <v>1035</v>
      </c>
    </row>
    <row r="44" customFormat="false" ht="13.5" hidden="false" customHeight="true" outlineLevel="0" collapsed="false">
      <c r="A44" s="74" t="n">
        <v>46151</v>
      </c>
      <c r="B44" s="75" t="str">
        <f aca="false">TEXT(A44,"mmm/aaaa")</f>
        <v>Iyar/Shabbat</v>
      </c>
      <c r="C44" s="75" t="s">
        <v>37</v>
      </c>
      <c r="D44" s="75" t="s">
        <v>290</v>
      </c>
      <c r="E44" s="75" t="s">
        <v>15</v>
      </c>
      <c r="F44" s="76" t="n">
        <v>0.645</v>
      </c>
      <c r="G44" s="75" t="s">
        <v>176</v>
      </c>
      <c r="H44" s="77" t="n">
        <v>1.28</v>
      </c>
      <c r="I44" s="77" t="n">
        <f aca="false">IFERROR(H44/F44,0)</f>
        <v>1.98449612403101</v>
      </c>
      <c r="J44" s="75" t="s">
        <v>1036</v>
      </c>
      <c r="K44" s="78" t="s">
        <v>1037</v>
      </c>
    </row>
    <row r="45" customFormat="false" ht="13.5" hidden="false" customHeight="true" outlineLevel="0" collapsed="false">
      <c r="A45" s="79" t="n">
        <v>46151</v>
      </c>
      <c r="B45" s="80" t="str">
        <f aca="false">TEXT(A45,"mmm/aaaa")</f>
        <v>Iyar/Shabbat</v>
      </c>
      <c r="C45" s="80" t="s">
        <v>37</v>
      </c>
      <c r="D45" s="80" t="s">
        <v>292</v>
      </c>
      <c r="E45" s="80" t="s">
        <v>12</v>
      </c>
      <c r="F45" s="81" t="n">
        <v>1</v>
      </c>
      <c r="G45" s="80" t="s">
        <v>179</v>
      </c>
      <c r="H45" s="82" t="n">
        <v>14.9</v>
      </c>
      <c r="I45" s="82" t="n">
        <f aca="false">IFERROR(H45/F45,0)</f>
        <v>14.9</v>
      </c>
      <c r="J45" s="80" t="s">
        <v>1036</v>
      </c>
      <c r="K45" s="83" t="s">
        <v>1037</v>
      </c>
    </row>
    <row r="46" customFormat="false" ht="13.5" hidden="false" customHeight="true" outlineLevel="0" collapsed="false">
      <c r="A46" s="84" t="n">
        <v>46152</v>
      </c>
      <c r="B46" s="85" t="str">
        <f aca="false">TEXT(A46,"mmm/aaaa")</f>
        <v>Iyar/Sunday</v>
      </c>
      <c r="C46" s="85" t="s">
        <v>41</v>
      </c>
      <c r="D46" s="85" t="s">
        <v>296</v>
      </c>
      <c r="E46" s="85" t="s">
        <v>17</v>
      </c>
      <c r="F46" s="86" t="n">
        <v>1.04</v>
      </c>
      <c r="G46" s="85" t="s">
        <v>176</v>
      </c>
      <c r="H46" s="87" t="n">
        <v>34.22</v>
      </c>
      <c r="I46" s="87" t="n">
        <f aca="false">IFERROR(H46/F46,0)</f>
        <v>32.9038461538462</v>
      </c>
      <c r="J46" s="85" t="s">
        <v>1038</v>
      </c>
      <c r="K46" s="85" t="s">
        <v>1039</v>
      </c>
    </row>
    <row r="47" customFormat="false" ht="13.5" hidden="false" customHeight="true" outlineLevel="0" collapsed="false">
      <c r="A47" s="88" t="n">
        <v>46152</v>
      </c>
      <c r="B47" s="89" t="str">
        <f aca="false">TEXT(A47,"mmm/aaaa")</f>
        <v>Iyar/Sunday</v>
      </c>
      <c r="C47" s="89" t="s">
        <v>41</v>
      </c>
      <c r="D47" s="89" t="s">
        <v>298</v>
      </c>
      <c r="E47" s="89" t="s">
        <v>17</v>
      </c>
      <c r="F47" s="90" t="n">
        <v>0.554</v>
      </c>
      <c r="G47" s="89" t="s">
        <v>176</v>
      </c>
      <c r="H47" s="91" t="n">
        <v>44.26</v>
      </c>
      <c r="I47" s="91" t="n">
        <f aca="false">IFERROR(H47/F47,0)</f>
        <v>79.8916967509025</v>
      </c>
      <c r="J47" s="89" t="s">
        <v>1038</v>
      </c>
      <c r="K47" s="89" t="s">
        <v>1039</v>
      </c>
    </row>
    <row r="48" customFormat="false" ht="13.5" hidden="false" customHeight="true" outlineLevel="0" collapsed="false">
      <c r="A48" s="84" t="n">
        <v>46152</v>
      </c>
      <c r="B48" s="85" t="str">
        <f aca="false">TEXT(A48,"mmm/aaaa")</f>
        <v>Iyar/Sunday</v>
      </c>
      <c r="C48" s="85" t="s">
        <v>38</v>
      </c>
      <c r="D48" s="85" t="s">
        <v>284</v>
      </c>
      <c r="E48" s="85" t="s">
        <v>15</v>
      </c>
      <c r="F48" s="86" t="n">
        <v>1.312</v>
      </c>
      <c r="G48" s="85" t="s">
        <v>176</v>
      </c>
      <c r="H48" s="87" t="n">
        <v>6.53</v>
      </c>
      <c r="I48" s="87" t="n">
        <f aca="false">IFERROR(H48/F48,0)</f>
        <v>4.97713414634146</v>
      </c>
      <c r="J48" s="85" t="s">
        <v>1040</v>
      </c>
      <c r="K48" s="85" t="s">
        <v>1041</v>
      </c>
    </row>
    <row r="49" customFormat="false" ht="13.5" hidden="false" customHeight="true" outlineLevel="0" collapsed="false">
      <c r="A49" s="88" t="n">
        <v>46152</v>
      </c>
      <c r="B49" s="89" t="str">
        <f aca="false">TEXT(A49,"mmm/aaaa")</f>
        <v>Iyar/Sunday</v>
      </c>
      <c r="C49" s="89" t="s">
        <v>38</v>
      </c>
      <c r="D49" s="89" t="s">
        <v>301</v>
      </c>
      <c r="E49" s="89" t="s">
        <v>12</v>
      </c>
      <c r="F49" s="90" t="n">
        <v>6</v>
      </c>
      <c r="G49" s="89" t="s">
        <v>179</v>
      </c>
      <c r="H49" s="91" t="n">
        <v>7.2</v>
      </c>
      <c r="I49" s="91" t="n">
        <f aca="false">IFERROR(H49/F49,0)</f>
        <v>1.2</v>
      </c>
      <c r="J49" s="89" t="s">
        <v>1040</v>
      </c>
      <c r="K49" s="89" t="s">
        <v>1041</v>
      </c>
    </row>
    <row r="50" customFormat="false" ht="13.5" hidden="false" customHeight="true" outlineLevel="0" collapsed="false">
      <c r="A50" s="84" t="n">
        <v>46152</v>
      </c>
      <c r="B50" s="85" t="str">
        <f aca="false">TEXT(A50,"mmm/aaaa")</f>
        <v>Iyar/Sunday</v>
      </c>
      <c r="C50" s="85" t="s">
        <v>44</v>
      </c>
      <c r="D50" s="85" t="s">
        <v>305</v>
      </c>
      <c r="E50" s="85" t="s">
        <v>12</v>
      </c>
      <c r="F50" s="86" t="n">
        <v>4</v>
      </c>
      <c r="G50" s="85" t="s">
        <v>306</v>
      </c>
      <c r="H50" s="87" t="n">
        <v>19.96</v>
      </c>
      <c r="I50" s="87" t="n">
        <f aca="false">IFERROR(H50/F50,0)</f>
        <v>4.99</v>
      </c>
      <c r="J50" s="85" t="s">
        <v>1042</v>
      </c>
      <c r="K50" s="85" t="s">
        <v>1043</v>
      </c>
    </row>
    <row r="51" customFormat="false" ht="13.5" hidden="false" customHeight="true" outlineLevel="0" collapsed="false">
      <c r="A51" s="88" t="n">
        <v>46152</v>
      </c>
      <c r="B51" s="89" t="str">
        <f aca="false">TEXT(A51,"mmm/aaaa")</f>
        <v>Iyar/Sunday</v>
      </c>
      <c r="C51" s="89" t="s">
        <v>44</v>
      </c>
      <c r="D51" s="89" t="s">
        <v>308</v>
      </c>
      <c r="E51" s="89" t="s">
        <v>12</v>
      </c>
      <c r="F51" s="90" t="n">
        <v>10</v>
      </c>
      <c r="G51" s="89" t="s">
        <v>179</v>
      </c>
      <c r="H51" s="91" t="n">
        <v>10</v>
      </c>
      <c r="I51" s="91" t="n">
        <f aca="false">IFERROR(H51/F51,0)</f>
        <v>1</v>
      </c>
      <c r="J51" s="89" t="s">
        <v>1042</v>
      </c>
      <c r="K51" s="89" t="s">
        <v>1044</v>
      </c>
    </row>
    <row r="52" customFormat="false" ht="13.5" hidden="false" customHeight="true" outlineLevel="0" collapsed="false">
      <c r="A52" s="84" t="n">
        <v>46152</v>
      </c>
      <c r="B52" s="85" t="str">
        <f aca="false">TEXT(A52,"mmm/aaaa")</f>
        <v>Iyar/Sunday</v>
      </c>
      <c r="C52" s="85" t="s">
        <v>44</v>
      </c>
      <c r="D52" s="85" t="s">
        <v>310</v>
      </c>
      <c r="E52" s="85" t="s">
        <v>16</v>
      </c>
      <c r="F52" s="86" t="n">
        <v>4</v>
      </c>
      <c r="G52" s="85" t="s">
        <v>311</v>
      </c>
      <c r="H52" s="87" t="n">
        <v>10</v>
      </c>
      <c r="I52" s="87" t="n">
        <f aca="false">IFERROR(H52/F52,0)</f>
        <v>2.5</v>
      </c>
      <c r="J52" s="85" t="s">
        <v>1042</v>
      </c>
      <c r="K52" s="85" t="s">
        <v>1043</v>
      </c>
    </row>
    <row r="53" customFormat="false" ht="13.5" hidden="false" customHeight="true" outlineLevel="0" collapsed="false">
      <c r="A53" s="88" t="n">
        <v>46152</v>
      </c>
      <c r="B53" s="89" t="str">
        <f aca="false">TEXT(A53,"mmm/aaaa")</f>
        <v>Iyar/Sunday</v>
      </c>
      <c r="C53" s="89" t="s">
        <v>47</v>
      </c>
      <c r="D53" s="89" t="s">
        <v>1045</v>
      </c>
      <c r="E53" s="89" t="s">
        <v>16</v>
      </c>
      <c r="F53" s="90" t="n">
        <v>1</v>
      </c>
      <c r="G53" s="89" t="s">
        <v>179</v>
      </c>
      <c r="H53" s="91" t="n">
        <v>10.2</v>
      </c>
      <c r="I53" s="91" t="n">
        <f aca="false">IFERROR(H53/F53,0)</f>
        <v>10.2</v>
      </c>
      <c r="J53" s="89" t="s">
        <v>1046</v>
      </c>
      <c r="K53" s="89" t="s">
        <v>1047</v>
      </c>
    </row>
    <row r="54" customFormat="false" ht="13.5" hidden="false" customHeight="true" outlineLevel="0" collapsed="false">
      <c r="A54" s="84" t="n">
        <v>46152</v>
      </c>
      <c r="B54" s="85" t="str">
        <f aca="false">TEXT(A54,"mmm/aaaa")</f>
        <v>Iyar/Sunday</v>
      </c>
      <c r="C54" s="85" t="s">
        <v>47</v>
      </c>
      <c r="D54" s="85" t="s">
        <v>317</v>
      </c>
      <c r="E54" s="85" t="s">
        <v>14</v>
      </c>
      <c r="F54" s="86" t="n">
        <v>1</v>
      </c>
      <c r="G54" s="85" t="s">
        <v>179</v>
      </c>
      <c r="H54" s="87" t="n">
        <v>3.99</v>
      </c>
      <c r="I54" s="87" t="n">
        <f aca="false">IFERROR(H54/F54,0)</f>
        <v>3.99</v>
      </c>
      <c r="J54" s="85" t="s">
        <v>1046</v>
      </c>
      <c r="K54" s="85" t="s">
        <v>1048</v>
      </c>
    </row>
    <row r="55" customFormat="false" ht="13.5" hidden="false" customHeight="true" outlineLevel="0" collapsed="false">
      <c r="A55" s="88" t="n">
        <v>46152</v>
      </c>
      <c r="B55" s="89" t="str">
        <f aca="false">TEXT(A55,"mmm/aaaa")</f>
        <v>Iyar/Sunday</v>
      </c>
      <c r="C55" s="89" t="s">
        <v>47</v>
      </c>
      <c r="D55" s="89" t="s">
        <v>317</v>
      </c>
      <c r="E55" s="89" t="s">
        <v>14</v>
      </c>
      <c r="F55" s="90" t="n">
        <v>1</v>
      </c>
      <c r="G55" s="89" t="s">
        <v>179</v>
      </c>
      <c r="H55" s="91" t="n">
        <v>3.99</v>
      </c>
      <c r="I55" s="91" t="n">
        <f aca="false">IFERROR(H55/F55,0)</f>
        <v>3.99</v>
      </c>
      <c r="J55" s="89" t="s">
        <v>1046</v>
      </c>
      <c r="K55" s="89" t="s">
        <v>1048</v>
      </c>
    </row>
    <row r="56" customFormat="false" ht="13.5" hidden="false" customHeight="true" outlineLevel="0" collapsed="false">
      <c r="A56" s="84" t="n">
        <v>46152</v>
      </c>
      <c r="B56" s="85" t="str">
        <f aca="false">TEXT(A56,"mmm/aaaa")</f>
        <v>Iyar/Sunday</v>
      </c>
      <c r="C56" s="85" t="s">
        <v>36</v>
      </c>
      <c r="D56" s="85" t="s">
        <v>322</v>
      </c>
      <c r="E56" s="85" t="s">
        <v>14</v>
      </c>
      <c r="F56" s="86" t="n">
        <v>0.706</v>
      </c>
      <c r="G56" s="85" t="s">
        <v>176</v>
      </c>
      <c r="H56" s="87" t="n">
        <v>55.77</v>
      </c>
      <c r="I56" s="87" t="n">
        <f aca="false">IFERROR(H56/F56,0)</f>
        <v>78.9943342776204</v>
      </c>
      <c r="J56" s="85" t="s">
        <v>1049</v>
      </c>
      <c r="K56" s="85" t="s">
        <v>1050</v>
      </c>
    </row>
    <row r="57" customFormat="false" ht="13.5" hidden="false" customHeight="true" outlineLevel="0" collapsed="false">
      <c r="A57" s="88" t="n">
        <v>46152</v>
      </c>
      <c r="B57" s="89" t="str">
        <f aca="false">TEXT(A57,"mmm/aaaa")</f>
        <v>Iyar/Sunday</v>
      </c>
      <c r="C57" s="89" t="s">
        <v>36</v>
      </c>
      <c r="D57" s="89" t="s">
        <v>323</v>
      </c>
      <c r="E57" s="89" t="s">
        <v>12</v>
      </c>
      <c r="F57" s="90" t="n">
        <v>0.866</v>
      </c>
      <c r="G57" s="89" t="s">
        <v>179</v>
      </c>
      <c r="H57" s="91" t="n">
        <v>29.44</v>
      </c>
      <c r="I57" s="91" t="n">
        <f aca="false">IFERROR(H57/F57,0)</f>
        <v>33.9953810623557</v>
      </c>
      <c r="J57" s="89" t="s">
        <v>1049</v>
      </c>
      <c r="K57" s="89" t="s">
        <v>1050</v>
      </c>
    </row>
    <row r="58" customFormat="false" ht="13.5" hidden="false" customHeight="true" outlineLevel="0" collapsed="false">
      <c r="A58" s="84" t="n">
        <v>46152</v>
      </c>
      <c r="B58" s="85" t="str">
        <f aca="false">TEXT(A58,"mmm/aaaa")</f>
        <v>Iyar/Sunday</v>
      </c>
      <c r="C58" s="85" t="s">
        <v>36</v>
      </c>
      <c r="D58" s="85" t="s">
        <v>325</v>
      </c>
      <c r="E58" s="85" t="s">
        <v>13</v>
      </c>
      <c r="F58" s="86" t="n">
        <v>1</v>
      </c>
      <c r="G58" s="85" t="s">
        <v>179</v>
      </c>
      <c r="H58" s="87" t="n">
        <v>8.25</v>
      </c>
      <c r="I58" s="87" t="n">
        <f aca="false">IFERROR(H58/F58,0)</f>
        <v>8.25</v>
      </c>
      <c r="J58" s="85" t="s">
        <v>1049</v>
      </c>
      <c r="K58" s="85" t="s">
        <v>1050</v>
      </c>
    </row>
    <row r="59" customFormat="false" ht="13.5" hidden="false" customHeight="true" outlineLevel="0" collapsed="false">
      <c r="A59" s="92" t="n">
        <v>46158</v>
      </c>
      <c r="B59" s="93" t="str">
        <f aca="false">TEXT(A59,"mmm/aaaa")</f>
        <v>Iyar/Shabbat</v>
      </c>
      <c r="C59" s="93" t="s">
        <v>40</v>
      </c>
      <c r="D59" s="93" t="s">
        <v>1051</v>
      </c>
      <c r="E59" s="93" t="s">
        <v>12</v>
      </c>
      <c r="F59" s="94" t="n">
        <v>1</v>
      </c>
      <c r="G59" s="95" t="s">
        <v>179</v>
      </c>
      <c r="H59" s="96" t="n">
        <v>16.9</v>
      </c>
      <c r="I59" s="96" t="n">
        <f aca="false">IFERROR(H59/F59,0)</f>
        <v>16.9</v>
      </c>
      <c r="J59" s="93" t="s">
        <v>1052</v>
      </c>
      <c r="K59" s="97" t="s">
        <v>1053</v>
      </c>
    </row>
    <row r="60" customFormat="false" ht="13.5" hidden="false" customHeight="true" outlineLevel="0" collapsed="false">
      <c r="A60" s="98" t="n">
        <v>46158</v>
      </c>
      <c r="B60" s="99" t="str">
        <f aca="false">TEXT(A60,"mmm/aaaa")</f>
        <v>Iyar/Shabbat</v>
      </c>
      <c r="C60" s="99" t="s">
        <v>40</v>
      </c>
      <c r="D60" s="99" t="s">
        <v>491</v>
      </c>
      <c r="E60" s="99" t="s">
        <v>15</v>
      </c>
      <c r="F60" s="100" t="n">
        <v>1</v>
      </c>
      <c r="G60" s="99" t="s">
        <v>179</v>
      </c>
      <c r="H60" s="101" t="n">
        <v>6.98</v>
      </c>
      <c r="I60" s="101" t="n">
        <f aca="false">IFERROR(H60/F60,0)</f>
        <v>6.98</v>
      </c>
      <c r="J60" s="99" t="s">
        <v>1052</v>
      </c>
      <c r="K60" s="102" t="s">
        <v>1054</v>
      </c>
    </row>
    <row r="61" customFormat="false" ht="13.5" hidden="false" customHeight="true" outlineLevel="0" collapsed="false">
      <c r="A61" s="92" t="n">
        <v>46158</v>
      </c>
      <c r="B61" s="93" t="str">
        <f aca="false">TEXT(A61,"mmm/aaaa")</f>
        <v>Iyar/Shabbat</v>
      </c>
      <c r="C61" s="93" t="s">
        <v>40</v>
      </c>
      <c r="D61" s="93" t="s">
        <v>464</v>
      </c>
      <c r="E61" s="93" t="s">
        <v>14</v>
      </c>
      <c r="F61" s="94" t="n">
        <v>0.358</v>
      </c>
      <c r="G61" s="93" t="s">
        <v>176</v>
      </c>
      <c r="H61" s="96" t="n">
        <v>8.2</v>
      </c>
      <c r="I61" s="96" t="n">
        <f aca="false">IFERROR(H61/F61,0)</f>
        <v>22.9050279329609</v>
      </c>
      <c r="J61" s="93" t="s">
        <v>1052</v>
      </c>
      <c r="K61" s="97" t="s">
        <v>1055</v>
      </c>
    </row>
    <row r="62" customFormat="false" ht="13.5" hidden="false" customHeight="true" outlineLevel="0" collapsed="false">
      <c r="A62" s="98" t="n">
        <v>46158</v>
      </c>
      <c r="B62" s="99" t="str">
        <f aca="false">TEXT(A62,"mmm/aaaa")</f>
        <v>Iyar/Shabbat</v>
      </c>
      <c r="C62" s="99" t="s">
        <v>40</v>
      </c>
      <c r="D62" s="99" t="s">
        <v>1056</v>
      </c>
      <c r="E62" s="99" t="s">
        <v>15</v>
      </c>
      <c r="F62" s="100" t="n">
        <v>0.635</v>
      </c>
      <c r="G62" s="99" t="s">
        <v>176</v>
      </c>
      <c r="H62" s="101" t="n">
        <v>11.37</v>
      </c>
      <c r="I62" s="101" t="n">
        <f aca="false">IFERROR(H62/F62,0)</f>
        <v>17.9055118110236</v>
      </c>
      <c r="J62" s="99" t="s">
        <v>1052</v>
      </c>
      <c r="K62" s="102" t="s">
        <v>1057</v>
      </c>
    </row>
    <row r="63" customFormat="false" ht="13.5" hidden="false" customHeight="true" outlineLevel="0" collapsed="false">
      <c r="A63" s="92" t="n">
        <v>46158</v>
      </c>
      <c r="B63" s="93" t="str">
        <f aca="false">TEXT(A63,"mmm/aaaa")</f>
        <v>Iyar/Shabbat</v>
      </c>
      <c r="C63" s="93" t="s">
        <v>40</v>
      </c>
      <c r="D63" s="93" t="s">
        <v>1058</v>
      </c>
      <c r="E63" s="93" t="s">
        <v>15</v>
      </c>
      <c r="F63" s="94" t="n">
        <v>0.635</v>
      </c>
      <c r="G63" s="93" t="s">
        <v>176</v>
      </c>
      <c r="H63" s="96" t="n">
        <v>5.07</v>
      </c>
      <c r="I63" s="96" t="n">
        <f aca="false">IFERROR(H63/F63,0)</f>
        <v>7.98425196850394</v>
      </c>
      <c r="J63" s="93" t="s">
        <v>1052</v>
      </c>
      <c r="K63" s="97" t="s">
        <v>1059</v>
      </c>
    </row>
    <row r="64" customFormat="false" ht="13.5" hidden="false" customHeight="true" outlineLevel="0" collapsed="false">
      <c r="A64" s="98" t="n">
        <v>46157</v>
      </c>
      <c r="B64" s="99" t="str">
        <f aca="false">TEXT(A64,"mmm/aaaa")</f>
        <v>Iyar/Friday</v>
      </c>
      <c r="C64" s="99" t="s">
        <v>36</v>
      </c>
      <c r="D64" s="99" t="s">
        <v>1060</v>
      </c>
      <c r="E64" s="99" t="s">
        <v>12</v>
      </c>
      <c r="F64" s="100" t="n">
        <v>1</v>
      </c>
      <c r="G64" s="99" t="s">
        <v>179</v>
      </c>
      <c r="H64" s="101" t="n">
        <v>3.6</v>
      </c>
      <c r="I64" s="101" t="n">
        <f aca="false">IFERROR(H64/F64,0)</f>
        <v>3.6</v>
      </c>
      <c r="J64" s="99" t="s">
        <v>1061</v>
      </c>
      <c r="K64" s="102"/>
    </row>
    <row r="65" customFormat="false" ht="13.5" hidden="false" customHeight="true" outlineLevel="0" collapsed="false">
      <c r="A65" s="92" t="n">
        <v>46157</v>
      </c>
      <c r="B65" s="93" t="str">
        <f aca="false">TEXT(A65,"mmm/aaaa")</f>
        <v>Iyar/Friday</v>
      </c>
      <c r="C65" s="93" t="s">
        <v>36</v>
      </c>
      <c r="D65" s="93" t="s">
        <v>1062</v>
      </c>
      <c r="E65" s="93" t="s">
        <v>12</v>
      </c>
      <c r="F65" s="94" t="n">
        <v>1</v>
      </c>
      <c r="G65" s="93" t="s">
        <v>179</v>
      </c>
      <c r="H65" s="96" t="n">
        <v>7.99</v>
      </c>
      <c r="I65" s="96" t="n">
        <f aca="false">IFERROR(H65/F65,0)</f>
        <v>7.99</v>
      </c>
      <c r="J65" s="93" t="s">
        <v>1061</v>
      </c>
      <c r="K65" s="97"/>
    </row>
    <row r="66" customFormat="false" ht="13.5" hidden="false" customHeight="true" outlineLevel="0" collapsed="false">
      <c r="A66" s="98" t="n">
        <v>46157</v>
      </c>
      <c r="B66" s="99" t="str">
        <f aca="false">TEXT(A66,"mmm/aaaa")</f>
        <v>Iyar/Friday</v>
      </c>
      <c r="C66" s="99" t="s">
        <v>36</v>
      </c>
      <c r="D66" s="99" t="s">
        <v>1063</v>
      </c>
      <c r="E66" s="99" t="s">
        <v>12</v>
      </c>
      <c r="F66" s="100" t="n">
        <v>1</v>
      </c>
      <c r="G66" s="99" t="s">
        <v>179</v>
      </c>
      <c r="H66" s="101" t="n">
        <v>21</v>
      </c>
      <c r="I66" s="101" t="n">
        <f aca="false">IFERROR(H66/F66,0)</f>
        <v>21</v>
      </c>
      <c r="J66" s="99" t="s">
        <v>1061</v>
      </c>
      <c r="K66" s="102"/>
    </row>
    <row r="67" customFormat="false" ht="13.5" hidden="false" customHeight="true" outlineLevel="0" collapsed="false">
      <c r="A67" s="92" t="n">
        <v>46157</v>
      </c>
      <c r="B67" s="93" t="str">
        <f aca="false">TEXT(A67,"mmm/aaaa")</f>
        <v>Iyar/Friday</v>
      </c>
      <c r="C67" s="93" t="s">
        <v>36</v>
      </c>
      <c r="D67" s="93" t="s">
        <v>1064</v>
      </c>
      <c r="E67" s="93" t="s">
        <v>12</v>
      </c>
      <c r="F67" s="94" t="n">
        <v>1</v>
      </c>
      <c r="G67" s="93" t="s">
        <v>179</v>
      </c>
      <c r="H67" s="96" t="n">
        <v>10.7</v>
      </c>
      <c r="I67" s="96" t="n">
        <f aca="false">IFERROR(H67/F67,0)</f>
        <v>10.7</v>
      </c>
      <c r="J67" s="93" t="s">
        <v>1061</v>
      </c>
      <c r="K67" s="97"/>
    </row>
    <row r="68" customFormat="false" ht="13.5" hidden="false" customHeight="true" outlineLevel="0" collapsed="false">
      <c r="A68" s="98" t="n">
        <v>46157</v>
      </c>
      <c r="B68" s="99" t="str">
        <f aca="false">TEXT(A68,"mmm/aaaa")</f>
        <v>Iyar/Friday</v>
      </c>
      <c r="C68" s="99" t="s">
        <v>36</v>
      </c>
      <c r="D68" s="99" t="s">
        <v>1065</v>
      </c>
      <c r="E68" s="99" t="s">
        <v>12</v>
      </c>
      <c r="F68" s="100" t="n">
        <v>1</v>
      </c>
      <c r="G68" s="99" t="s">
        <v>179</v>
      </c>
      <c r="H68" s="101" t="n">
        <v>3.89</v>
      </c>
      <c r="I68" s="101" t="n">
        <f aca="false">IFERROR(H68/F68,0)</f>
        <v>3.89</v>
      </c>
      <c r="J68" s="99" t="s">
        <v>1061</v>
      </c>
      <c r="K68" s="102"/>
    </row>
    <row r="69" customFormat="false" ht="13.5" hidden="false" customHeight="true" outlineLevel="0" collapsed="false">
      <c r="A69" s="92" t="n">
        <v>46157</v>
      </c>
      <c r="B69" s="93" t="str">
        <f aca="false">TEXT(A69,"mmm/aaaa")</f>
        <v>Iyar/Friday</v>
      </c>
      <c r="C69" s="93" t="s">
        <v>36</v>
      </c>
      <c r="D69" s="93" t="s">
        <v>1066</v>
      </c>
      <c r="E69" s="93" t="s">
        <v>12</v>
      </c>
      <c r="F69" s="94" t="n">
        <v>1</v>
      </c>
      <c r="G69" s="93" t="s">
        <v>179</v>
      </c>
      <c r="H69" s="96" t="n">
        <v>9.2</v>
      </c>
      <c r="I69" s="96" t="n">
        <f aca="false">IFERROR(H69/F69,0)</f>
        <v>9.2</v>
      </c>
      <c r="J69" s="93" t="s">
        <v>1061</v>
      </c>
      <c r="K69" s="97"/>
    </row>
    <row r="70" customFormat="false" ht="13.5" hidden="false" customHeight="true" outlineLevel="0" collapsed="false">
      <c r="A70" s="98" t="n">
        <v>46157</v>
      </c>
      <c r="B70" s="99" t="str">
        <f aca="false">TEXT(A70,"mmm/aaaa")</f>
        <v>Iyar/Friday</v>
      </c>
      <c r="C70" s="99" t="s">
        <v>36</v>
      </c>
      <c r="D70" s="99" t="s">
        <v>195</v>
      </c>
      <c r="E70" s="99" t="s">
        <v>12</v>
      </c>
      <c r="F70" s="100" t="n">
        <v>1</v>
      </c>
      <c r="G70" s="99" t="s">
        <v>179</v>
      </c>
      <c r="H70" s="101" t="n">
        <v>11.99</v>
      </c>
      <c r="I70" s="101" t="n">
        <f aca="false">IFERROR(H70/F70,0)</f>
        <v>11.99</v>
      </c>
      <c r="J70" s="99" t="s">
        <v>1061</v>
      </c>
      <c r="K70" s="102"/>
    </row>
    <row r="71" customFormat="false" ht="13.5" hidden="false" customHeight="true" outlineLevel="0" collapsed="false">
      <c r="A71" s="92" t="n">
        <v>46157</v>
      </c>
      <c r="B71" s="93" t="str">
        <f aca="false">TEXT(A71,"mmm/aaaa")</f>
        <v>Iyar/Friday</v>
      </c>
      <c r="C71" s="93" t="s">
        <v>36</v>
      </c>
      <c r="D71" s="93" t="s">
        <v>1067</v>
      </c>
      <c r="E71" s="93" t="s">
        <v>12</v>
      </c>
      <c r="F71" s="94" t="n">
        <v>1</v>
      </c>
      <c r="G71" s="93" t="s">
        <v>179</v>
      </c>
      <c r="H71" s="96" t="n">
        <v>2.95</v>
      </c>
      <c r="I71" s="96" t="n">
        <f aca="false">IFERROR(H71/F71,0)</f>
        <v>2.95</v>
      </c>
      <c r="J71" s="93" t="s">
        <v>1061</v>
      </c>
      <c r="K71" s="97"/>
    </row>
    <row r="72" customFormat="false" ht="13.5" hidden="false" customHeight="true" outlineLevel="0" collapsed="false">
      <c r="A72" s="98" t="n">
        <v>46157</v>
      </c>
      <c r="B72" s="99" t="str">
        <f aca="false">TEXT(A72,"mmm/aaaa")</f>
        <v>Iyar/Friday</v>
      </c>
      <c r="C72" s="99" t="s">
        <v>36</v>
      </c>
      <c r="D72" s="99" t="s">
        <v>1068</v>
      </c>
      <c r="E72" s="99" t="s">
        <v>12</v>
      </c>
      <c r="F72" s="100" t="n">
        <v>1</v>
      </c>
      <c r="G72" s="99" t="s">
        <v>179</v>
      </c>
      <c r="H72" s="101" t="n">
        <v>2.75</v>
      </c>
      <c r="I72" s="101" t="n">
        <f aca="false">IFERROR(H72/F72,0)</f>
        <v>2.75</v>
      </c>
      <c r="J72" s="99" t="s">
        <v>1061</v>
      </c>
      <c r="K72" s="102"/>
    </row>
    <row r="73" customFormat="false" ht="13.5" hidden="false" customHeight="true" outlineLevel="0" collapsed="false">
      <c r="A73" s="92" t="n">
        <v>46157</v>
      </c>
      <c r="B73" s="93" t="str">
        <f aca="false">TEXT(A73,"mmm/aaaa")</f>
        <v>Iyar/Friday</v>
      </c>
      <c r="C73" s="93" t="s">
        <v>36</v>
      </c>
      <c r="D73" s="93" t="s">
        <v>1069</v>
      </c>
      <c r="E73" s="93" t="s">
        <v>12</v>
      </c>
      <c r="F73" s="94" t="n">
        <v>1</v>
      </c>
      <c r="G73" s="93" t="s">
        <v>179</v>
      </c>
      <c r="H73" s="96" t="n">
        <v>3.85</v>
      </c>
      <c r="I73" s="96" t="n">
        <f aca="false">IFERROR(H73/F73,0)</f>
        <v>3.85</v>
      </c>
      <c r="J73" s="93" t="s">
        <v>1061</v>
      </c>
      <c r="K73" s="97"/>
    </row>
    <row r="74" customFormat="false" ht="13.5" hidden="false" customHeight="true" outlineLevel="0" collapsed="false">
      <c r="A74" s="98" t="n">
        <v>46157</v>
      </c>
      <c r="B74" s="99" t="str">
        <f aca="false">TEXT(A74,"mmm/aaaa")</f>
        <v>Iyar/Friday</v>
      </c>
      <c r="C74" s="99" t="s">
        <v>36</v>
      </c>
      <c r="D74" s="99" t="s">
        <v>1070</v>
      </c>
      <c r="E74" s="99" t="s">
        <v>12</v>
      </c>
      <c r="F74" s="100" t="n">
        <v>1</v>
      </c>
      <c r="G74" s="99" t="s">
        <v>179</v>
      </c>
      <c r="H74" s="101" t="n">
        <v>3.85</v>
      </c>
      <c r="I74" s="101" t="n">
        <f aca="false">IFERROR(H74/F74,0)</f>
        <v>3.85</v>
      </c>
      <c r="J74" s="99" t="s">
        <v>1061</v>
      </c>
      <c r="K74" s="102"/>
    </row>
    <row r="75" customFormat="false" ht="13.5" hidden="false" customHeight="true" outlineLevel="0" collapsed="false">
      <c r="A75" s="92" t="n">
        <v>46157</v>
      </c>
      <c r="B75" s="93" t="str">
        <f aca="false">TEXT(A75,"mmm/aaaa")</f>
        <v>Iyar/Friday</v>
      </c>
      <c r="C75" s="93" t="s">
        <v>36</v>
      </c>
      <c r="D75" s="93" t="s">
        <v>1071</v>
      </c>
      <c r="E75" s="93" t="s">
        <v>12</v>
      </c>
      <c r="F75" s="94" t="n">
        <v>1</v>
      </c>
      <c r="G75" s="93" t="s">
        <v>179</v>
      </c>
      <c r="H75" s="96" t="n">
        <v>3.5</v>
      </c>
      <c r="I75" s="96" t="n">
        <f aca="false">IFERROR(H75/F75,0)</f>
        <v>3.5</v>
      </c>
      <c r="J75" s="93" t="s">
        <v>1061</v>
      </c>
      <c r="K75" s="97"/>
    </row>
    <row r="76" customFormat="false" ht="13.5" hidden="false" customHeight="true" outlineLevel="0" collapsed="false">
      <c r="A76" s="98" t="n">
        <v>46157</v>
      </c>
      <c r="B76" s="99" t="str">
        <f aca="false">TEXT(A76,"mmm/aaaa")</f>
        <v>Iyar/Friday</v>
      </c>
      <c r="C76" s="99" t="s">
        <v>36</v>
      </c>
      <c r="D76" s="99" t="s">
        <v>1072</v>
      </c>
      <c r="E76" s="99" t="s">
        <v>12</v>
      </c>
      <c r="F76" s="100" t="n">
        <v>1</v>
      </c>
      <c r="G76" s="99" t="s">
        <v>179</v>
      </c>
      <c r="H76" s="101" t="n">
        <v>2.85</v>
      </c>
      <c r="I76" s="101" t="n">
        <f aca="false">IFERROR(H76/F76,0)</f>
        <v>2.85</v>
      </c>
      <c r="J76" s="99" t="s">
        <v>1061</v>
      </c>
      <c r="K76" s="102"/>
    </row>
    <row r="77" customFormat="false" ht="13.5" hidden="false" customHeight="true" outlineLevel="0" collapsed="false">
      <c r="A77" s="92" t="n">
        <v>46157</v>
      </c>
      <c r="B77" s="93" t="str">
        <f aca="false">TEXT(A77,"mmm/aaaa")</f>
        <v>Iyar/Friday</v>
      </c>
      <c r="C77" s="93" t="s">
        <v>36</v>
      </c>
      <c r="D77" s="93" t="s">
        <v>1073</v>
      </c>
      <c r="E77" s="93" t="s">
        <v>18</v>
      </c>
      <c r="F77" s="94" t="n">
        <v>1</v>
      </c>
      <c r="G77" s="93" t="s">
        <v>179</v>
      </c>
      <c r="H77" s="96" t="n">
        <v>2.35</v>
      </c>
      <c r="I77" s="96" t="n">
        <f aca="false">IFERROR(H77/F77,0)</f>
        <v>2.35</v>
      </c>
      <c r="J77" s="93" t="s">
        <v>1061</v>
      </c>
      <c r="K77" s="97"/>
    </row>
    <row r="78" customFormat="false" ht="13.5" hidden="false" customHeight="true" outlineLevel="0" collapsed="false">
      <c r="A78" s="98" t="n">
        <v>46157</v>
      </c>
      <c r="B78" s="99" t="str">
        <f aca="false">TEXT(A78,"mmm/aaaa")</f>
        <v>Iyar/Friday</v>
      </c>
      <c r="C78" s="99" t="s">
        <v>36</v>
      </c>
      <c r="D78" s="99" t="s">
        <v>1074</v>
      </c>
      <c r="E78" s="99" t="s">
        <v>20</v>
      </c>
      <c r="F78" s="100" t="n">
        <v>0.112</v>
      </c>
      <c r="G78" s="99" t="s">
        <v>176</v>
      </c>
      <c r="H78" s="101" t="n">
        <v>12.32</v>
      </c>
      <c r="I78" s="101" t="n">
        <f aca="false">IFERROR(H78/F78,0)</f>
        <v>110</v>
      </c>
      <c r="J78" s="99" t="s">
        <v>1061</v>
      </c>
      <c r="K78" s="102" t="s">
        <v>1075</v>
      </c>
    </row>
    <row r="79" customFormat="false" ht="13.5" hidden="false" customHeight="true" outlineLevel="0" collapsed="false">
      <c r="A79" s="92" t="n">
        <v>46157</v>
      </c>
      <c r="B79" s="93" t="str">
        <f aca="false">TEXT(A79,"mmm/aaaa")</f>
        <v>Iyar/Friday</v>
      </c>
      <c r="C79" s="93" t="s">
        <v>36</v>
      </c>
      <c r="D79" s="93" t="s">
        <v>1076</v>
      </c>
      <c r="E79" s="93" t="s">
        <v>12</v>
      </c>
      <c r="F79" s="94" t="n">
        <v>1</v>
      </c>
      <c r="G79" s="93" t="s">
        <v>179</v>
      </c>
      <c r="H79" s="96" t="n">
        <v>6.35</v>
      </c>
      <c r="I79" s="96" t="n">
        <f aca="false">IFERROR(H79/F79,0)</f>
        <v>6.35</v>
      </c>
      <c r="J79" s="93" t="s">
        <v>1061</v>
      </c>
      <c r="K79" s="97"/>
    </row>
    <row r="80" customFormat="false" ht="13.5" hidden="false" customHeight="true" outlineLevel="0" collapsed="false">
      <c r="A80" s="98" t="n">
        <v>46157</v>
      </c>
      <c r="B80" s="99" t="str">
        <f aca="false">TEXT(A80,"mmm/aaaa")</f>
        <v>Iyar/Friday</v>
      </c>
      <c r="C80" s="99" t="s">
        <v>36</v>
      </c>
      <c r="D80" s="99" t="s">
        <v>1077</v>
      </c>
      <c r="E80" s="99" t="s">
        <v>12</v>
      </c>
      <c r="F80" s="100" t="n">
        <v>2</v>
      </c>
      <c r="G80" s="99" t="s">
        <v>179</v>
      </c>
      <c r="H80" s="101" t="n">
        <v>3.6</v>
      </c>
      <c r="I80" s="101" t="n">
        <f aca="false">IFERROR(H80/F80,0)</f>
        <v>1.8</v>
      </c>
      <c r="J80" s="99" t="s">
        <v>1061</v>
      </c>
      <c r="K80" s="102" t="s">
        <v>1078</v>
      </c>
    </row>
    <row r="81" customFormat="false" ht="13.5" hidden="false" customHeight="true" outlineLevel="0" collapsed="false">
      <c r="A81" s="92" t="n">
        <v>46157</v>
      </c>
      <c r="B81" s="93" t="str">
        <f aca="false">TEXT(A81,"mmm/aaaa")</f>
        <v>Iyar/Friday</v>
      </c>
      <c r="C81" s="93" t="s">
        <v>36</v>
      </c>
      <c r="D81" s="93" t="s">
        <v>1077</v>
      </c>
      <c r="E81" s="93" t="s">
        <v>12</v>
      </c>
      <c r="F81" s="94" t="n">
        <v>2</v>
      </c>
      <c r="G81" s="93" t="s">
        <v>179</v>
      </c>
      <c r="H81" s="96" t="n">
        <v>3.6</v>
      </c>
      <c r="I81" s="96" t="n">
        <f aca="false">IFERROR(H81/F81,0)</f>
        <v>1.8</v>
      </c>
      <c r="J81" s="93" t="s">
        <v>1061</v>
      </c>
      <c r="K81" s="97" t="s">
        <v>1079</v>
      </c>
    </row>
    <row r="82" customFormat="false" ht="13.5" hidden="false" customHeight="true" outlineLevel="0" collapsed="false">
      <c r="A82" s="98" t="n">
        <v>46157</v>
      </c>
      <c r="B82" s="99" t="str">
        <f aca="false">TEXT(A82,"mmm/aaaa")</f>
        <v>Iyar/Friday</v>
      </c>
      <c r="C82" s="99" t="s">
        <v>36</v>
      </c>
      <c r="D82" s="99" t="s">
        <v>199</v>
      </c>
      <c r="E82" s="99" t="s">
        <v>12</v>
      </c>
      <c r="F82" s="100" t="n">
        <v>3</v>
      </c>
      <c r="G82" s="99" t="s">
        <v>179</v>
      </c>
      <c r="H82" s="101" t="n">
        <v>11.1</v>
      </c>
      <c r="I82" s="101" t="n">
        <f aca="false">IFERROR(H82/F82,0)</f>
        <v>3.7</v>
      </c>
      <c r="J82" s="99" t="s">
        <v>1061</v>
      </c>
      <c r="K82" s="102" t="s">
        <v>1080</v>
      </c>
    </row>
    <row r="83" customFormat="false" ht="13.5" hidden="false" customHeight="true" outlineLevel="0" collapsed="false">
      <c r="A83" s="92" t="n">
        <v>46157</v>
      </c>
      <c r="B83" s="93" t="str">
        <f aca="false">TEXT(A83,"mmm/aaaa")</f>
        <v>Iyar/Friday</v>
      </c>
      <c r="C83" s="93" t="s">
        <v>36</v>
      </c>
      <c r="D83" s="93" t="s">
        <v>199</v>
      </c>
      <c r="E83" s="93" t="s">
        <v>12</v>
      </c>
      <c r="F83" s="94" t="n">
        <v>1</v>
      </c>
      <c r="G83" s="93" t="s">
        <v>179</v>
      </c>
      <c r="H83" s="96" t="n">
        <v>3.7</v>
      </c>
      <c r="I83" s="96" t="n">
        <f aca="false">IFERROR(H83/F83,0)</f>
        <v>3.7</v>
      </c>
      <c r="J83" s="93" t="s">
        <v>1061</v>
      </c>
      <c r="K83" s="97"/>
    </row>
    <row r="84" customFormat="false" ht="13.5" hidden="false" customHeight="true" outlineLevel="0" collapsed="false">
      <c r="A84" s="98" t="n">
        <v>46157</v>
      </c>
      <c r="B84" s="99" t="str">
        <f aca="false">TEXT(A84,"mmm/aaaa")</f>
        <v>Iyar/Friday</v>
      </c>
      <c r="C84" s="99" t="s">
        <v>36</v>
      </c>
      <c r="D84" s="99" t="s">
        <v>193</v>
      </c>
      <c r="E84" s="99" t="s">
        <v>12</v>
      </c>
      <c r="F84" s="100" t="n">
        <v>1</v>
      </c>
      <c r="G84" s="99" t="s">
        <v>179</v>
      </c>
      <c r="H84" s="101" t="n">
        <v>4.6</v>
      </c>
      <c r="I84" s="101" t="n">
        <f aca="false">IFERROR(H84/F84,0)</f>
        <v>4.6</v>
      </c>
      <c r="J84" s="99" t="s">
        <v>1061</v>
      </c>
      <c r="K84" s="102"/>
    </row>
    <row r="85" customFormat="false" ht="13.5" hidden="false" customHeight="true" outlineLevel="0" collapsed="false">
      <c r="A85" s="92" t="n">
        <v>46157</v>
      </c>
      <c r="B85" s="93" t="str">
        <f aca="false">TEXT(A85,"mmm/aaaa")</f>
        <v>Iyar/Friday</v>
      </c>
      <c r="C85" s="93" t="s">
        <v>36</v>
      </c>
      <c r="D85" s="93" t="s">
        <v>1081</v>
      </c>
      <c r="E85" s="93" t="s">
        <v>12</v>
      </c>
      <c r="F85" s="94" t="n">
        <v>1</v>
      </c>
      <c r="G85" s="93" t="s">
        <v>179</v>
      </c>
      <c r="H85" s="96" t="n">
        <v>5.45</v>
      </c>
      <c r="I85" s="96" t="n">
        <f aca="false">IFERROR(H85/F85,0)</f>
        <v>5.45</v>
      </c>
      <c r="J85" s="93" t="s">
        <v>1061</v>
      </c>
      <c r="K85" s="97"/>
    </row>
    <row r="86" customFormat="false" ht="13.5" hidden="false" customHeight="true" outlineLevel="0" collapsed="false">
      <c r="A86" s="98" t="n">
        <v>46157</v>
      </c>
      <c r="B86" s="99" t="str">
        <f aca="false">TEXT(A86,"mmm/aaaa")</f>
        <v>Iyar/Friday</v>
      </c>
      <c r="C86" s="99" t="s">
        <v>36</v>
      </c>
      <c r="D86" s="99" t="s">
        <v>1082</v>
      </c>
      <c r="E86" s="99" t="s">
        <v>12</v>
      </c>
      <c r="F86" s="100" t="n">
        <v>1</v>
      </c>
      <c r="G86" s="99" t="s">
        <v>179</v>
      </c>
      <c r="H86" s="101" t="n">
        <v>11.2</v>
      </c>
      <c r="I86" s="101" t="n">
        <f aca="false">IFERROR(H86/F86,0)</f>
        <v>11.2</v>
      </c>
      <c r="J86" s="99" t="s">
        <v>1061</v>
      </c>
      <c r="K86" s="102"/>
    </row>
    <row r="87" customFormat="false" ht="13.5" hidden="false" customHeight="true" outlineLevel="0" collapsed="false">
      <c r="A87" s="92" t="n">
        <v>46157</v>
      </c>
      <c r="B87" s="93" t="str">
        <f aca="false">TEXT(A87,"mmm/aaaa")</f>
        <v>Iyar/Friday</v>
      </c>
      <c r="C87" s="93" t="s">
        <v>36</v>
      </c>
      <c r="D87" s="93" t="s">
        <v>1083</v>
      </c>
      <c r="E87" s="93" t="s">
        <v>12</v>
      </c>
      <c r="F87" s="94" t="n">
        <v>1</v>
      </c>
      <c r="G87" s="93" t="s">
        <v>179</v>
      </c>
      <c r="H87" s="96" t="n">
        <v>6.2</v>
      </c>
      <c r="I87" s="96" t="n">
        <f aca="false">IFERROR(H87/F87,0)</f>
        <v>6.2</v>
      </c>
      <c r="J87" s="93" t="s">
        <v>1061</v>
      </c>
      <c r="K87" s="97"/>
    </row>
    <row r="88" customFormat="false" ht="13.5" hidden="false" customHeight="true" outlineLevel="0" collapsed="false">
      <c r="A88" s="98" t="n">
        <v>46157</v>
      </c>
      <c r="B88" s="99" t="str">
        <f aca="false">TEXT(A88,"mmm/aaaa")</f>
        <v>Iyar/Friday</v>
      </c>
      <c r="C88" s="99" t="s">
        <v>36</v>
      </c>
      <c r="D88" s="99" t="s">
        <v>1084</v>
      </c>
      <c r="E88" s="99" t="s">
        <v>12</v>
      </c>
      <c r="F88" s="100" t="n">
        <v>1</v>
      </c>
      <c r="G88" s="99" t="s">
        <v>179</v>
      </c>
      <c r="H88" s="101" t="n">
        <v>7.7</v>
      </c>
      <c r="I88" s="101" t="n">
        <f aca="false">IFERROR(H88/F88,0)</f>
        <v>7.7</v>
      </c>
      <c r="J88" s="99" t="s">
        <v>1061</v>
      </c>
      <c r="K88" s="102"/>
    </row>
    <row r="89" customFormat="false" ht="13.5" hidden="false" customHeight="true" outlineLevel="0" collapsed="false">
      <c r="A89" s="92" t="n">
        <v>46157</v>
      </c>
      <c r="B89" s="93" t="str">
        <f aca="false">TEXT(A89,"mmm/aaaa")</f>
        <v>Iyar/Friday</v>
      </c>
      <c r="C89" s="93" t="s">
        <v>36</v>
      </c>
      <c r="D89" s="93" t="s">
        <v>1085</v>
      </c>
      <c r="E89" s="93" t="s">
        <v>19</v>
      </c>
      <c r="F89" s="94" t="n">
        <v>1</v>
      </c>
      <c r="G89" s="93" t="s">
        <v>179</v>
      </c>
      <c r="H89" s="96" t="n">
        <v>3.85</v>
      </c>
      <c r="I89" s="96" t="n">
        <f aca="false">IFERROR(H89/F89,0)</f>
        <v>3.85</v>
      </c>
      <c r="J89" s="93" t="s">
        <v>1061</v>
      </c>
      <c r="K89" s="97"/>
    </row>
    <row r="90" customFormat="false" ht="13.5" hidden="false" customHeight="true" outlineLevel="0" collapsed="false">
      <c r="A90" s="98" t="n">
        <v>46157</v>
      </c>
      <c r="B90" s="99" t="str">
        <f aca="false">TEXT(A90,"mmm/aaaa")</f>
        <v>Iyar/Friday</v>
      </c>
      <c r="C90" s="99" t="s">
        <v>36</v>
      </c>
      <c r="D90" s="99" t="s">
        <v>1086</v>
      </c>
      <c r="E90" s="99" t="s">
        <v>20</v>
      </c>
      <c r="F90" s="100" t="n">
        <v>3</v>
      </c>
      <c r="G90" s="99" t="s">
        <v>179</v>
      </c>
      <c r="H90" s="101" t="n">
        <v>7.47</v>
      </c>
      <c r="I90" s="101" t="n">
        <f aca="false">IFERROR(H90/F90,0)</f>
        <v>2.49</v>
      </c>
      <c r="J90" s="99" t="s">
        <v>1061</v>
      </c>
      <c r="K90" s="102" t="s">
        <v>1087</v>
      </c>
    </row>
    <row r="91" customFormat="false" ht="13.5" hidden="false" customHeight="true" outlineLevel="0" collapsed="false">
      <c r="A91" s="92" t="n">
        <v>46157</v>
      </c>
      <c r="B91" s="93" t="str">
        <f aca="false">TEXT(A91,"mmm/aaaa")</f>
        <v>Iyar/Friday</v>
      </c>
      <c r="C91" s="93" t="s">
        <v>36</v>
      </c>
      <c r="D91" s="93" t="s">
        <v>1088</v>
      </c>
      <c r="E91" s="93" t="s">
        <v>12</v>
      </c>
      <c r="F91" s="94" t="n">
        <v>2</v>
      </c>
      <c r="G91" s="93" t="s">
        <v>179</v>
      </c>
      <c r="H91" s="96" t="n">
        <v>6.2</v>
      </c>
      <c r="I91" s="96" t="n">
        <f aca="false">IFERROR(H91/F91,0)</f>
        <v>3.1</v>
      </c>
      <c r="J91" s="93" t="s">
        <v>1061</v>
      </c>
      <c r="K91" s="97" t="s">
        <v>1089</v>
      </c>
    </row>
    <row r="92" customFormat="false" ht="13.5" hidden="false" customHeight="true" outlineLevel="0" collapsed="false">
      <c r="A92" s="98" t="n">
        <v>46157</v>
      </c>
      <c r="B92" s="99" t="str">
        <f aca="false">TEXT(A92,"mmm/aaaa")</f>
        <v>Iyar/Friday</v>
      </c>
      <c r="C92" s="99" t="s">
        <v>36</v>
      </c>
      <c r="D92" s="99" t="s">
        <v>1090</v>
      </c>
      <c r="E92" s="99" t="s">
        <v>12</v>
      </c>
      <c r="F92" s="100" t="n">
        <v>1</v>
      </c>
      <c r="G92" s="99" t="s">
        <v>179</v>
      </c>
      <c r="H92" s="101" t="n">
        <v>3.49</v>
      </c>
      <c r="I92" s="101" t="n">
        <f aca="false">IFERROR(H92/F92,0)</f>
        <v>3.49</v>
      </c>
      <c r="J92" s="99" t="s">
        <v>1061</v>
      </c>
      <c r="K92" s="102"/>
    </row>
    <row r="93" customFormat="false" ht="13.5" hidden="false" customHeight="true" outlineLevel="0" collapsed="false">
      <c r="A93" s="92" t="n">
        <v>46157</v>
      </c>
      <c r="B93" s="93" t="str">
        <f aca="false">TEXT(A93,"mmm/aaaa")</f>
        <v>Iyar/Friday</v>
      </c>
      <c r="C93" s="93" t="s">
        <v>36</v>
      </c>
      <c r="D93" s="93" t="s">
        <v>1091</v>
      </c>
      <c r="E93" s="93" t="s">
        <v>12</v>
      </c>
      <c r="F93" s="94" t="n">
        <v>1</v>
      </c>
      <c r="G93" s="93" t="s">
        <v>179</v>
      </c>
      <c r="H93" s="96" t="n">
        <v>3.05</v>
      </c>
      <c r="I93" s="96" t="n">
        <f aca="false">IFERROR(H93/F93,0)</f>
        <v>3.05</v>
      </c>
      <c r="J93" s="93" t="s">
        <v>1061</v>
      </c>
      <c r="K93" s="97"/>
    </row>
    <row r="94" customFormat="false" ht="13.5" hidden="false" customHeight="true" outlineLevel="0" collapsed="false">
      <c r="A94" s="98" t="n">
        <v>46157</v>
      </c>
      <c r="B94" s="99" t="str">
        <f aca="false">TEXT(A94,"mmm/aaaa")</f>
        <v>Iyar/Friday</v>
      </c>
      <c r="C94" s="99" t="s">
        <v>36</v>
      </c>
      <c r="D94" s="99" t="s">
        <v>1092</v>
      </c>
      <c r="E94" s="99" t="s">
        <v>14</v>
      </c>
      <c r="F94" s="100" t="n">
        <v>1</v>
      </c>
      <c r="G94" s="99" t="s">
        <v>179</v>
      </c>
      <c r="H94" s="101" t="n">
        <v>7.2</v>
      </c>
      <c r="I94" s="101" t="n">
        <f aca="false">IFERROR(H94/F94,0)</f>
        <v>7.2</v>
      </c>
      <c r="J94" s="99" t="s">
        <v>1061</v>
      </c>
      <c r="K94" s="102"/>
    </row>
    <row r="95" customFormat="false" ht="13.5" hidden="false" customHeight="true" outlineLevel="0" collapsed="false">
      <c r="A95" s="92" t="n">
        <v>46157</v>
      </c>
      <c r="B95" s="93" t="str">
        <f aca="false">TEXT(A95,"mmm/aaaa")</f>
        <v>Iyar/Friday</v>
      </c>
      <c r="C95" s="93" t="s">
        <v>36</v>
      </c>
      <c r="D95" s="93" t="s">
        <v>207</v>
      </c>
      <c r="E95" s="93" t="s">
        <v>14</v>
      </c>
      <c r="F95" s="94" t="n">
        <v>1</v>
      </c>
      <c r="G95" s="93" t="s">
        <v>179</v>
      </c>
      <c r="H95" s="96" t="n">
        <v>5.7</v>
      </c>
      <c r="I95" s="96" t="n">
        <f aca="false">IFERROR(H95/F95,0)</f>
        <v>5.7</v>
      </c>
      <c r="J95" s="93" t="s">
        <v>1061</v>
      </c>
      <c r="K95" s="97"/>
    </row>
    <row r="96" customFormat="false" ht="13.5" hidden="false" customHeight="true" outlineLevel="0" collapsed="false">
      <c r="A96" s="98" t="n">
        <v>46157</v>
      </c>
      <c r="B96" s="99" t="str">
        <f aca="false">TEXT(A96,"mmm/aaaa")</f>
        <v>Iyar/Friday</v>
      </c>
      <c r="C96" s="99" t="s">
        <v>36</v>
      </c>
      <c r="D96" s="99" t="s">
        <v>1093</v>
      </c>
      <c r="E96" s="99" t="s">
        <v>14</v>
      </c>
      <c r="F96" s="100" t="n">
        <v>0.132</v>
      </c>
      <c r="G96" s="99" t="s">
        <v>176</v>
      </c>
      <c r="H96" s="101" t="n">
        <v>5.15</v>
      </c>
      <c r="I96" s="101" t="n">
        <f aca="false">IFERROR(H96/F96,0)</f>
        <v>39.0151515151515</v>
      </c>
      <c r="J96" s="99" t="s">
        <v>1061</v>
      </c>
      <c r="K96" s="102" t="s">
        <v>1094</v>
      </c>
    </row>
    <row r="97" customFormat="false" ht="13.5" hidden="false" customHeight="true" outlineLevel="0" collapsed="false">
      <c r="A97" s="92" t="n">
        <v>46157</v>
      </c>
      <c r="B97" s="93" t="str">
        <f aca="false">TEXT(A97,"mmm/aaaa")</f>
        <v>Iyar/Friday</v>
      </c>
      <c r="C97" s="93" t="s">
        <v>36</v>
      </c>
      <c r="D97" s="93" t="s">
        <v>1095</v>
      </c>
      <c r="E97" s="93" t="s">
        <v>14</v>
      </c>
      <c r="F97" s="94" t="n">
        <v>0.244</v>
      </c>
      <c r="G97" s="93" t="s">
        <v>176</v>
      </c>
      <c r="H97" s="96" t="n">
        <v>7.81</v>
      </c>
      <c r="I97" s="96" t="n">
        <f aca="false">IFERROR(H97/F97,0)</f>
        <v>32.0081967213115</v>
      </c>
      <c r="J97" s="93" t="s">
        <v>1061</v>
      </c>
      <c r="K97" s="97" t="s">
        <v>1096</v>
      </c>
    </row>
    <row r="98" customFormat="false" ht="13.5" hidden="false" customHeight="true" outlineLevel="0" collapsed="false">
      <c r="A98" s="98" t="n">
        <v>46157</v>
      </c>
      <c r="B98" s="99" t="str">
        <f aca="false">TEXT(A98,"mmm/aaaa")</f>
        <v>Iyar/Friday</v>
      </c>
      <c r="C98" s="99" t="s">
        <v>36</v>
      </c>
      <c r="D98" s="99" t="s">
        <v>197</v>
      </c>
      <c r="E98" s="99" t="s">
        <v>14</v>
      </c>
      <c r="F98" s="100" t="n">
        <v>0.536</v>
      </c>
      <c r="G98" s="99" t="s">
        <v>176</v>
      </c>
      <c r="H98" s="101" t="n">
        <v>7.99</v>
      </c>
      <c r="I98" s="101" t="n">
        <f aca="false">IFERROR(H98/F98,0)</f>
        <v>14.9067164179104</v>
      </c>
      <c r="J98" s="99" t="s">
        <v>1061</v>
      </c>
      <c r="K98" s="102" t="s">
        <v>1097</v>
      </c>
    </row>
    <row r="99" customFormat="false" ht="13.5" hidden="false" customHeight="true" outlineLevel="0" collapsed="false">
      <c r="A99" s="92" t="n">
        <v>46157</v>
      </c>
      <c r="B99" s="93" t="str">
        <f aca="false">TEXT(A99,"mmm/aaaa")</f>
        <v>Iyar/Friday</v>
      </c>
      <c r="C99" s="93" t="s">
        <v>36</v>
      </c>
      <c r="D99" s="93" t="s">
        <v>1098</v>
      </c>
      <c r="E99" s="93" t="s">
        <v>12</v>
      </c>
      <c r="F99" s="94" t="n">
        <v>1</v>
      </c>
      <c r="G99" s="93" t="s">
        <v>179</v>
      </c>
      <c r="H99" s="96" t="n">
        <v>10.2</v>
      </c>
      <c r="I99" s="96" t="n">
        <f aca="false">IFERROR(H99/F99,0)</f>
        <v>10.2</v>
      </c>
      <c r="J99" s="93" t="s">
        <v>1061</v>
      </c>
      <c r="K99" s="97"/>
    </row>
    <row r="100" customFormat="false" ht="13.5" hidden="false" customHeight="true" outlineLevel="0" collapsed="false">
      <c r="A100" s="98" t="n">
        <v>46157</v>
      </c>
      <c r="B100" s="99" t="str">
        <f aca="false">TEXT(A100,"mmm/aaaa")</f>
        <v>Iyar/Friday</v>
      </c>
      <c r="C100" s="99" t="s">
        <v>36</v>
      </c>
      <c r="D100" s="99" t="s">
        <v>1099</v>
      </c>
      <c r="E100" s="99" t="s">
        <v>12</v>
      </c>
      <c r="F100" s="100" t="n">
        <v>1</v>
      </c>
      <c r="G100" s="99" t="s">
        <v>179</v>
      </c>
      <c r="H100" s="101" t="n">
        <v>10.2</v>
      </c>
      <c r="I100" s="101" t="n">
        <f aca="false">IFERROR(H100/F100,0)</f>
        <v>10.2</v>
      </c>
      <c r="J100" s="99" t="s">
        <v>1061</v>
      </c>
      <c r="K100" s="102"/>
    </row>
    <row r="101" customFormat="false" ht="13.5" hidden="false" customHeight="true" outlineLevel="0" collapsed="false">
      <c r="A101" s="92" t="n">
        <v>46157</v>
      </c>
      <c r="B101" s="93" t="str">
        <f aca="false">TEXT(A101,"mmm/aaaa")</f>
        <v>Iyar/Friday</v>
      </c>
      <c r="C101" s="93" t="s">
        <v>36</v>
      </c>
      <c r="D101" s="93" t="s">
        <v>1100</v>
      </c>
      <c r="E101" s="93" t="s">
        <v>12</v>
      </c>
      <c r="F101" s="94" t="n">
        <v>1</v>
      </c>
      <c r="G101" s="93" t="s">
        <v>179</v>
      </c>
      <c r="H101" s="96" t="n">
        <v>11.9</v>
      </c>
      <c r="I101" s="96" t="n">
        <f aca="false">IFERROR(H101/F101,0)</f>
        <v>11.9</v>
      </c>
      <c r="J101" s="93" t="s">
        <v>1061</v>
      </c>
      <c r="K101" s="97"/>
    </row>
    <row r="102" customFormat="false" ht="13.5" hidden="false" customHeight="true" outlineLevel="0" collapsed="false">
      <c r="A102" s="98" t="n">
        <v>46157</v>
      </c>
      <c r="B102" s="99" t="str">
        <f aca="false">TEXT(A102,"mmm/aaaa")</f>
        <v>Iyar/Friday</v>
      </c>
      <c r="C102" s="99" t="s">
        <v>36</v>
      </c>
      <c r="D102" s="99" t="s">
        <v>1101</v>
      </c>
      <c r="E102" s="99" t="s">
        <v>12</v>
      </c>
      <c r="F102" s="100" t="n">
        <v>1</v>
      </c>
      <c r="G102" s="99" t="s">
        <v>179</v>
      </c>
      <c r="H102" s="101" t="n">
        <v>4.45</v>
      </c>
      <c r="I102" s="101" t="n">
        <f aca="false">IFERROR(H102/F102,0)</f>
        <v>4.45</v>
      </c>
      <c r="J102" s="99" t="s">
        <v>1061</v>
      </c>
      <c r="K102" s="102"/>
    </row>
    <row r="103" customFormat="false" ht="13.5" hidden="false" customHeight="true" outlineLevel="0" collapsed="false">
      <c r="A103" s="92" t="n">
        <v>46157</v>
      </c>
      <c r="B103" s="93" t="str">
        <f aca="false">TEXT(A103,"mmm/aaaa")</f>
        <v>Iyar/Friday</v>
      </c>
      <c r="C103" s="93" t="s">
        <v>36</v>
      </c>
      <c r="D103" s="93" t="s">
        <v>1102</v>
      </c>
      <c r="E103" s="93" t="s">
        <v>16</v>
      </c>
      <c r="F103" s="94" t="n">
        <v>1</v>
      </c>
      <c r="G103" s="93" t="s">
        <v>179</v>
      </c>
      <c r="H103" s="96" t="n">
        <v>16.4</v>
      </c>
      <c r="I103" s="96" t="n">
        <f aca="false">IFERROR(H103/F103,0)</f>
        <v>16.4</v>
      </c>
      <c r="J103" s="93" t="s">
        <v>1061</v>
      </c>
      <c r="K103" s="97"/>
    </row>
    <row r="104" customFormat="false" ht="13.5" hidden="false" customHeight="true" outlineLevel="0" collapsed="false">
      <c r="A104" s="98" t="n">
        <v>46157</v>
      </c>
      <c r="B104" s="99" t="str">
        <f aca="false">TEXT(A104,"mmm/aaaa")</f>
        <v>Iyar/Friday</v>
      </c>
      <c r="C104" s="99" t="s">
        <v>36</v>
      </c>
      <c r="D104" s="99" t="s">
        <v>1103</v>
      </c>
      <c r="E104" s="99" t="s">
        <v>19</v>
      </c>
      <c r="F104" s="100" t="n">
        <v>1</v>
      </c>
      <c r="G104" s="99" t="s">
        <v>179</v>
      </c>
      <c r="H104" s="101" t="n">
        <v>6.49</v>
      </c>
      <c r="I104" s="101" t="n">
        <f aca="false">IFERROR(H104/F104,0)</f>
        <v>6.49</v>
      </c>
      <c r="J104" s="99" t="s">
        <v>1061</v>
      </c>
      <c r="K104" s="102"/>
    </row>
    <row r="105" customFormat="false" ht="13.5" hidden="false" customHeight="true" outlineLevel="0" collapsed="false">
      <c r="A105" s="92" t="n">
        <v>46157</v>
      </c>
      <c r="B105" s="93" t="str">
        <f aca="false">TEXT(A105,"mmm/aaaa")</f>
        <v>Iyar/Friday</v>
      </c>
      <c r="C105" s="93" t="s">
        <v>36</v>
      </c>
      <c r="D105" s="93" t="s">
        <v>1104</v>
      </c>
      <c r="E105" s="93" t="s">
        <v>19</v>
      </c>
      <c r="F105" s="94" t="n">
        <v>1</v>
      </c>
      <c r="G105" s="93" t="s">
        <v>179</v>
      </c>
      <c r="H105" s="96" t="n">
        <v>4.8</v>
      </c>
      <c r="I105" s="96" t="n">
        <f aca="false">IFERROR(H105/F105,0)</f>
        <v>4.8</v>
      </c>
      <c r="J105" s="93" t="s">
        <v>1061</v>
      </c>
      <c r="K105" s="97"/>
    </row>
    <row r="106" customFormat="false" ht="13.5" hidden="false" customHeight="true" outlineLevel="0" collapsed="false">
      <c r="A106" s="98" t="n">
        <v>46157</v>
      </c>
      <c r="B106" s="99" t="str">
        <f aca="false">TEXT(A106,"mmm/aaaa")</f>
        <v>Iyar/Friday</v>
      </c>
      <c r="C106" s="99" t="s">
        <v>36</v>
      </c>
      <c r="D106" s="99" t="s">
        <v>1105</v>
      </c>
      <c r="E106" s="99" t="s">
        <v>18</v>
      </c>
      <c r="F106" s="100" t="n">
        <v>1</v>
      </c>
      <c r="G106" s="99" t="s">
        <v>179</v>
      </c>
      <c r="H106" s="101" t="n">
        <v>5.7</v>
      </c>
      <c r="I106" s="101" t="n">
        <f aca="false">IFERROR(H106/F106,0)</f>
        <v>5.7</v>
      </c>
      <c r="J106" s="99" t="s">
        <v>1061</v>
      </c>
      <c r="K106" s="102"/>
    </row>
    <row r="107" customFormat="false" ht="13.5" hidden="false" customHeight="true" outlineLevel="0" collapsed="false">
      <c r="A107" s="92" t="n">
        <v>46157</v>
      </c>
      <c r="B107" s="93" t="str">
        <f aca="false">TEXT(A107,"mmm/aaaa")</f>
        <v>Iyar/Friday</v>
      </c>
      <c r="C107" s="93" t="s">
        <v>36</v>
      </c>
      <c r="D107" s="93" t="s">
        <v>1106</v>
      </c>
      <c r="E107" s="93" t="s">
        <v>19</v>
      </c>
      <c r="F107" s="94" t="n">
        <v>1</v>
      </c>
      <c r="G107" s="93" t="s">
        <v>179</v>
      </c>
      <c r="H107" s="96" t="n">
        <v>9.7</v>
      </c>
      <c r="I107" s="96" t="n">
        <f aca="false">IFERROR(H107/F107,0)</f>
        <v>9.7</v>
      </c>
      <c r="J107" s="93" t="s">
        <v>1061</v>
      </c>
      <c r="K107" s="97"/>
    </row>
    <row r="108" customFormat="false" ht="13.5" hidden="false" customHeight="true" outlineLevel="0" collapsed="false">
      <c r="A108" s="98" t="n">
        <v>46157</v>
      </c>
      <c r="B108" s="99" t="str">
        <f aca="false">TEXT(A108,"mmm/aaaa")</f>
        <v>Iyar/Friday</v>
      </c>
      <c r="C108" s="99" t="s">
        <v>36</v>
      </c>
      <c r="D108" s="99" t="s">
        <v>1107</v>
      </c>
      <c r="E108" s="99" t="s">
        <v>19</v>
      </c>
      <c r="F108" s="100" t="n">
        <v>1</v>
      </c>
      <c r="G108" s="99" t="s">
        <v>179</v>
      </c>
      <c r="H108" s="101" t="n">
        <v>1.99</v>
      </c>
      <c r="I108" s="101" t="n">
        <f aca="false">IFERROR(H108/F108,0)</f>
        <v>1.99</v>
      </c>
      <c r="J108" s="99" t="s">
        <v>1061</v>
      </c>
      <c r="K108" s="102"/>
    </row>
    <row r="109" customFormat="false" ht="13.5" hidden="false" customHeight="true" outlineLevel="0" collapsed="false">
      <c r="A109" s="92" t="n">
        <v>46157</v>
      </c>
      <c r="B109" s="93" t="str">
        <f aca="false">TEXT(A109,"mmm/aaaa")</f>
        <v>Iyar/Friday</v>
      </c>
      <c r="C109" s="93" t="s">
        <v>36</v>
      </c>
      <c r="D109" s="93" t="s">
        <v>1108</v>
      </c>
      <c r="E109" s="93" t="s">
        <v>19</v>
      </c>
      <c r="F109" s="94" t="n">
        <v>1</v>
      </c>
      <c r="G109" s="93" t="s">
        <v>179</v>
      </c>
      <c r="H109" s="96" t="n">
        <v>3.9</v>
      </c>
      <c r="I109" s="96" t="n">
        <f aca="false">IFERROR(H109/F109,0)</f>
        <v>3.9</v>
      </c>
      <c r="J109" s="93" t="s">
        <v>1061</v>
      </c>
      <c r="K109" s="97"/>
    </row>
    <row r="110" customFormat="false" ht="13.5" hidden="false" customHeight="true" outlineLevel="0" collapsed="false">
      <c r="A110" s="98" t="n">
        <v>46157</v>
      </c>
      <c r="B110" s="99" t="str">
        <f aca="false">TEXT(A110,"mmm/aaaa")</f>
        <v>Iyar/Friday</v>
      </c>
      <c r="C110" s="99" t="s">
        <v>36</v>
      </c>
      <c r="D110" s="99" t="s">
        <v>1109</v>
      </c>
      <c r="E110" s="99" t="s">
        <v>18</v>
      </c>
      <c r="F110" s="100" t="n">
        <v>1</v>
      </c>
      <c r="G110" s="99" t="s">
        <v>179</v>
      </c>
      <c r="H110" s="101" t="n">
        <v>13.95</v>
      </c>
      <c r="I110" s="101" t="n">
        <f aca="false">IFERROR(H110/F110,0)</f>
        <v>13.95</v>
      </c>
      <c r="J110" s="99" t="s">
        <v>1061</v>
      </c>
      <c r="K110" s="102"/>
    </row>
    <row r="111" customFormat="false" ht="13.5" hidden="false" customHeight="true" outlineLevel="0" collapsed="false">
      <c r="A111" s="92" t="n">
        <v>46157</v>
      </c>
      <c r="B111" s="93" t="str">
        <f aca="false">TEXT(A111,"mmm/aaaa")</f>
        <v>Iyar/Friday</v>
      </c>
      <c r="C111" s="93" t="s">
        <v>36</v>
      </c>
      <c r="D111" s="93" t="s">
        <v>215</v>
      </c>
      <c r="E111" s="93" t="s">
        <v>20</v>
      </c>
      <c r="F111" s="94" t="n">
        <v>1</v>
      </c>
      <c r="G111" s="93" t="s">
        <v>179</v>
      </c>
      <c r="H111" s="96" t="n">
        <v>17.5</v>
      </c>
      <c r="I111" s="96" t="n">
        <f aca="false">IFERROR(H111/F111,0)</f>
        <v>17.5</v>
      </c>
      <c r="J111" s="93" t="s">
        <v>1061</v>
      </c>
      <c r="K111" s="97"/>
    </row>
    <row r="112" customFormat="false" ht="13.5" hidden="false" customHeight="true" outlineLevel="0" collapsed="false">
      <c r="A112" s="98" t="n">
        <v>46157</v>
      </c>
      <c r="B112" s="99" t="str">
        <f aca="false">TEXT(A112,"mmm/aaaa")</f>
        <v>Iyar/Friday</v>
      </c>
      <c r="C112" s="99" t="s">
        <v>36</v>
      </c>
      <c r="D112" s="99" t="s">
        <v>1110</v>
      </c>
      <c r="E112" s="99" t="s">
        <v>20</v>
      </c>
      <c r="F112" s="100" t="n">
        <v>1</v>
      </c>
      <c r="G112" s="99" t="s">
        <v>179</v>
      </c>
      <c r="H112" s="101" t="n">
        <v>8.25</v>
      </c>
      <c r="I112" s="101" t="n">
        <f aca="false">IFERROR(H112/F112,0)</f>
        <v>8.25</v>
      </c>
      <c r="J112" s="99" t="s">
        <v>1061</v>
      </c>
      <c r="K112" s="102"/>
    </row>
    <row r="113" customFormat="false" ht="13.5" hidden="false" customHeight="true" outlineLevel="0" collapsed="false">
      <c r="A113" s="92" t="n">
        <v>46157</v>
      </c>
      <c r="B113" s="93" t="str">
        <f aca="false">TEXT(A113,"mmm/aaaa")</f>
        <v>Iyar/Friday</v>
      </c>
      <c r="C113" s="93" t="s">
        <v>36</v>
      </c>
      <c r="D113" s="93" t="s">
        <v>1111</v>
      </c>
      <c r="E113" s="93" t="s">
        <v>12</v>
      </c>
      <c r="F113" s="94" t="n">
        <v>1</v>
      </c>
      <c r="G113" s="93" t="s">
        <v>179</v>
      </c>
      <c r="H113" s="96" t="n">
        <v>21</v>
      </c>
      <c r="I113" s="96" t="n">
        <f aca="false">IFERROR(H113/F113,0)</f>
        <v>21</v>
      </c>
      <c r="J113" s="93" t="s">
        <v>1061</v>
      </c>
      <c r="K113" s="97"/>
    </row>
    <row r="114" customFormat="false" ht="13.5" hidden="false" customHeight="true" outlineLevel="0" collapsed="false">
      <c r="A114" s="98" t="n">
        <v>46156</v>
      </c>
      <c r="B114" s="99" t="str">
        <f aca="false">TEXT(A114,"mmm/aaaa")</f>
        <v>Iyar/Thursday</v>
      </c>
      <c r="C114" s="99" t="s">
        <v>38</v>
      </c>
      <c r="D114" s="99" t="s">
        <v>1112</v>
      </c>
      <c r="E114" s="99" t="s">
        <v>15</v>
      </c>
      <c r="F114" s="100" t="n">
        <v>1</v>
      </c>
      <c r="G114" s="99" t="s">
        <v>179</v>
      </c>
      <c r="H114" s="101" t="n">
        <v>9.9</v>
      </c>
      <c r="I114" s="101" t="n">
        <f aca="false">IFERROR(H114/F114,0)</f>
        <v>9.9</v>
      </c>
      <c r="J114" s="99" t="s">
        <v>1113</v>
      </c>
      <c r="K114" s="102"/>
    </row>
    <row r="115" customFormat="false" ht="13.5" hidden="false" customHeight="true" outlineLevel="0" collapsed="false">
      <c r="A115" s="92" t="n">
        <v>46156</v>
      </c>
      <c r="B115" s="93" t="str">
        <f aca="false">TEXT(A115,"mmm/aaaa")</f>
        <v>Iyar/Thursday</v>
      </c>
      <c r="C115" s="93" t="s">
        <v>38</v>
      </c>
      <c r="D115" s="93" t="s">
        <v>1114</v>
      </c>
      <c r="E115" s="93" t="s">
        <v>15</v>
      </c>
      <c r="F115" s="94" t="n">
        <v>0.136</v>
      </c>
      <c r="G115" s="93" t="s">
        <v>176</v>
      </c>
      <c r="H115" s="96" t="n">
        <v>3.53</v>
      </c>
      <c r="I115" s="96" t="n">
        <f aca="false">IFERROR(H115/F115,0)</f>
        <v>25.9558823529412</v>
      </c>
      <c r="J115" s="93" t="s">
        <v>1113</v>
      </c>
      <c r="K115" s="97" t="s">
        <v>1115</v>
      </c>
    </row>
    <row r="116" customFormat="false" ht="13.5" hidden="false" customHeight="true" outlineLevel="0" collapsed="false">
      <c r="A116" s="98" t="n">
        <v>46156</v>
      </c>
      <c r="B116" s="99" t="str">
        <f aca="false">TEXT(A116,"mmm/aaaa")</f>
        <v>Iyar/Thursday</v>
      </c>
      <c r="C116" s="99" t="s">
        <v>38</v>
      </c>
      <c r="D116" s="99" t="s">
        <v>1116</v>
      </c>
      <c r="E116" s="99" t="s">
        <v>15</v>
      </c>
      <c r="F116" s="100" t="n">
        <v>0.362</v>
      </c>
      <c r="G116" s="99" t="s">
        <v>176</v>
      </c>
      <c r="H116" s="101" t="n">
        <v>3</v>
      </c>
      <c r="I116" s="101" t="n">
        <f aca="false">IFERROR(H116/F116,0)</f>
        <v>8.28729281767956</v>
      </c>
      <c r="J116" s="99" t="s">
        <v>1113</v>
      </c>
      <c r="K116" s="102" t="s">
        <v>1117</v>
      </c>
    </row>
    <row r="117" customFormat="false" ht="13.5" hidden="false" customHeight="true" outlineLevel="0" collapsed="false">
      <c r="A117" s="92" t="n">
        <v>46156</v>
      </c>
      <c r="B117" s="93" t="str">
        <f aca="false">TEXT(A117,"mmm/aaaa")</f>
        <v>Iyar/Thursday</v>
      </c>
      <c r="C117" s="93" t="s">
        <v>38</v>
      </c>
      <c r="D117" s="93" t="s">
        <v>1118</v>
      </c>
      <c r="E117" s="93" t="s">
        <v>12</v>
      </c>
      <c r="F117" s="94" t="n">
        <v>12</v>
      </c>
      <c r="G117" s="93" t="s">
        <v>179</v>
      </c>
      <c r="H117" s="96" t="n">
        <v>14.4</v>
      </c>
      <c r="I117" s="96" t="n">
        <f aca="false">IFERROR(H117/F117,0)</f>
        <v>1.2</v>
      </c>
      <c r="J117" s="93" t="s">
        <v>1113</v>
      </c>
      <c r="K117" s="97" t="s">
        <v>1119</v>
      </c>
    </row>
    <row r="118" customFormat="false" ht="13.5" hidden="false" customHeight="true" outlineLevel="0" collapsed="false">
      <c r="A118" s="98" t="n">
        <v>46156</v>
      </c>
      <c r="B118" s="99" t="str">
        <f aca="false">TEXT(A118,"mmm/aaaa")</f>
        <v>Iyar/Thursday</v>
      </c>
      <c r="C118" s="99" t="s">
        <v>43</v>
      </c>
      <c r="D118" s="99" t="s">
        <v>1120</v>
      </c>
      <c r="E118" s="99" t="s">
        <v>14</v>
      </c>
      <c r="F118" s="100" t="n">
        <v>1</v>
      </c>
      <c r="G118" s="99" t="s">
        <v>179</v>
      </c>
      <c r="H118" s="101" t="n">
        <v>9.99</v>
      </c>
      <c r="I118" s="101" t="n">
        <f aca="false">IFERROR(H118/F118,0)</f>
        <v>9.99</v>
      </c>
      <c r="J118" s="99" t="s">
        <v>1121</v>
      </c>
      <c r="K118" s="102"/>
    </row>
    <row r="119" customFormat="false" ht="13.5" hidden="false" customHeight="true" outlineLevel="0" collapsed="false">
      <c r="A119" s="103" t="n">
        <v>46156</v>
      </c>
      <c r="B119" s="104" t="str">
        <f aca="false">TEXT(A119,"mmm/aaaa")</f>
        <v>Iyar/Thursday</v>
      </c>
      <c r="C119" s="104" t="s">
        <v>43</v>
      </c>
      <c r="D119" s="104" t="s">
        <v>1122</v>
      </c>
      <c r="E119" s="104" t="s">
        <v>12</v>
      </c>
      <c r="F119" s="105" t="n">
        <v>1</v>
      </c>
      <c r="G119" s="104" t="s">
        <v>179</v>
      </c>
      <c r="H119" s="106" t="n">
        <v>29.99</v>
      </c>
      <c r="I119" s="106" t="n">
        <f aca="false">IFERROR(H119/F119,0)</f>
        <v>29.99</v>
      </c>
      <c r="J119" s="104" t="s">
        <v>1121</v>
      </c>
      <c r="K119" s="107"/>
    </row>
    <row r="120" customFormat="false" ht="13.5" hidden="false" customHeight="true" outlineLevel="0" collapsed="false">
      <c r="A120" s="108" t="n">
        <v>46159</v>
      </c>
      <c r="B120" s="109" t="str">
        <f aca="false">TEXT(A120,"mmm/aaaa")</f>
        <v>Sivan/Sunday</v>
      </c>
      <c r="C120" s="109" t="s">
        <v>36</v>
      </c>
      <c r="D120" s="109" t="s">
        <v>440</v>
      </c>
      <c r="E120" s="109" t="s">
        <v>16</v>
      </c>
      <c r="F120" s="110" t="n">
        <v>4</v>
      </c>
      <c r="G120" s="109" t="s">
        <v>179</v>
      </c>
      <c r="H120" s="111" t="n">
        <v>5.96</v>
      </c>
      <c r="I120" s="111" t="n">
        <v>1.49</v>
      </c>
      <c r="J120" s="109" t="s">
        <v>1123</v>
      </c>
      <c r="K120" s="109" t="s">
        <v>1124</v>
      </c>
    </row>
    <row r="121" customFormat="false" ht="13.5" hidden="false" customHeight="true" outlineLevel="0" collapsed="false">
      <c r="A121" s="108" t="n">
        <v>46159</v>
      </c>
      <c r="B121" s="109" t="str">
        <f aca="false">TEXT(A121,"mmm/aaaa")</f>
        <v>Sivan/Sunday</v>
      </c>
      <c r="C121" s="109" t="s">
        <v>36</v>
      </c>
      <c r="D121" s="109" t="s">
        <v>398</v>
      </c>
      <c r="E121" s="109" t="s">
        <v>14</v>
      </c>
      <c r="F121" s="110" t="n">
        <v>0.398</v>
      </c>
      <c r="G121" s="109" t="s">
        <v>176</v>
      </c>
      <c r="H121" s="111" t="n">
        <v>5.93</v>
      </c>
      <c r="I121" s="111" t="n">
        <v>14.9</v>
      </c>
      <c r="J121" s="109" t="s">
        <v>1123</v>
      </c>
      <c r="K121" s="109" t="s">
        <v>1097</v>
      </c>
    </row>
    <row r="122" customFormat="false" ht="13.5" hidden="false" customHeight="true" outlineLevel="0" collapsed="false">
      <c r="A122" s="108" t="n">
        <v>46159</v>
      </c>
      <c r="B122" s="109" t="str">
        <f aca="false">TEXT(A122,"mmm/aaaa")</f>
        <v>Sivan/Sunday</v>
      </c>
      <c r="C122" s="109" t="s">
        <v>36</v>
      </c>
      <c r="D122" s="109" t="s">
        <v>442</v>
      </c>
      <c r="E122" s="109" t="s">
        <v>12</v>
      </c>
      <c r="F122" s="110" t="n">
        <v>1</v>
      </c>
      <c r="G122" s="109" t="s">
        <v>179</v>
      </c>
      <c r="H122" s="111" t="n">
        <v>15.9</v>
      </c>
      <c r="I122" s="111" t="n">
        <v>15.9</v>
      </c>
      <c r="J122" s="109" t="s">
        <v>1123</v>
      </c>
      <c r="K122" s="109"/>
    </row>
    <row r="123" customFormat="false" ht="13.5" hidden="false" customHeight="true" outlineLevel="0" collapsed="false">
      <c r="A123" s="108" t="n">
        <v>46159</v>
      </c>
      <c r="B123" s="109" t="str">
        <f aca="false">TEXT(A123,"mmm/aaaa")</f>
        <v>Sivan/Sunday</v>
      </c>
      <c r="C123" s="109" t="s">
        <v>36</v>
      </c>
      <c r="D123" s="109" t="s">
        <v>444</v>
      </c>
      <c r="E123" s="109" t="s">
        <v>12</v>
      </c>
      <c r="F123" s="110" t="n">
        <v>1</v>
      </c>
      <c r="G123" s="109" t="s">
        <v>179</v>
      </c>
      <c r="H123" s="111" t="n">
        <v>11.6</v>
      </c>
      <c r="I123" s="111" t="n">
        <v>11.6</v>
      </c>
      <c r="J123" s="109" t="s">
        <v>1123</v>
      </c>
      <c r="K123" s="109"/>
    </row>
    <row r="124" customFormat="false" ht="13.5" hidden="false" customHeight="true" outlineLevel="0" collapsed="false">
      <c r="A124" s="108" t="n">
        <v>46159</v>
      </c>
      <c r="B124" s="109" t="str">
        <f aca="false">TEXT(A124,"mmm/aaaa")</f>
        <v>Sivan/Sunday</v>
      </c>
      <c r="C124" s="109" t="s">
        <v>36</v>
      </c>
      <c r="D124" s="109" t="s">
        <v>446</v>
      </c>
      <c r="E124" s="109" t="s">
        <v>12</v>
      </c>
      <c r="F124" s="110" t="n">
        <v>1</v>
      </c>
      <c r="G124" s="109" t="s">
        <v>179</v>
      </c>
      <c r="H124" s="111" t="n">
        <v>11.99</v>
      </c>
      <c r="I124" s="111" t="n">
        <v>11.99</v>
      </c>
      <c r="J124" s="109" t="s">
        <v>1123</v>
      </c>
      <c r="K124" s="109"/>
    </row>
    <row r="125" customFormat="false" ht="13.5" hidden="false" customHeight="true" outlineLevel="0" collapsed="false">
      <c r="A125" s="108" t="n">
        <v>46159</v>
      </c>
      <c r="B125" s="109" t="str">
        <f aca="false">TEXT(A125,"mmm/aaaa")</f>
        <v>Sivan/Sunday</v>
      </c>
      <c r="C125" s="109" t="s">
        <v>36</v>
      </c>
      <c r="D125" s="109" t="s">
        <v>325</v>
      </c>
      <c r="E125" s="109" t="s">
        <v>13</v>
      </c>
      <c r="F125" s="110" t="n">
        <v>2</v>
      </c>
      <c r="G125" s="109" t="s">
        <v>179</v>
      </c>
      <c r="H125" s="111" t="n">
        <v>16.5</v>
      </c>
      <c r="I125" s="111" t="n">
        <v>8.25</v>
      </c>
      <c r="J125" s="109" t="s">
        <v>1123</v>
      </c>
      <c r="K125" s="109" t="s">
        <v>1125</v>
      </c>
    </row>
    <row r="126" customFormat="false" ht="13.5" hidden="false" customHeight="true" outlineLevel="0" collapsed="false">
      <c r="A126" s="108" t="n">
        <v>46159</v>
      </c>
      <c r="B126" s="109" t="str">
        <f aca="false">TEXT(A126,"mmm/aaaa")</f>
        <v>Sivan/Sunday</v>
      </c>
      <c r="C126" s="109" t="s">
        <v>36</v>
      </c>
      <c r="D126" s="109" t="s">
        <v>448</v>
      </c>
      <c r="E126" s="109" t="s">
        <v>14</v>
      </c>
      <c r="F126" s="110" t="n">
        <v>0.388</v>
      </c>
      <c r="G126" s="109" t="s">
        <v>176</v>
      </c>
      <c r="H126" s="111" t="n">
        <v>11.25</v>
      </c>
      <c r="I126" s="111" t="n">
        <v>29</v>
      </c>
      <c r="J126" s="109" t="s">
        <v>1123</v>
      </c>
      <c r="K126" s="109" t="s">
        <v>1126</v>
      </c>
    </row>
    <row r="127" customFormat="false" ht="13.5" hidden="false" customHeight="true" outlineLevel="0" collapsed="false">
      <c r="A127" s="108" t="n">
        <v>46159</v>
      </c>
      <c r="B127" s="109" t="str">
        <f aca="false">TEXT(A127,"mmm/aaaa")</f>
        <v>Sivan/Sunday</v>
      </c>
      <c r="C127" s="109" t="s">
        <v>36</v>
      </c>
      <c r="D127" s="109" t="s">
        <v>450</v>
      </c>
      <c r="E127" s="109" t="s">
        <v>25</v>
      </c>
      <c r="F127" s="110" t="n">
        <v>0.314</v>
      </c>
      <c r="G127" s="109" t="s">
        <v>176</v>
      </c>
      <c r="H127" s="111" t="n">
        <v>8.13</v>
      </c>
      <c r="I127" s="111" t="n">
        <v>25.9</v>
      </c>
      <c r="J127" s="109" t="s">
        <v>1123</v>
      </c>
      <c r="K127" s="109" t="s">
        <v>1127</v>
      </c>
    </row>
    <row r="128" customFormat="false" ht="13.5" hidden="false" customHeight="true" outlineLevel="0" collapsed="false">
      <c r="A128" s="108" t="n">
        <v>46159</v>
      </c>
      <c r="B128" s="109" t="str">
        <f aca="false">TEXT(A128,"mmm/aaaa")</f>
        <v>Sivan/Sunday</v>
      </c>
      <c r="C128" s="109" t="s">
        <v>36</v>
      </c>
      <c r="D128" s="109" t="s">
        <v>452</v>
      </c>
      <c r="E128" s="109" t="s">
        <v>25</v>
      </c>
      <c r="F128" s="110" t="n">
        <v>0.316</v>
      </c>
      <c r="G128" s="109" t="s">
        <v>176</v>
      </c>
      <c r="H128" s="111" t="n">
        <v>15.48</v>
      </c>
      <c r="I128" s="111" t="n">
        <v>49</v>
      </c>
      <c r="J128" s="109" t="s">
        <v>1123</v>
      </c>
      <c r="K128" s="109" t="s">
        <v>1128</v>
      </c>
    </row>
    <row r="129" customFormat="false" ht="13.5" hidden="false" customHeight="true" outlineLevel="0" collapsed="false">
      <c r="A129" s="112" t="n">
        <v>46161</v>
      </c>
      <c r="B129" s="113" t="str">
        <f aca="false">TEXT(A129,"mmm/aaaa")</f>
        <v>Sivan/Tuesday</v>
      </c>
      <c r="C129" s="114" t="s">
        <v>37</v>
      </c>
      <c r="D129" s="114" t="s">
        <v>457</v>
      </c>
      <c r="E129" s="114" t="s">
        <v>16</v>
      </c>
      <c r="F129" s="115" t="n">
        <v>2</v>
      </c>
      <c r="G129" s="113" t="s">
        <v>179</v>
      </c>
      <c r="H129" s="116" t="n">
        <v>9.98</v>
      </c>
      <c r="I129" s="116" t="n">
        <f aca="false">IFERROR(H129/F129,0)</f>
        <v>4.99</v>
      </c>
      <c r="J129" s="114" t="s">
        <v>1129</v>
      </c>
      <c r="K129" s="114" t="s">
        <v>1130</v>
      </c>
    </row>
    <row r="130" customFormat="false" ht="13.5" hidden="false" customHeight="true" outlineLevel="0" collapsed="false">
      <c r="A130" s="117" t="n">
        <v>46161</v>
      </c>
      <c r="B130" s="118" t="str">
        <f aca="false">TEXT(A130,"mmm/aaaa")</f>
        <v>Sivan/Tuesday</v>
      </c>
      <c r="C130" s="119" t="s">
        <v>37</v>
      </c>
      <c r="D130" s="119" t="s">
        <v>459</v>
      </c>
      <c r="E130" s="119" t="s">
        <v>14</v>
      </c>
      <c r="F130" s="120" t="n">
        <v>0.395</v>
      </c>
      <c r="G130" s="118" t="s">
        <v>176</v>
      </c>
      <c r="H130" s="121" t="n">
        <v>7.07</v>
      </c>
      <c r="I130" s="121" t="n">
        <f aca="false">IFERROR(H130/F130,0)</f>
        <v>17.8987341772152</v>
      </c>
      <c r="J130" s="119" t="s">
        <v>1129</v>
      </c>
      <c r="K130" s="119" t="s">
        <v>1130</v>
      </c>
    </row>
    <row r="131" customFormat="false" ht="13.5" hidden="false" customHeight="true" outlineLevel="0" collapsed="false">
      <c r="A131" s="112" t="n">
        <v>46162</v>
      </c>
      <c r="B131" s="113" t="str">
        <f aca="false">TEXT(A131,"mmm/aaaa")</f>
        <v>Sivan/Wednesday</v>
      </c>
      <c r="C131" s="114" t="s">
        <v>39</v>
      </c>
      <c r="D131" s="114" t="s">
        <v>464</v>
      </c>
      <c r="E131" s="114" t="s">
        <v>14</v>
      </c>
      <c r="F131" s="115" t="n">
        <v>0.45</v>
      </c>
      <c r="G131" s="113" t="s">
        <v>176</v>
      </c>
      <c r="H131" s="116" t="n">
        <v>6.75</v>
      </c>
      <c r="I131" s="116" t="n">
        <f aca="false">IFERROR(H131/F131,0)</f>
        <v>15</v>
      </c>
      <c r="J131" s="114" t="s">
        <v>1131</v>
      </c>
      <c r="K131" s="114" t="s">
        <v>1130</v>
      </c>
    </row>
    <row r="132" customFormat="false" ht="13.5" hidden="false" customHeight="true" outlineLevel="0" collapsed="false">
      <c r="A132" s="117" t="n">
        <v>46162</v>
      </c>
      <c r="B132" s="118" t="str">
        <f aca="false">TEXT(A132,"mmm/aaaa")</f>
        <v>Sivan/Wednesday</v>
      </c>
      <c r="C132" s="119" t="s">
        <v>39</v>
      </c>
      <c r="D132" s="119" t="s">
        <v>466</v>
      </c>
      <c r="E132" s="119" t="s">
        <v>14</v>
      </c>
      <c r="F132" s="120" t="n">
        <v>0.235</v>
      </c>
      <c r="G132" s="118" t="s">
        <v>176</v>
      </c>
      <c r="H132" s="121" t="n">
        <v>9.64</v>
      </c>
      <c r="I132" s="121" t="n">
        <f aca="false">IFERROR(H132/F132,0)</f>
        <v>41.0212765957447</v>
      </c>
      <c r="J132" s="119" t="s">
        <v>1131</v>
      </c>
      <c r="K132" s="119" t="s">
        <v>1130</v>
      </c>
    </row>
    <row r="133" customFormat="false" ht="13.5" hidden="false" customHeight="true" outlineLevel="0" collapsed="false">
      <c r="A133" s="112" t="n">
        <v>46162</v>
      </c>
      <c r="B133" s="113" t="str">
        <f aca="false">TEXT(A133,"mmm/aaaa")</f>
        <v>Sivan/Wednesday</v>
      </c>
      <c r="C133" s="114" t="s">
        <v>39</v>
      </c>
      <c r="D133" s="114" t="s">
        <v>468</v>
      </c>
      <c r="E133" s="114" t="s">
        <v>16</v>
      </c>
      <c r="F133" s="115" t="n">
        <v>2</v>
      </c>
      <c r="G133" s="113" t="s">
        <v>179</v>
      </c>
      <c r="H133" s="116" t="n">
        <v>12.8</v>
      </c>
      <c r="I133" s="116" t="n">
        <f aca="false">IFERROR(H133/F133,0)</f>
        <v>6.4</v>
      </c>
      <c r="J133" s="114" t="s">
        <v>1131</v>
      </c>
      <c r="K133" s="114" t="s">
        <v>1130</v>
      </c>
    </row>
    <row r="134" customFormat="false" ht="13.5" hidden="false" customHeight="true" outlineLevel="0" collapsed="false">
      <c r="A134" s="117" t="n">
        <v>46162</v>
      </c>
      <c r="B134" s="118" t="str">
        <f aca="false">TEXT(A134,"mmm/aaaa")</f>
        <v>Sivan/Wednesday</v>
      </c>
      <c r="C134" s="119" t="s">
        <v>39</v>
      </c>
      <c r="D134" s="119" t="s">
        <v>470</v>
      </c>
      <c r="E134" s="119" t="s">
        <v>14</v>
      </c>
      <c r="F134" s="120" t="n">
        <v>0.166</v>
      </c>
      <c r="G134" s="118" t="s">
        <v>176</v>
      </c>
      <c r="H134" s="121" t="n">
        <v>6.81</v>
      </c>
      <c r="I134" s="121" t="n">
        <f aca="false">IFERROR(H134/F134,0)</f>
        <v>41.0240963855422</v>
      </c>
      <c r="J134" s="119" t="s">
        <v>1131</v>
      </c>
      <c r="K134" s="119" t="s">
        <v>1130</v>
      </c>
    </row>
    <row r="135" customFormat="false" ht="13.5" hidden="false" customHeight="true" outlineLevel="0" collapsed="false">
      <c r="A135" s="122" t="n">
        <v>46163</v>
      </c>
      <c r="B135" s="123" t="str">
        <f aca="false">TEXT(A135,"mmm/aaaa")</f>
        <v>Sivan/Thursday</v>
      </c>
      <c r="C135" s="124" t="s">
        <v>38</v>
      </c>
      <c r="D135" s="124" t="s">
        <v>475</v>
      </c>
      <c r="E135" s="124" t="s">
        <v>15</v>
      </c>
      <c r="F135" s="125" t="n">
        <v>1.266</v>
      </c>
      <c r="G135" s="123" t="s">
        <v>176</v>
      </c>
      <c r="H135" s="126" t="n">
        <v>5.04</v>
      </c>
      <c r="I135" s="126" t="n">
        <f aca="false">IFERROR(H135/F135,0)</f>
        <v>3.98104265402844</v>
      </c>
      <c r="J135" s="124" t="s">
        <v>1132</v>
      </c>
      <c r="K135" s="124" t="s">
        <v>1130</v>
      </c>
    </row>
    <row r="136" customFormat="false" ht="13.5" hidden="false" customHeight="true" outlineLevel="0" collapsed="false">
      <c r="A136" s="127" t="n">
        <v>46163</v>
      </c>
      <c r="B136" s="128" t="str">
        <f aca="false">TEXT(A136,"mmm/aaaa")</f>
        <v>Sivan/Thursday</v>
      </c>
      <c r="C136" s="129" t="s">
        <v>38</v>
      </c>
      <c r="D136" s="129" t="s">
        <v>477</v>
      </c>
      <c r="E136" s="129" t="s">
        <v>15</v>
      </c>
      <c r="F136" s="130" t="n">
        <v>1</v>
      </c>
      <c r="G136" s="128" t="s">
        <v>179</v>
      </c>
      <c r="H136" s="131" t="n">
        <v>3.9</v>
      </c>
      <c r="I136" s="131" t="n">
        <f aca="false">IFERROR(H136/F136,0)</f>
        <v>3.9</v>
      </c>
      <c r="J136" s="129" t="s">
        <v>1132</v>
      </c>
      <c r="K136" s="129" t="s">
        <v>1130</v>
      </c>
    </row>
    <row r="137" customFormat="false" ht="13.5" hidden="false" customHeight="true" outlineLevel="0" collapsed="false">
      <c r="A137" s="122" t="n">
        <v>46163</v>
      </c>
      <c r="B137" s="123" t="str">
        <f aca="false">TEXT(A137,"mmm/aaaa")</f>
        <v>Sivan/Thursday</v>
      </c>
      <c r="C137" s="124" t="s">
        <v>38</v>
      </c>
      <c r="D137" s="124" t="s">
        <v>479</v>
      </c>
      <c r="E137" s="124" t="s">
        <v>15</v>
      </c>
      <c r="F137" s="125" t="n">
        <v>0.786</v>
      </c>
      <c r="G137" s="123" t="s">
        <v>176</v>
      </c>
      <c r="H137" s="126" t="n">
        <v>8.87</v>
      </c>
      <c r="I137" s="126" t="n">
        <f aca="false">IFERROR(H137/F137,0)</f>
        <v>11.2849872773537</v>
      </c>
      <c r="J137" s="124" t="s">
        <v>1132</v>
      </c>
      <c r="K137" s="124" t="s">
        <v>1130</v>
      </c>
    </row>
    <row r="138" customFormat="false" ht="13.5" hidden="false" customHeight="true" outlineLevel="0" collapsed="false">
      <c r="A138" s="127" t="n">
        <v>46163</v>
      </c>
      <c r="B138" s="128" t="str">
        <f aca="false">TEXT(A138,"mmm/aaaa")</f>
        <v>Sivan/Thursday</v>
      </c>
      <c r="C138" s="129" t="s">
        <v>38</v>
      </c>
      <c r="D138" s="129" t="s">
        <v>481</v>
      </c>
      <c r="E138" s="129" t="s">
        <v>15</v>
      </c>
      <c r="F138" s="130" t="n">
        <v>1.256</v>
      </c>
      <c r="G138" s="128" t="s">
        <v>176</v>
      </c>
      <c r="H138" s="131" t="n">
        <v>13.79</v>
      </c>
      <c r="I138" s="131" t="n">
        <f aca="false">IFERROR(H138/F138,0)</f>
        <v>10.9792993630573</v>
      </c>
      <c r="J138" s="129" t="s">
        <v>1132</v>
      </c>
      <c r="K138" s="129" t="s">
        <v>1130</v>
      </c>
    </row>
    <row r="139" customFormat="false" ht="13.5" hidden="false" customHeight="true" outlineLevel="0" collapsed="false">
      <c r="A139" s="122" t="n">
        <v>46163</v>
      </c>
      <c r="B139" s="123" t="str">
        <f aca="false">TEXT(A139,"mmm/aaaa")</f>
        <v>Sivan/Thursday</v>
      </c>
      <c r="C139" s="124" t="s">
        <v>38</v>
      </c>
      <c r="D139" s="124" t="s">
        <v>483</v>
      </c>
      <c r="E139" s="124" t="s">
        <v>15</v>
      </c>
      <c r="F139" s="125" t="n">
        <v>0.648</v>
      </c>
      <c r="G139" s="123" t="s">
        <v>176</v>
      </c>
      <c r="H139" s="126" t="n">
        <v>1.74</v>
      </c>
      <c r="I139" s="126" t="n">
        <f aca="false">IFERROR(H139/F139,0)</f>
        <v>2.68518518518519</v>
      </c>
      <c r="J139" s="124" t="s">
        <v>1132</v>
      </c>
      <c r="K139" s="124" t="s">
        <v>1130</v>
      </c>
    </row>
    <row r="140" customFormat="false" ht="13.5" hidden="false" customHeight="true" outlineLevel="0" collapsed="false">
      <c r="A140" s="122" t="n">
        <v>46166</v>
      </c>
      <c r="B140" s="123" t="str">
        <f aca="false">TEXT(A140,"mmm/aaaa")</f>
        <v>Sivan/Sunday</v>
      </c>
      <c r="C140" s="124" t="s">
        <v>36</v>
      </c>
      <c r="D140" s="124" t="s">
        <v>615</v>
      </c>
      <c r="E140" s="124" t="s">
        <v>12</v>
      </c>
      <c r="F140" s="125" t="n">
        <v>1</v>
      </c>
      <c r="G140" s="123" t="s">
        <v>179</v>
      </c>
      <c r="H140" s="126" t="n">
        <v>27</v>
      </c>
      <c r="I140" s="126" t="n">
        <f aca="false">IFERROR(H140/F140,0)</f>
        <v>27</v>
      </c>
      <c r="J140" s="124" t="s">
        <v>1133</v>
      </c>
      <c r="K140" s="124" t="s">
        <v>1130</v>
      </c>
    </row>
    <row r="141" customFormat="false" ht="13.5" hidden="false" customHeight="true" outlineLevel="0" collapsed="false">
      <c r="A141" s="122" t="n">
        <v>46166</v>
      </c>
      <c r="B141" s="123" t="str">
        <f aca="false">TEXT(A141,"mmm/aaaa")</f>
        <v>Sivan/Sunday</v>
      </c>
      <c r="C141" s="124" t="s">
        <v>36</v>
      </c>
      <c r="D141" s="124" t="s">
        <v>549</v>
      </c>
      <c r="E141" s="124" t="s">
        <v>12</v>
      </c>
      <c r="F141" s="125" t="n">
        <v>1</v>
      </c>
      <c r="G141" s="123" t="s">
        <v>179</v>
      </c>
      <c r="H141" s="126" t="n">
        <v>4.25</v>
      </c>
      <c r="I141" s="126" t="n">
        <f aca="false">IFERROR(H141/F141,0)</f>
        <v>4.25</v>
      </c>
      <c r="J141" s="124" t="s">
        <v>1133</v>
      </c>
      <c r="K141" s="124" t="s">
        <v>1130</v>
      </c>
    </row>
    <row r="142" customFormat="false" ht="13.5" hidden="false" customHeight="true" outlineLevel="0" collapsed="false">
      <c r="A142" s="122" t="n">
        <v>46166</v>
      </c>
      <c r="B142" s="123" t="str">
        <f aca="false">TEXT(A142,"mmm/aaaa")</f>
        <v>Sivan/Sunday</v>
      </c>
      <c r="C142" s="124" t="s">
        <v>36</v>
      </c>
      <c r="D142" s="124" t="s">
        <v>1134</v>
      </c>
      <c r="E142" s="124" t="s">
        <v>12</v>
      </c>
      <c r="F142" s="125" t="n">
        <v>1</v>
      </c>
      <c r="G142" s="123" t="s">
        <v>179</v>
      </c>
      <c r="H142" s="126" t="n">
        <v>3.99</v>
      </c>
      <c r="I142" s="126" t="n">
        <f aca="false">IFERROR(H142/F142,0)</f>
        <v>3.99</v>
      </c>
      <c r="J142" s="124" t="s">
        <v>1133</v>
      </c>
      <c r="K142" s="124" t="s">
        <v>1130</v>
      </c>
    </row>
    <row r="143" customFormat="false" ht="13.5" hidden="false" customHeight="true" outlineLevel="0" collapsed="false">
      <c r="A143" s="122" t="n">
        <v>46166</v>
      </c>
      <c r="B143" s="123" t="str">
        <f aca="false">TEXT(A143,"mmm/aaaa")</f>
        <v>Sivan/Sunday</v>
      </c>
      <c r="C143" s="124" t="s">
        <v>36</v>
      </c>
      <c r="D143" s="124" t="s">
        <v>1135</v>
      </c>
      <c r="E143" s="124" t="s">
        <v>12</v>
      </c>
      <c r="F143" s="125" t="n">
        <v>1</v>
      </c>
      <c r="G143" s="123" t="s">
        <v>179</v>
      </c>
      <c r="H143" s="126" t="n">
        <v>5.75</v>
      </c>
      <c r="I143" s="126" t="n">
        <f aca="false">IFERROR(H143/F143,0)</f>
        <v>5.75</v>
      </c>
      <c r="J143" s="124" t="s">
        <v>1133</v>
      </c>
      <c r="K143" s="124" t="s">
        <v>1130</v>
      </c>
    </row>
    <row r="144" customFormat="false" ht="13.5" hidden="false" customHeight="true" outlineLevel="0" collapsed="false">
      <c r="A144" s="122" t="n">
        <v>46166</v>
      </c>
      <c r="B144" s="123" t="str">
        <f aca="false">TEXT(A144,"mmm/aaaa")</f>
        <v>Sivan/Sunday</v>
      </c>
      <c r="C144" s="124" t="s">
        <v>36</v>
      </c>
      <c r="D144" s="124" t="s">
        <v>375</v>
      </c>
      <c r="E144" s="124" t="s">
        <v>12</v>
      </c>
      <c r="F144" s="125" t="n">
        <v>1</v>
      </c>
      <c r="G144" s="123" t="s">
        <v>179</v>
      </c>
      <c r="H144" s="126" t="n">
        <v>4.99</v>
      </c>
      <c r="I144" s="126" t="n">
        <f aca="false">IFERROR(H144/F144,0)</f>
        <v>4.99</v>
      </c>
      <c r="J144" s="124" t="s">
        <v>1133</v>
      </c>
      <c r="K144" s="124" t="s">
        <v>1130</v>
      </c>
    </row>
    <row r="145" customFormat="false" ht="13.5" hidden="false" customHeight="true" outlineLevel="0" collapsed="false">
      <c r="A145" s="122" t="n">
        <v>46166</v>
      </c>
      <c r="B145" s="123" t="str">
        <f aca="false">TEXT(A145,"mmm/aaaa")</f>
        <v>Sivan/Sunday</v>
      </c>
      <c r="C145" s="124" t="s">
        <v>36</v>
      </c>
      <c r="D145" s="124" t="s">
        <v>354</v>
      </c>
      <c r="E145" s="124" t="s">
        <v>12</v>
      </c>
      <c r="F145" s="125" t="n">
        <v>1</v>
      </c>
      <c r="G145" s="123" t="s">
        <v>179</v>
      </c>
      <c r="H145" s="126" t="n">
        <v>11.99</v>
      </c>
      <c r="I145" s="126" t="n">
        <f aca="false">IFERROR(H145/F145,0)</f>
        <v>11.99</v>
      </c>
      <c r="J145" s="124" t="s">
        <v>1133</v>
      </c>
      <c r="K145" s="124" t="s">
        <v>1130</v>
      </c>
    </row>
    <row r="146" customFormat="false" ht="13.5" hidden="false" customHeight="true" outlineLevel="0" collapsed="false">
      <c r="A146" s="122" t="n">
        <v>46166</v>
      </c>
      <c r="B146" s="123" t="str">
        <f aca="false">TEXT(A146,"mmm/aaaa")</f>
        <v>Sivan/Sunday</v>
      </c>
      <c r="C146" s="124" t="s">
        <v>36</v>
      </c>
      <c r="D146" s="124" t="s">
        <v>398</v>
      </c>
      <c r="E146" s="124" t="s">
        <v>14</v>
      </c>
      <c r="F146" s="125" t="n">
        <v>0.486</v>
      </c>
      <c r="G146" s="123" t="s">
        <v>176</v>
      </c>
      <c r="H146" s="126" t="n">
        <v>7.24</v>
      </c>
      <c r="I146" s="126" t="n">
        <f aca="false">IFERROR(H146/F146,0)</f>
        <v>14.8971193415638</v>
      </c>
      <c r="J146" s="124" t="s">
        <v>1133</v>
      </c>
      <c r="K146" s="124" t="s">
        <v>1130</v>
      </c>
    </row>
    <row r="147" customFormat="false" ht="13.5" hidden="false" customHeight="true" outlineLevel="0" collapsed="false">
      <c r="A147" s="122" t="n">
        <v>46166</v>
      </c>
      <c r="B147" s="123" t="str">
        <f aca="false">TEXT(A147,"mmm/aaaa")</f>
        <v>Sivan/Sunday</v>
      </c>
      <c r="C147" s="124" t="s">
        <v>36</v>
      </c>
      <c r="D147" s="124" t="s">
        <v>242</v>
      </c>
      <c r="E147" s="124" t="s">
        <v>12</v>
      </c>
      <c r="F147" s="125" t="n">
        <v>1</v>
      </c>
      <c r="G147" s="123" t="s">
        <v>179</v>
      </c>
      <c r="H147" s="126" t="n">
        <v>3.7</v>
      </c>
      <c r="I147" s="126" t="n">
        <f aca="false">IFERROR(H147/F147,0)</f>
        <v>3.7</v>
      </c>
      <c r="J147" s="124" t="s">
        <v>1133</v>
      </c>
      <c r="K147" s="124" t="s">
        <v>1130</v>
      </c>
    </row>
    <row r="148" customFormat="false" ht="13.5" hidden="false" customHeight="true" outlineLevel="0" collapsed="false">
      <c r="A148" s="122" t="n">
        <v>46166</v>
      </c>
      <c r="B148" s="123" t="str">
        <f aca="false">TEXT(A148,"mmm/aaaa")</f>
        <v>Sivan/Sunday</v>
      </c>
      <c r="C148" s="124" t="s">
        <v>36</v>
      </c>
      <c r="D148" s="124" t="s">
        <v>677</v>
      </c>
      <c r="E148" s="124" t="s">
        <v>12</v>
      </c>
      <c r="F148" s="125" t="n">
        <v>1</v>
      </c>
      <c r="G148" s="123" t="s">
        <v>179</v>
      </c>
      <c r="H148" s="126" t="n">
        <v>1.7</v>
      </c>
      <c r="I148" s="126" t="n">
        <f aca="false">IFERROR(H148/F148,0)</f>
        <v>1.7</v>
      </c>
      <c r="J148" s="124" t="s">
        <v>1133</v>
      </c>
      <c r="K148" s="124" t="s">
        <v>1130</v>
      </c>
    </row>
    <row r="149" customFormat="false" ht="13.5" hidden="false" customHeight="true" outlineLevel="0" collapsed="false">
      <c r="A149" s="122" t="n">
        <v>46166</v>
      </c>
      <c r="B149" s="123" t="str">
        <f aca="false">TEXT(A149,"mmm/aaaa")</f>
        <v>Sivan/Sunday</v>
      </c>
      <c r="C149" s="124" t="s">
        <v>36</v>
      </c>
      <c r="D149" s="124" t="s">
        <v>242</v>
      </c>
      <c r="E149" s="124" t="s">
        <v>12</v>
      </c>
      <c r="F149" s="125" t="n">
        <v>1</v>
      </c>
      <c r="G149" s="123" t="s">
        <v>179</v>
      </c>
      <c r="H149" s="126" t="n">
        <v>3.7</v>
      </c>
      <c r="I149" s="126" t="n">
        <f aca="false">IFERROR(H149/F149,0)</f>
        <v>3.7</v>
      </c>
      <c r="J149" s="124" t="s">
        <v>1133</v>
      </c>
      <c r="K149" s="124" t="s">
        <v>1130</v>
      </c>
    </row>
    <row r="150" customFormat="false" ht="13.5" hidden="false" customHeight="true" outlineLevel="0" collapsed="false">
      <c r="A150" s="122" t="n">
        <v>46166</v>
      </c>
      <c r="B150" s="123" t="str">
        <f aca="false">TEXT(A150,"mmm/aaaa")</f>
        <v>Sivan/Sunday</v>
      </c>
      <c r="C150" s="124" t="s">
        <v>36</v>
      </c>
      <c r="D150" s="124" t="s">
        <v>241</v>
      </c>
      <c r="E150" s="124" t="s">
        <v>12</v>
      </c>
      <c r="F150" s="125" t="n">
        <v>1</v>
      </c>
      <c r="G150" s="123" t="s">
        <v>179</v>
      </c>
      <c r="H150" s="126" t="n">
        <v>1.8</v>
      </c>
      <c r="I150" s="126" t="n">
        <f aca="false">IFERROR(H150/F150,0)</f>
        <v>1.8</v>
      </c>
      <c r="J150" s="124" t="s">
        <v>1133</v>
      </c>
      <c r="K150" s="124" t="s">
        <v>1130</v>
      </c>
    </row>
    <row r="151" customFormat="false" ht="13.5" hidden="false" customHeight="true" outlineLevel="0" collapsed="false">
      <c r="A151" s="122" t="n">
        <v>46166</v>
      </c>
      <c r="B151" s="123" t="str">
        <f aca="false">TEXT(A151,"mmm/aaaa")</f>
        <v>Sivan/Sunday</v>
      </c>
      <c r="C151" s="124" t="s">
        <v>36</v>
      </c>
      <c r="D151" s="124" t="s">
        <v>242</v>
      </c>
      <c r="E151" s="124" t="s">
        <v>12</v>
      </c>
      <c r="F151" s="125" t="n">
        <v>1</v>
      </c>
      <c r="G151" s="123" t="s">
        <v>179</v>
      </c>
      <c r="H151" s="126" t="n">
        <v>3.7</v>
      </c>
      <c r="I151" s="126" t="n">
        <f aca="false">IFERROR(H151/F151,0)</f>
        <v>3.7</v>
      </c>
      <c r="J151" s="124" t="s">
        <v>1133</v>
      </c>
      <c r="K151" s="124" t="s">
        <v>1130</v>
      </c>
    </row>
    <row r="152" customFormat="false" ht="13.5" hidden="false" customHeight="true" outlineLevel="0" collapsed="false">
      <c r="A152" s="122" t="n">
        <v>46166</v>
      </c>
      <c r="B152" s="123" t="str">
        <f aca="false">TEXT(A152,"mmm/aaaa")</f>
        <v>Sivan/Sunday</v>
      </c>
      <c r="C152" s="124" t="s">
        <v>36</v>
      </c>
      <c r="D152" s="124" t="s">
        <v>810</v>
      </c>
      <c r="E152" s="124" t="s">
        <v>12</v>
      </c>
      <c r="F152" s="125" t="n">
        <v>1</v>
      </c>
      <c r="G152" s="123" t="s">
        <v>179</v>
      </c>
      <c r="H152" s="126" t="n">
        <v>7.6</v>
      </c>
      <c r="I152" s="126" t="n">
        <f aca="false">IFERROR(H152/F152,0)</f>
        <v>7.6</v>
      </c>
      <c r="J152" s="124" t="s">
        <v>1133</v>
      </c>
      <c r="K152" s="124" t="s">
        <v>1130</v>
      </c>
    </row>
    <row r="153" customFormat="false" ht="13.5" hidden="false" customHeight="true" outlineLevel="0" collapsed="false">
      <c r="A153" s="122" t="n">
        <v>46166</v>
      </c>
      <c r="B153" s="123" t="str">
        <f aca="false">TEXT(A153,"mmm/aaaa")</f>
        <v>Sivan/Sunday</v>
      </c>
      <c r="C153" s="124" t="s">
        <v>36</v>
      </c>
      <c r="D153" s="124" t="s">
        <v>241</v>
      </c>
      <c r="E153" s="124" t="s">
        <v>12</v>
      </c>
      <c r="F153" s="125" t="n">
        <v>1</v>
      </c>
      <c r="G153" s="123" t="s">
        <v>179</v>
      </c>
      <c r="H153" s="126" t="n">
        <v>1.8</v>
      </c>
      <c r="I153" s="126" t="n">
        <f aca="false">IFERROR(H153/F153,0)</f>
        <v>1.8</v>
      </c>
      <c r="J153" s="124" t="s">
        <v>1133</v>
      </c>
      <c r="K153" s="124" t="s">
        <v>1130</v>
      </c>
    </row>
    <row r="154" customFormat="false" ht="13.5" hidden="false" customHeight="true" outlineLevel="0" collapsed="false">
      <c r="A154" s="122" t="n">
        <v>46166</v>
      </c>
      <c r="B154" s="123" t="str">
        <f aca="false">TEXT(A154,"mmm/aaaa")</f>
        <v>Sivan/Sunday</v>
      </c>
      <c r="C154" s="124" t="s">
        <v>36</v>
      </c>
      <c r="D154" s="124" t="s">
        <v>393</v>
      </c>
      <c r="E154" s="124" t="s">
        <v>14</v>
      </c>
      <c r="F154" s="125" t="n">
        <v>1</v>
      </c>
      <c r="G154" s="123" t="s">
        <v>179</v>
      </c>
      <c r="H154" s="126" t="n">
        <v>5.59</v>
      </c>
      <c r="I154" s="126" t="n">
        <f aca="false">IFERROR(H154/F154,0)</f>
        <v>5.59</v>
      </c>
      <c r="J154" s="124" t="s">
        <v>1133</v>
      </c>
      <c r="K154" s="124" t="s">
        <v>1130</v>
      </c>
    </row>
    <row r="155" customFormat="false" ht="13.5" hidden="false" customHeight="true" outlineLevel="0" collapsed="false">
      <c r="A155" s="122" t="n">
        <v>46166</v>
      </c>
      <c r="B155" s="123" t="str">
        <f aca="false">TEXT(A155,"mmm/aaaa")</f>
        <v>Sivan/Sunday</v>
      </c>
      <c r="C155" s="124" t="s">
        <v>36</v>
      </c>
      <c r="D155" s="124" t="s">
        <v>323</v>
      </c>
      <c r="E155" s="124" t="s">
        <v>12</v>
      </c>
      <c r="F155" s="125" t="n">
        <v>0.494</v>
      </c>
      <c r="G155" s="123" t="s">
        <v>179</v>
      </c>
      <c r="H155" s="126" t="n">
        <v>16.8</v>
      </c>
      <c r="I155" s="126" t="n">
        <f aca="false">IFERROR(H155/F155,0)</f>
        <v>34.0080971659919</v>
      </c>
      <c r="J155" s="124" t="s">
        <v>1133</v>
      </c>
      <c r="K155" s="124" t="s">
        <v>1130</v>
      </c>
    </row>
    <row r="156" customFormat="false" ht="13.5" hidden="false" customHeight="true" outlineLevel="0" collapsed="false">
      <c r="A156" s="122" t="n">
        <v>46166</v>
      </c>
      <c r="B156" s="123" t="str">
        <f aca="false">TEXT(A156,"mmm/aaaa")</f>
        <v>Sivan/Sunday</v>
      </c>
      <c r="C156" s="124" t="s">
        <v>36</v>
      </c>
      <c r="D156" s="124" t="s">
        <v>1136</v>
      </c>
      <c r="E156" s="124" t="s">
        <v>14</v>
      </c>
      <c r="F156" s="125" t="n">
        <v>0.402</v>
      </c>
      <c r="G156" s="123" t="s">
        <v>176</v>
      </c>
      <c r="H156" s="126" t="n">
        <v>14.07</v>
      </c>
      <c r="I156" s="126" t="n">
        <f aca="false">IFERROR(H156/F156,0)</f>
        <v>35</v>
      </c>
      <c r="J156" s="124" t="s">
        <v>1133</v>
      </c>
      <c r="K156" s="124" t="s">
        <v>1130</v>
      </c>
    </row>
    <row r="157" customFormat="false" ht="13.5" hidden="false" customHeight="true" outlineLevel="0" collapsed="false">
      <c r="A157" s="122" t="n">
        <v>46166</v>
      </c>
      <c r="B157" s="123" t="str">
        <f aca="false">TEXT(A157,"mmm/aaaa")</f>
        <v>Sivan/Sunday</v>
      </c>
      <c r="C157" s="124" t="s">
        <v>36</v>
      </c>
      <c r="D157" s="124" t="s">
        <v>647</v>
      </c>
      <c r="E157" s="124" t="s">
        <v>13</v>
      </c>
      <c r="F157" s="125" t="n">
        <v>2</v>
      </c>
      <c r="G157" s="123" t="s">
        <v>179</v>
      </c>
      <c r="H157" s="126" t="n">
        <v>10.18</v>
      </c>
      <c r="I157" s="126" t="n">
        <f aca="false">IFERROR(H157/F157,0)</f>
        <v>5.09</v>
      </c>
      <c r="J157" s="124" t="s">
        <v>1133</v>
      </c>
      <c r="K157" s="124" t="s">
        <v>1130</v>
      </c>
    </row>
    <row r="158" customFormat="false" ht="13.5" hidden="false" customHeight="true" outlineLevel="0" collapsed="false">
      <c r="A158" s="122" t="n">
        <v>46166</v>
      </c>
      <c r="B158" s="123" t="str">
        <f aca="false">TEXT(A158,"mmm/aaaa")</f>
        <v>Sivan/Sunday</v>
      </c>
      <c r="C158" s="124" t="s">
        <v>36</v>
      </c>
      <c r="D158" s="124" t="s">
        <v>227</v>
      </c>
      <c r="E158" s="124" t="s">
        <v>13</v>
      </c>
      <c r="F158" s="125" t="n">
        <v>1</v>
      </c>
      <c r="G158" s="123" t="s">
        <v>179</v>
      </c>
      <c r="H158" s="126" t="n">
        <v>18.2</v>
      </c>
      <c r="I158" s="126" t="n">
        <f aca="false">IFERROR(H158/F158,0)</f>
        <v>18.2</v>
      </c>
      <c r="J158" s="124" t="s">
        <v>1133</v>
      </c>
      <c r="K158" s="124" t="s">
        <v>1130</v>
      </c>
    </row>
    <row r="159" customFormat="false" ht="13.5" hidden="false" customHeight="true" outlineLevel="0" collapsed="false">
      <c r="A159" s="122" t="n">
        <v>46166</v>
      </c>
      <c r="B159" s="123" t="str">
        <f aca="false">TEXT(A159,"mmm/aaaa")</f>
        <v>Sivan/Sunday</v>
      </c>
      <c r="C159" s="124" t="s">
        <v>36</v>
      </c>
      <c r="D159" s="124" t="s">
        <v>1137</v>
      </c>
      <c r="E159" s="124" t="s">
        <v>16</v>
      </c>
      <c r="F159" s="125" t="n">
        <v>1</v>
      </c>
      <c r="G159" s="123" t="s">
        <v>179</v>
      </c>
      <c r="H159" s="126" t="n">
        <v>18.9</v>
      </c>
      <c r="I159" s="126" t="n">
        <f aca="false">IFERROR(H159/F159,0)</f>
        <v>18.9</v>
      </c>
      <c r="J159" s="124" t="s">
        <v>1133</v>
      </c>
      <c r="K159" s="124" t="s">
        <v>1130</v>
      </c>
    </row>
    <row r="160" customFormat="false" ht="13.5" hidden="false" customHeight="true" outlineLevel="0" collapsed="false">
      <c r="A160" s="122" t="n">
        <v>46166</v>
      </c>
      <c r="B160" s="123" t="str">
        <f aca="false">TEXT(A160,"mmm/aaaa")</f>
        <v>Sivan/Sunday</v>
      </c>
      <c r="C160" s="124" t="s">
        <v>36</v>
      </c>
      <c r="D160" s="124" t="s">
        <v>1138</v>
      </c>
      <c r="E160" s="124" t="s">
        <v>17</v>
      </c>
      <c r="F160" s="125" t="n">
        <v>0.384</v>
      </c>
      <c r="G160" s="123" t="s">
        <v>176</v>
      </c>
      <c r="H160" s="126" t="n">
        <v>11.1</v>
      </c>
      <c r="I160" s="126" t="n">
        <f aca="false">IFERROR(H160/F160,0)</f>
        <v>28.90625</v>
      </c>
      <c r="J160" s="124" t="s">
        <v>1133</v>
      </c>
      <c r="K160" s="124" t="s">
        <v>1130</v>
      </c>
    </row>
    <row r="161" customFormat="false" ht="13.5" hidden="false" customHeight="true" outlineLevel="0" collapsed="false">
      <c r="A161" s="122" t="n">
        <v>46146</v>
      </c>
      <c r="B161" s="123" t="str">
        <f aca="false">TEXT(A161,"mmm/aaaa")</f>
        <v>Iyar/Monday</v>
      </c>
      <c r="C161" s="124" t="s">
        <v>36</v>
      </c>
      <c r="D161" s="124" t="s">
        <v>185</v>
      </c>
      <c r="E161" s="124" t="s">
        <v>23</v>
      </c>
      <c r="F161" s="125" t="n">
        <v>1</v>
      </c>
      <c r="G161" s="123" t="s">
        <v>179</v>
      </c>
      <c r="H161" s="126" t="n">
        <v>27</v>
      </c>
      <c r="I161" s="126" t="n">
        <f aca="false">IFERROR(H161/F161,"")</f>
        <v>27</v>
      </c>
      <c r="J161" s="124" t="s">
        <v>1139</v>
      </c>
      <c r="K161" s="124"/>
    </row>
    <row r="162" customFormat="false" ht="13.5" hidden="false" customHeight="true" outlineLevel="0" collapsed="false">
      <c r="A162" s="122" t="n">
        <v>46146</v>
      </c>
      <c r="B162" s="123" t="str">
        <f aca="false">TEXT(A162,"mmm/aaaa")</f>
        <v>Iyar/Monday</v>
      </c>
      <c r="C162" s="124" t="s">
        <v>36</v>
      </c>
      <c r="D162" s="124" t="s">
        <v>187</v>
      </c>
      <c r="E162" s="124" t="s">
        <v>12</v>
      </c>
      <c r="F162" s="125" t="n">
        <v>1</v>
      </c>
      <c r="G162" s="123" t="s">
        <v>179</v>
      </c>
      <c r="H162" s="126" t="n">
        <v>4.25</v>
      </c>
      <c r="I162" s="126" t="n">
        <f aca="false">IFERROR(H162/F162,"")</f>
        <v>4.25</v>
      </c>
      <c r="J162" s="124" t="s">
        <v>1139</v>
      </c>
      <c r="K162" s="124"/>
    </row>
    <row r="163" customFormat="false" ht="13.5" hidden="false" customHeight="true" outlineLevel="0" collapsed="false">
      <c r="A163" s="122" t="n">
        <v>46146</v>
      </c>
      <c r="B163" s="123" t="str">
        <f aca="false">TEXT(A163,"mmm/aaaa")</f>
        <v>Iyar/Monday</v>
      </c>
      <c r="C163" s="124" t="s">
        <v>36</v>
      </c>
      <c r="D163" s="124" t="s">
        <v>189</v>
      </c>
      <c r="E163" s="124" t="s">
        <v>12</v>
      </c>
      <c r="F163" s="125" t="n">
        <v>1</v>
      </c>
      <c r="G163" s="123" t="s">
        <v>179</v>
      </c>
      <c r="H163" s="126" t="n">
        <v>3.99</v>
      </c>
      <c r="I163" s="126" t="n">
        <f aca="false">IFERROR(H163/F163,"")</f>
        <v>3.99</v>
      </c>
      <c r="J163" s="124" t="s">
        <v>1139</v>
      </c>
      <c r="K163" s="124"/>
    </row>
    <row r="164" customFormat="false" ht="13.5" hidden="false" customHeight="true" outlineLevel="0" collapsed="false">
      <c r="A164" s="122" t="n">
        <v>46146</v>
      </c>
      <c r="B164" s="123" t="str">
        <f aca="false">TEXT(A164,"mmm/aaaa")</f>
        <v>Iyar/Monday</v>
      </c>
      <c r="C164" s="124" t="s">
        <v>36</v>
      </c>
      <c r="D164" s="124" t="s">
        <v>191</v>
      </c>
      <c r="E164" s="124" t="s">
        <v>12</v>
      </c>
      <c r="F164" s="125" t="n">
        <v>1</v>
      </c>
      <c r="G164" s="123" t="s">
        <v>179</v>
      </c>
      <c r="H164" s="126" t="n">
        <v>5.75</v>
      </c>
      <c r="I164" s="126" t="n">
        <f aca="false">IFERROR(H164/F164,"")</f>
        <v>5.75</v>
      </c>
      <c r="J164" s="124" t="s">
        <v>1139</v>
      </c>
      <c r="K164" s="124"/>
    </row>
    <row r="165" customFormat="false" ht="13.5" hidden="false" customHeight="true" outlineLevel="0" collapsed="false">
      <c r="A165" s="122" t="n">
        <v>46146</v>
      </c>
      <c r="B165" s="123" t="str">
        <f aca="false">TEXT(A165,"mmm/aaaa")</f>
        <v>Iyar/Monday</v>
      </c>
      <c r="C165" s="124" t="s">
        <v>36</v>
      </c>
      <c r="D165" s="124" t="s">
        <v>193</v>
      </c>
      <c r="E165" s="124" t="s">
        <v>12</v>
      </c>
      <c r="F165" s="125" t="n">
        <v>1</v>
      </c>
      <c r="G165" s="123" t="s">
        <v>179</v>
      </c>
      <c r="H165" s="126" t="n">
        <v>4.99</v>
      </c>
      <c r="I165" s="126" t="n">
        <f aca="false">IFERROR(H165/F165,"")</f>
        <v>4.99</v>
      </c>
      <c r="J165" s="124" t="s">
        <v>1139</v>
      </c>
      <c r="K165" s="124"/>
    </row>
    <row r="166" customFormat="false" ht="13.5" hidden="false" customHeight="true" outlineLevel="0" collapsed="false">
      <c r="A166" s="122" t="n">
        <v>46146</v>
      </c>
      <c r="B166" s="123" t="str">
        <f aca="false">TEXT(A166,"mmm/aaaa")</f>
        <v>Iyar/Monday</v>
      </c>
      <c r="C166" s="124" t="s">
        <v>36</v>
      </c>
      <c r="D166" s="124" t="s">
        <v>195</v>
      </c>
      <c r="E166" s="124" t="s">
        <v>12</v>
      </c>
      <c r="F166" s="125" t="n">
        <v>1</v>
      </c>
      <c r="G166" s="123" t="s">
        <v>179</v>
      </c>
      <c r="H166" s="126" t="n">
        <v>11.99</v>
      </c>
      <c r="I166" s="126" t="n">
        <f aca="false">IFERROR(H166/F166,"")</f>
        <v>11.99</v>
      </c>
      <c r="J166" s="124" t="s">
        <v>1139</v>
      </c>
      <c r="K166" s="124"/>
    </row>
    <row r="167" customFormat="false" ht="13.5" hidden="false" customHeight="true" outlineLevel="0" collapsed="false">
      <c r="A167" s="122" t="n">
        <v>46146</v>
      </c>
      <c r="B167" s="123" t="str">
        <f aca="false">TEXT(A167,"mmm/aaaa")</f>
        <v>Iyar/Monday</v>
      </c>
      <c r="C167" s="124" t="s">
        <v>36</v>
      </c>
      <c r="D167" s="124" t="s">
        <v>197</v>
      </c>
      <c r="E167" s="124" t="s">
        <v>14</v>
      </c>
      <c r="F167" s="125" t="n">
        <v>0.486</v>
      </c>
      <c r="G167" s="123" t="s">
        <v>176</v>
      </c>
      <c r="H167" s="126" t="n">
        <v>7.24</v>
      </c>
      <c r="I167" s="126" t="n">
        <f aca="false">IFERROR(H167/F167,"")</f>
        <v>14.8971193415638</v>
      </c>
      <c r="J167" s="124" t="s">
        <v>1139</v>
      </c>
      <c r="K167" s="124" t="s">
        <v>1140</v>
      </c>
    </row>
    <row r="168" customFormat="false" ht="13.5" hidden="false" customHeight="true" outlineLevel="0" collapsed="false">
      <c r="A168" s="122" t="n">
        <v>46146</v>
      </c>
      <c r="B168" s="123" t="str">
        <f aca="false">TEXT(A168,"mmm/aaaa")</f>
        <v>Iyar/Monday</v>
      </c>
      <c r="C168" s="124" t="s">
        <v>36</v>
      </c>
      <c r="D168" s="124" t="s">
        <v>199</v>
      </c>
      <c r="E168" s="124" t="s">
        <v>12</v>
      </c>
      <c r="F168" s="125" t="n">
        <v>1</v>
      </c>
      <c r="G168" s="123" t="s">
        <v>179</v>
      </c>
      <c r="H168" s="126" t="n">
        <v>3.7</v>
      </c>
      <c r="I168" s="126" t="n">
        <f aca="false">IFERROR(H168/F168,"")</f>
        <v>3.7</v>
      </c>
      <c r="J168" s="124" t="s">
        <v>1139</v>
      </c>
      <c r="K168" s="124"/>
    </row>
    <row r="169" customFormat="false" ht="13.5" hidden="false" customHeight="true" outlineLevel="0" collapsed="false">
      <c r="A169" s="122" t="n">
        <v>46146</v>
      </c>
      <c r="B169" s="123" t="str">
        <f aca="false">TEXT(A169,"mmm/aaaa")</f>
        <v>Iyar/Monday</v>
      </c>
      <c r="C169" s="124" t="s">
        <v>36</v>
      </c>
      <c r="D169" s="124" t="s">
        <v>201</v>
      </c>
      <c r="E169" s="124" t="s">
        <v>12</v>
      </c>
      <c r="F169" s="125" t="n">
        <v>1</v>
      </c>
      <c r="G169" s="123" t="s">
        <v>179</v>
      </c>
      <c r="H169" s="126" t="n">
        <v>1.7</v>
      </c>
      <c r="I169" s="126" t="n">
        <f aca="false">IFERROR(H169/F169,"")</f>
        <v>1.7</v>
      </c>
      <c r="J169" s="124" t="s">
        <v>1139</v>
      </c>
      <c r="K169" s="124"/>
    </row>
    <row r="170" customFormat="false" ht="13.5" hidden="false" customHeight="true" outlineLevel="0" collapsed="false">
      <c r="A170" s="122" t="n">
        <v>46146</v>
      </c>
      <c r="B170" s="123" t="str">
        <f aca="false">TEXT(A170,"mmm/aaaa")</f>
        <v>Iyar/Monday</v>
      </c>
      <c r="C170" s="124" t="s">
        <v>36</v>
      </c>
      <c r="D170" s="124" t="s">
        <v>199</v>
      </c>
      <c r="E170" s="124" t="s">
        <v>12</v>
      </c>
      <c r="F170" s="125" t="n">
        <v>1</v>
      </c>
      <c r="G170" s="123" t="s">
        <v>179</v>
      </c>
      <c r="H170" s="126" t="n">
        <v>3.7</v>
      </c>
      <c r="I170" s="126" t="n">
        <f aca="false">IFERROR(H170/F170,"")</f>
        <v>3.7</v>
      </c>
      <c r="J170" s="124" t="s">
        <v>1139</v>
      </c>
      <c r="K170" s="124"/>
    </row>
    <row r="171" customFormat="false" ht="13.5" hidden="false" customHeight="true" outlineLevel="0" collapsed="false">
      <c r="A171" s="122" t="n">
        <v>46146</v>
      </c>
      <c r="B171" s="123" t="str">
        <f aca="false">TEXT(A171,"mmm/aaaa")</f>
        <v>Iyar/Monday</v>
      </c>
      <c r="C171" s="124" t="s">
        <v>36</v>
      </c>
      <c r="D171" s="124" t="s">
        <v>203</v>
      </c>
      <c r="E171" s="124" t="s">
        <v>12</v>
      </c>
      <c r="F171" s="125" t="n">
        <v>1</v>
      </c>
      <c r="G171" s="123" t="s">
        <v>179</v>
      </c>
      <c r="H171" s="126" t="n">
        <v>1.8</v>
      </c>
      <c r="I171" s="126" t="n">
        <f aca="false">IFERROR(H171/F171,"")</f>
        <v>1.8</v>
      </c>
      <c r="J171" s="124" t="s">
        <v>1139</v>
      </c>
      <c r="K171" s="124"/>
    </row>
    <row r="172" customFormat="false" ht="13.5" hidden="false" customHeight="true" outlineLevel="0" collapsed="false">
      <c r="A172" s="122" t="n">
        <v>46146</v>
      </c>
      <c r="B172" s="123" t="str">
        <f aca="false">TEXT(A172,"mmm/aaaa")</f>
        <v>Iyar/Monday</v>
      </c>
      <c r="C172" s="124" t="s">
        <v>36</v>
      </c>
      <c r="D172" s="124" t="s">
        <v>199</v>
      </c>
      <c r="E172" s="124" t="s">
        <v>12</v>
      </c>
      <c r="F172" s="125" t="n">
        <v>1</v>
      </c>
      <c r="G172" s="123" t="s">
        <v>179</v>
      </c>
      <c r="H172" s="126" t="n">
        <v>3.7</v>
      </c>
      <c r="I172" s="126" t="n">
        <f aca="false">IFERROR(H172/F172,"")</f>
        <v>3.7</v>
      </c>
      <c r="J172" s="124" t="s">
        <v>1139</v>
      </c>
      <c r="K172" s="124"/>
    </row>
    <row r="173" customFormat="false" ht="13.5" hidden="false" customHeight="true" outlineLevel="0" collapsed="false">
      <c r="A173" s="122" t="n">
        <v>46146</v>
      </c>
      <c r="B173" s="123" t="str">
        <f aca="false">TEXT(A173,"mmm/aaaa")</f>
        <v>Iyar/Monday</v>
      </c>
      <c r="C173" s="124" t="s">
        <v>36</v>
      </c>
      <c r="D173" s="124" t="s">
        <v>205</v>
      </c>
      <c r="E173" s="124" t="s">
        <v>23</v>
      </c>
      <c r="F173" s="125" t="n">
        <v>1</v>
      </c>
      <c r="G173" s="123" t="s">
        <v>179</v>
      </c>
      <c r="H173" s="126" t="n">
        <v>7.6</v>
      </c>
      <c r="I173" s="126" t="n">
        <f aca="false">IFERROR(H173/F173,"")</f>
        <v>7.6</v>
      </c>
      <c r="J173" s="124" t="s">
        <v>1139</v>
      </c>
      <c r="K173" s="124"/>
    </row>
    <row r="174" customFormat="false" ht="13.5" hidden="false" customHeight="true" outlineLevel="0" collapsed="false">
      <c r="A174" s="122" t="n">
        <v>46146</v>
      </c>
      <c r="B174" s="123" t="str">
        <f aca="false">TEXT(A174,"mmm/aaaa")</f>
        <v>Iyar/Monday</v>
      </c>
      <c r="C174" s="124" t="s">
        <v>36</v>
      </c>
      <c r="D174" s="124" t="s">
        <v>203</v>
      </c>
      <c r="E174" s="124" t="s">
        <v>12</v>
      </c>
      <c r="F174" s="125" t="n">
        <v>1</v>
      </c>
      <c r="G174" s="123" t="s">
        <v>179</v>
      </c>
      <c r="H174" s="126" t="n">
        <v>1.8</v>
      </c>
      <c r="I174" s="126" t="n">
        <f aca="false">IFERROR(H174/F174,"")</f>
        <v>1.8</v>
      </c>
      <c r="J174" s="124" t="s">
        <v>1139</v>
      </c>
      <c r="K174" s="124"/>
    </row>
    <row r="175" customFormat="false" ht="13.5" hidden="false" customHeight="true" outlineLevel="0" collapsed="false">
      <c r="A175" s="122" t="n">
        <v>46146</v>
      </c>
      <c r="B175" s="123" t="str">
        <f aca="false">TEXT(A175,"mmm/aaaa")</f>
        <v>Iyar/Monday</v>
      </c>
      <c r="C175" s="124" t="s">
        <v>36</v>
      </c>
      <c r="D175" s="124" t="s">
        <v>207</v>
      </c>
      <c r="E175" s="124" t="s">
        <v>14</v>
      </c>
      <c r="F175" s="125" t="n">
        <v>1</v>
      </c>
      <c r="G175" s="123" t="s">
        <v>179</v>
      </c>
      <c r="H175" s="126" t="n">
        <v>5.59</v>
      </c>
      <c r="I175" s="126" t="n">
        <f aca="false">IFERROR(H175/F175,"")</f>
        <v>5.59</v>
      </c>
      <c r="J175" s="124" t="s">
        <v>1139</v>
      </c>
      <c r="K175" s="124"/>
    </row>
    <row r="176" customFormat="false" ht="13.5" hidden="false" customHeight="true" outlineLevel="0" collapsed="false">
      <c r="A176" s="122" t="n">
        <v>46146</v>
      </c>
      <c r="B176" s="123" t="str">
        <f aca="false">TEXT(A176,"mmm/aaaa")</f>
        <v>Iyar/Monday</v>
      </c>
      <c r="C176" s="124" t="s">
        <v>36</v>
      </c>
      <c r="D176" s="124" t="s">
        <v>209</v>
      </c>
      <c r="E176" s="124" t="s">
        <v>24</v>
      </c>
      <c r="F176" s="125" t="n">
        <v>0.494</v>
      </c>
      <c r="G176" s="123" t="s">
        <v>176</v>
      </c>
      <c r="H176" s="126" t="n">
        <v>16.8</v>
      </c>
      <c r="I176" s="126" t="n">
        <f aca="false">IFERROR(H176/F176,"")</f>
        <v>34.0080971659919</v>
      </c>
      <c r="J176" s="124" t="s">
        <v>1139</v>
      </c>
      <c r="K176" s="124" t="s">
        <v>1141</v>
      </c>
    </row>
    <row r="177" customFormat="false" ht="13.5" hidden="false" customHeight="true" outlineLevel="0" collapsed="false">
      <c r="A177" s="122" t="n">
        <v>46146</v>
      </c>
      <c r="B177" s="123" t="str">
        <f aca="false">TEXT(A177,"mmm/aaaa")</f>
        <v>Iyar/Monday</v>
      </c>
      <c r="C177" s="124" t="s">
        <v>36</v>
      </c>
      <c r="D177" s="124" t="s">
        <v>211</v>
      </c>
      <c r="E177" s="124" t="s">
        <v>14</v>
      </c>
      <c r="F177" s="125" t="n">
        <v>0.402</v>
      </c>
      <c r="G177" s="123" t="s">
        <v>176</v>
      </c>
      <c r="H177" s="126" t="n">
        <v>14.07</v>
      </c>
      <c r="I177" s="126" t="n">
        <f aca="false">IFERROR(H177/F177,"")</f>
        <v>35</v>
      </c>
      <c r="J177" s="124" t="s">
        <v>1139</v>
      </c>
      <c r="K177" s="124" t="s">
        <v>1142</v>
      </c>
    </row>
    <row r="178" customFormat="false" ht="13.5" hidden="false" customHeight="true" outlineLevel="0" collapsed="false">
      <c r="A178" s="122" t="n">
        <v>46146</v>
      </c>
      <c r="B178" s="123" t="str">
        <f aca="false">TEXT(A178,"mmm/aaaa")</f>
        <v>Iyar/Monday</v>
      </c>
      <c r="C178" s="124" t="s">
        <v>36</v>
      </c>
      <c r="D178" s="124" t="s">
        <v>213</v>
      </c>
      <c r="E178" s="124" t="s">
        <v>20</v>
      </c>
      <c r="F178" s="125" t="n">
        <v>2</v>
      </c>
      <c r="G178" s="123" t="s">
        <v>179</v>
      </c>
      <c r="H178" s="126" t="n">
        <v>10.18</v>
      </c>
      <c r="I178" s="126" t="n">
        <f aca="false">IFERROR(H178/F178,"")</f>
        <v>5.09</v>
      </c>
      <c r="J178" s="124" t="s">
        <v>1139</v>
      </c>
      <c r="K178" s="124"/>
    </row>
    <row r="179" customFormat="false" ht="13.5" hidden="false" customHeight="true" outlineLevel="0" collapsed="false">
      <c r="A179" s="122" t="n">
        <v>46146</v>
      </c>
      <c r="B179" s="123" t="str">
        <f aca="false">TEXT(A179,"mmm/aaaa")</f>
        <v>Iyar/Monday</v>
      </c>
      <c r="C179" s="124" t="s">
        <v>36</v>
      </c>
      <c r="D179" s="124" t="s">
        <v>215</v>
      </c>
      <c r="E179" s="124" t="s">
        <v>20</v>
      </c>
      <c r="F179" s="125" t="n">
        <v>1</v>
      </c>
      <c r="G179" s="123" t="s">
        <v>179</v>
      </c>
      <c r="H179" s="126" t="n">
        <v>18.2</v>
      </c>
      <c r="I179" s="126" t="n">
        <f aca="false">IFERROR(H179/F179,"")</f>
        <v>18.2</v>
      </c>
      <c r="J179" s="124" t="s">
        <v>1139</v>
      </c>
      <c r="K179" s="124"/>
    </row>
    <row r="180" customFormat="false" ht="13.5" hidden="false" customHeight="true" outlineLevel="0" collapsed="false">
      <c r="A180" s="122" t="n">
        <v>46146</v>
      </c>
      <c r="B180" s="123" t="str">
        <f aca="false">TEXT(A180,"mmm/aaaa")</f>
        <v>Iyar/Monday</v>
      </c>
      <c r="C180" s="124" t="s">
        <v>36</v>
      </c>
      <c r="D180" s="124" t="s">
        <v>217</v>
      </c>
      <c r="E180" s="124" t="s">
        <v>16</v>
      </c>
      <c r="F180" s="125" t="n">
        <v>1</v>
      </c>
      <c r="G180" s="123" t="s">
        <v>179</v>
      </c>
      <c r="H180" s="126" t="n">
        <v>18.9</v>
      </c>
      <c r="I180" s="126" t="n">
        <f aca="false">IFERROR(H180/F180,"")</f>
        <v>18.9</v>
      </c>
      <c r="J180" s="124" t="s">
        <v>1139</v>
      </c>
      <c r="K180" s="124"/>
    </row>
    <row r="181" customFormat="false" ht="13.5" hidden="false" customHeight="true" outlineLevel="0" collapsed="false">
      <c r="A181" s="122" t="n">
        <v>46146</v>
      </c>
      <c r="B181" s="123" t="str">
        <f aca="false">TEXT(A181,"mmm/aaaa")</f>
        <v>Iyar/Monday</v>
      </c>
      <c r="C181" s="124" t="s">
        <v>36</v>
      </c>
      <c r="D181" s="124" t="s">
        <v>219</v>
      </c>
      <c r="E181" s="124" t="s">
        <v>26</v>
      </c>
      <c r="F181" s="125" t="n">
        <v>0.384</v>
      </c>
      <c r="G181" s="123" t="s">
        <v>176</v>
      </c>
      <c r="H181" s="126" t="n">
        <v>11.1</v>
      </c>
      <c r="I181" s="126" t="n">
        <f aca="false">IFERROR(H181/F181,"")</f>
        <v>28.90625</v>
      </c>
      <c r="J181" s="124" t="s">
        <v>1139</v>
      </c>
      <c r="K181" s="124" t="s">
        <v>1143</v>
      </c>
    </row>
    <row r="182" customFormat="false" ht="13.5" hidden="false" customHeight="true" outlineLevel="0" collapsed="false">
      <c r="A182" s="122" t="n">
        <v>46168</v>
      </c>
      <c r="B182" s="123" t="str">
        <f aca="false">TEXT(A182,"mmm/aaaa")</f>
        <v>Sivan/Tuesday</v>
      </c>
      <c r="C182" s="124" t="s">
        <v>38</v>
      </c>
      <c r="D182" s="124" t="s">
        <v>585</v>
      </c>
      <c r="E182" s="124" t="s">
        <v>15</v>
      </c>
      <c r="F182" s="125" t="n">
        <v>0.36</v>
      </c>
      <c r="G182" s="123" t="s">
        <v>176</v>
      </c>
      <c r="H182" s="126" t="n">
        <v>2.87</v>
      </c>
      <c r="I182" s="126" t="n">
        <f aca="false">IFERROR(H182/F182,"")</f>
        <v>7.97222222222222</v>
      </c>
      <c r="J182" s="124" t="s">
        <v>1144</v>
      </c>
      <c r="K182" s="124" t="s">
        <v>1145</v>
      </c>
    </row>
    <row r="183" customFormat="false" ht="13.5" hidden="false" customHeight="true" outlineLevel="0" collapsed="false">
      <c r="A183" s="122" t="n">
        <v>46168</v>
      </c>
      <c r="B183" s="123" t="str">
        <f aca="false">TEXT(A183,"mmm/aaaa")</f>
        <v>Sivan/Tuesday</v>
      </c>
      <c r="C183" s="124" t="s">
        <v>38</v>
      </c>
      <c r="D183" s="124" t="s">
        <v>430</v>
      </c>
      <c r="E183" s="124" t="s">
        <v>15</v>
      </c>
      <c r="F183" s="125" t="n">
        <v>1</v>
      </c>
      <c r="G183" s="123" t="s">
        <v>179</v>
      </c>
      <c r="H183" s="126" t="n">
        <v>6</v>
      </c>
      <c r="I183" s="126" t="n">
        <f aca="false">IFERROR(H183/F183,"")</f>
        <v>6</v>
      </c>
      <c r="J183" s="124" t="s">
        <v>1144</v>
      </c>
      <c r="K183" s="124"/>
    </row>
    <row r="184" customFormat="false" ht="13.5" hidden="false" customHeight="true" outlineLevel="0" collapsed="false">
      <c r="A184" s="122" t="n">
        <v>46168</v>
      </c>
      <c r="B184" s="123" t="str">
        <f aca="false">TEXT(A184,"mmm/aaaa")</f>
        <v>Sivan/Tuesday</v>
      </c>
      <c r="C184" s="124" t="s">
        <v>38</v>
      </c>
      <c r="D184" s="124" t="s">
        <v>750</v>
      </c>
      <c r="E184" s="124" t="s">
        <v>15</v>
      </c>
      <c r="F184" s="125" t="n">
        <v>1</v>
      </c>
      <c r="G184" s="123" t="s">
        <v>179</v>
      </c>
      <c r="H184" s="126" t="n">
        <v>4.9</v>
      </c>
      <c r="I184" s="126" t="n">
        <f aca="false">IFERROR(H184/F184,"")</f>
        <v>4.9</v>
      </c>
      <c r="J184" s="124" t="s">
        <v>1144</v>
      </c>
      <c r="K184" s="124"/>
    </row>
    <row r="185" customFormat="false" ht="13.5" hidden="false" customHeight="true" outlineLevel="0" collapsed="false">
      <c r="A185" s="122" t="n">
        <v>46168</v>
      </c>
      <c r="B185" s="123" t="str">
        <f aca="false">TEXT(A185,"mmm/aaaa")</f>
        <v>Sivan/Tuesday</v>
      </c>
      <c r="C185" s="124" t="s">
        <v>38</v>
      </c>
      <c r="D185" s="124" t="s">
        <v>481</v>
      </c>
      <c r="E185" s="124" t="s">
        <v>15</v>
      </c>
      <c r="F185" s="125" t="n">
        <v>0.858</v>
      </c>
      <c r="G185" s="123" t="s">
        <v>176</v>
      </c>
      <c r="H185" s="126" t="n">
        <v>8.48</v>
      </c>
      <c r="I185" s="126" t="n">
        <f aca="false">IFERROR(H185/F185,"")</f>
        <v>9.88344988344989</v>
      </c>
      <c r="J185" s="124" t="s">
        <v>1144</v>
      </c>
      <c r="K185" s="124" t="s">
        <v>1146</v>
      </c>
    </row>
    <row r="186" customFormat="false" ht="13.5" hidden="false" customHeight="true" outlineLevel="0" collapsed="false">
      <c r="A186" s="122" t="n">
        <v>46168</v>
      </c>
      <c r="B186" s="123" t="str">
        <f aca="false">TEXT(A186,"mmm/aaaa")</f>
        <v>Sivan/Tuesday</v>
      </c>
      <c r="C186" s="124" t="s">
        <v>38</v>
      </c>
      <c r="D186" s="124" t="s">
        <v>1147</v>
      </c>
      <c r="E186" s="124" t="s">
        <v>12</v>
      </c>
      <c r="F186" s="125" t="n">
        <v>1</v>
      </c>
      <c r="G186" s="123" t="s">
        <v>179</v>
      </c>
      <c r="H186" s="126" t="n">
        <v>11</v>
      </c>
      <c r="I186" s="126" t="n">
        <f aca="false">IFERROR(H186/F186,"")</f>
        <v>11</v>
      </c>
      <c r="J186" s="124" t="s">
        <v>1144</v>
      </c>
      <c r="K186" s="124"/>
    </row>
    <row r="187" customFormat="false" ht="13.5" hidden="false" customHeight="true" outlineLevel="0" collapsed="false">
      <c r="A187" s="132" t="n">
        <v>46168</v>
      </c>
      <c r="B187" s="133" t="str">
        <f aca="false">TEXT(A187,"mmm/aaaa")</f>
        <v>Sivan/Tuesday</v>
      </c>
      <c r="C187" s="134" t="s">
        <v>48</v>
      </c>
      <c r="D187" s="134" t="s">
        <v>504</v>
      </c>
      <c r="E187" s="134" t="s">
        <v>16</v>
      </c>
      <c r="F187" s="135" t="n">
        <v>1</v>
      </c>
      <c r="G187" s="133" t="s">
        <v>179</v>
      </c>
      <c r="H187" s="136" t="n">
        <v>6.99</v>
      </c>
      <c r="I187" s="136" t="n">
        <f aca="false">H187/F187</f>
        <v>6.99</v>
      </c>
      <c r="J187" s="133" t="s">
        <v>1148</v>
      </c>
      <c r="K187" s="134" t="s">
        <v>1149</v>
      </c>
    </row>
    <row r="188" customFormat="false" ht="13.5" hidden="false" customHeight="true" outlineLevel="0" collapsed="false">
      <c r="A188" s="132" t="n">
        <v>46169</v>
      </c>
      <c r="B188" s="133" t="str">
        <f aca="false">TEXT(A188,"mmm/aaaa")</f>
        <v>Sivan/Wednesday</v>
      </c>
      <c r="C188" s="134" t="s">
        <v>48</v>
      </c>
      <c r="D188" s="134" t="s">
        <v>506</v>
      </c>
      <c r="E188" s="134" t="s">
        <v>16</v>
      </c>
      <c r="F188" s="135" t="n">
        <v>1</v>
      </c>
      <c r="G188" s="133" t="s">
        <v>179</v>
      </c>
      <c r="H188" s="136" t="n">
        <v>6.99</v>
      </c>
      <c r="I188" s="136" t="n">
        <f aca="false">H188/F188</f>
        <v>6.99</v>
      </c>
      <c r="J188" s="133" t="s">
        <v>1148</v>
      </c>
      <c r="K188" s="134" t="s">
        <v>1149</v>
      </c>
    </row>
    <row r="189" customFormat="false" ht="13.5" hidden="false" customHeight="true" outlineLevel="0" collapsed="false">
      <c r="A189" s="132" t="n">
        <v>46169</v>
      </c>
      <c r="B189" s="133" t="str">
        <f aca="false">TEXT(A189,"mmm/aaaa")</f>
        <v>Sivan/Wednesday</v>
      </c>
      <c r="C189" s="134" t="s">
        <v>46</v>
      </c>
      <c r="D189" s="134" t="s">
        <v>512</v>
      </c>
      <c r="E189" s="134" t="s">
        <v>25</v>
      </c>
      <c r="F189" s="135" t="n">
        <v>0.232</v>
      </c>
      <c r="G189" s="133" t="s">
        <v>176</v>
      </c>
      <c r="H189" s="136" t="n">
        <v>6.96</v>
      </c>
      <c r="I189" s="136" t="n">
        <f aca="false">H189/F189</f>
        <v>30</v>
      </c>
      <c r="J189" s="134" t="s">
        <v>1150</v>
      </c>
      <c r="K189" s="134" t="s">
        <v>1151</v>
      </c>
    </row>
    <row r="190" customFormat="false" ht="13.5" hidden="false" customHeight="true" outlineLevel="0" collapsed="false">
      <c r="A190" s="132" t="n">
        <v>46169</v>
      </c>
      <c r="B190" s="133" t="str">
        <f aca="false">TEXT(A190,"mmm/aaaa")</f>
        <v>Sivan/Wednesday</v>
      </c>
      <c r="C190" s="134" t="s">
        <v>46</v>
      </c>
      <c r="D190" s="134" t="s">
        <v>464</v>
      </c>
      <c r="E190" s="134" t="s">
        <v>14</v>
      </c>
      <c r="F190" s="135" t="n">
        <v>0.595</v>
      </c>
      <c r="G190" s="133" t="s">
        <v>176</v>
      </c>
      <c r="H190" s="136" t="n">
        <v>8.92</v>
      </c>
      <c r="I190" s="136" t="n">
        <f aca="false">H190/F190</f>
        <v>14.9915966386555</v>
      </c>
      <c r="J190" s="134" t="s">
        <v>1150</v>
      </c>
      <c r="K190" s="134" t="s">
        <v>1151</v>
      </c>
    </row>
    <row r="191" customFormat="false" ht="13.5" hidden="false" customHeight="true" outlineLevel="0" collapsed="false">
      <c r="A191" s="132" t="n">
        <v>46169</v>
      </c>
      <c r="B191" s="133" t="str">
        <f aca="false">TEXT(A191,"mmm/aaaa")</f>
        <v>Sivan/Wednesday</v>
      </c>
      <c r="C191" s="134" t="s">
        <v>46</v>
      </c>
      <c r="D191" s="134" t="s">
        <v>515</v>
      </c>
      <c r="E191" s="134" t="s">
        <v>27</v>
      </c>
      <c r="F191" s="135" t="n">
        <v>0.338</v>
      </c>
      <c r="G191" s="133" t="s">
        <v>176</v>
      </c>
      <c r="H191" s="136" t="n">
        <v>5.04</v>
      </c>
      <c r="I191" s="136" t="n">
        <f aca="false">H191/F191</f>
        <v>14.9112426035503</v>
      </c>
      <c r="J191" s="134" t="s">
        <v>1150</v>
      </c>
      <c r="K191" s="134" t="s">
        <v>1151</v>
      </c>
    </row>
    <row r="192" customFormat="false" ht="13.5" hidden="false" customHeight="true" outlineLevel="0" collapsed="false">
      <c r="A192" s="137" t="n">
        <v>46170</v>
      </c>
      <c r="B192" s="67" t="str">
        <f aca="false">TEXT(A192,"mmm/aaaa")</f>
        <v>Sivan/Thursday</v>
      </c>
      <c r="C192" s="67" t="s">
        <v>38</v>
      </c>
      <c r="D192" s="67" t="s">
        <v>286</v>
      </c>
      <c r="E192" s="67" t="s">
        <v>15</v>
      </c>
      <c r="F192" s="138" t="n">
        <v>0.702</v>
      </c>
      <c r="G192" s="67" t="s">
        <v>176</v>
      </c>
      <c r="H192" s="139" t="n">
        <v>8.2</v>
      </c>
      <c r="I192" s="139" t="n">
        <f aca="false">IFERROR(H192/F192,"")</f>
        <v>11.6809116809117</v>
      </c>
      <c r="J192" s="67" t="s">
        <v>1152</v>
      </c>
      <c r="K192" s="67" t="s">
        <v>1153</v>
      </c>
    </row>
    <row r="193" customFormat="false" ht="13.5" hidden="false" customHeight="true" outlineLevel="0" collapsed="false">
      <c r="A193" s="137" t="n">
        <v>46170</v>
      </c>
      <c r="B193" s="67" t="str">
        <f aca="false">TEXT(A193,"mmm/aaaa")</f>
        <v>Sivan/Thursday</v>
      </c>
      <c r="C193" s="67" t="s">
        <v>38</v>
      </c>
      <c r="D193" s="67" t="s">
        <v>481</v>
      </c>
      <c r="E193" s="67" t="s">
        <v>15</v>
      </c>
      <c r="F193" s="138" t="n">
        <v>0.964</v>
      </c>
      <c r="G193" s="67" t="s">
        <v>176</v>
      </c>
      <c r="H193" s="139" t="n">
        <v>9.52</v>
      </c>
      <c r="I193" s="139" t="n">
        <f aca="false">IFERROR(H193/F193,"")</f>
        <v>9.87551867219917</v>
      </c>
      <c r="J193" s="67" t="s">
        <v>1152</v>
      </c>
      <c r="K193" s="67" t="s">
        <v>1146</v>
      </c>
    </row>
    <row r="194" customFormat="false" ht="13.5" hidden="false" customHeight="true" outlineLevel="0" collapsed="false">
      <c r="A194" s="137" t="n">
        <v>46170</v>
      </c>
      <c r="B194" s="67" t="str">
        <f aca="false">TEXT(A194,"mmm/aaaa")</f>
        <v>Sivan/Thursday</v>
      </c>
      <c r="C194" s="67" t="s">
        <v>38</v>
      </c>
      <c r="D194" s="67" t="s">
        <v>284</v>
      </c>
      <c r="E194" s="67" t="s">
        <v>15</v>
      </c>
      <c r="F194" s="138" t="n">
        <v>0.97</v>
      </c>
      <c r="G194" s="67" t="s">
        <v>176</v>
      </c>
      <c r="H194" s="139" t="n">
        <v>4.83</v>
      </c>
      <c r="I194" s="139" t="n">
        <f aca="false">IFERROR(H194/F194,"")</f>
        <v>4.97938144329897</v>
      </c>
      <c r="J194" s="67" t="s">
        <v>1152</v>
      </c>
      <c r="K194" s="67" t="s">
        <v>1154</v>
      </c>
    </row>
    <row r="195" customFormat="false" ht="13.5" hidden="false" customHeight="true" outlineLevel="0" collapsed="false">
      <c r="A195" s="137" t="n">
        <v>46171</v>
      </c>
      <c r="B195" s="67" t="str">
        <f aca="false">TEXT(A195,"mmm/aaaa")</f>
        <v>Sivan/Friday</v>
      </c>
      <c r="C195" s="67" t="s">
        <v>38</v>
      </c>
      <c r="D195" s="67" t="s">
        <v>1155</v>
      </c>
      <c r="E195" s="67" t="s">
        <v>12</v>
      </c>
      <c r="F195" s="138" t="n">
        <v>1</v>
      </c>
      <c r="G195" s="67" t="s">
        <v>179</v>
      </c>
      <c r="H195" s="139" t="n">
        <v>16.8</v>
      </c>
      <c r="I195" s="139" t="n">
        <f aca="false">IFERROR(H195/F195,"")</f>
        <v>16.8</v>
      </c>
      <c r="J195" s="67" t="s">
        <v>1156</v>
      </c>
      <c r="K195" s="67" t="s">
        <v>1157</v>
      </c>
    </row>
    <row r="196" customFormat="false" ht="13.5" hidden="false" customHeight="true" outlineLevel="0" collapsed="false">
      <c r="A196" s="137" t="n">
        <v>46173</v>
      </c>
      <c r="B196" s="67" t="str">
        <f aca="false">TEXT(A196,"mmm/aaaa")</f>
        <v>Sivan/Sunday</v>
      </c>
      <c r="C196" s="67" t="s">
        <v>36</v>
      </c>
      <c r="D196" s="67" t="s">
        <v>241</v>
      </c>
      <c r="E196" s="67" t="s">
        <v>12</v>
      </c>
      <c r="F196" s="138" t="n">
        <v>2</v>
      </c>
      <c r="G196" s="67" t="s">
        <v>179</v>
      </c>
      <c r="H196" s="139" t="n">
        <v>3.6</v>
      </c>
      <c r="I196" s="139" t="n">
        <f aca="false">IFERROR(H196/F196,0)</f>
        <v>1.8</v>
      </c>
      <c r="J196" s="67" t="s">
        <v>1158</v>
      </c>
    </row>
    <row r="197" customFormat="false" ht="13.5" hidden="false" customHeight="true" outlineLevel="0" collapsed="false">
      <c r="A197" s="137" t="n">
        <v>46173</v>
      </c>
      <c r="B197" s="67" t="str">
        <f aca="false">TEXT(A197,"mmm/aaaa")</f>
        <v>Sivan/Sunday</v>
      </c>
      <c r="C197" s="67" t="s">
        <v>36</v>
      </c>
      <c r="D197" s="67" t="s">
        <v>242</v>
      </c>
      <c r="E197" s="67" t="s">
        <v>12</v>
      </c>
      <c r="F197" s="138" t="n">
        <v>3</v>
      </c>
      <c r="G197" s="67" t="s">
        <v>179</v>
      </c>
      <c r="H197" s="139" t="n">
        <v>11.1</v>
      </c>
      <c r="I197" s="139" t="n">
        <f aca="false">IFERROR(H197/F197,0)</f>
        <v>3.7</v>
      </c>
      <c r="J197" s="67" t="s">
        <v>1158</v>
      </c>
    </row>
    <row r="198" customFormat="false" ht="13.5" hidden="false" customHeight="true" outlineLevel="0" collapsed="false">
      <c r="A198" s="137" t="n">
        <v>46173</v>
      </c>
      <c r="B198" s="67" t="str">
        <f aca="false">TEXT(A198,"mmm/aaaa")</f>
        <v>Sivan/Sunday</v>
      </c>
      <c r="C198" s="67" t="s">
        <v>36</v>
      </c>
      <c r="D198" s="67" t="s">
        <v>545</v>
      </c>
      <c r="E198" s="67" t="s">
        <v>12</v>
      </c>
      <c r="F198" s="138" t="n">
        <v>1</v>
      </c>
      <c r="G198" s="67" t="s">
        <v>179</v>
      </c>
      <c r="H198" s="139" t="n">
        <v>10.99</v>
      </c>
      <c r="I198" s="139" t="n">
        <f aca="false">IFERROR(H198/F198,0)</f>
        <v>10.99</v>
      </c>
      <c r="J198" s="67" t="s">
        <v>1158</v>
      </c>
    </row>
    <row r="199" customFormat="false" ht="13.5" hidden="false" customHeight="true" outlineLevel="0" collapsed="false">
      <c r="A199" s="137" t="n">
        <v>46173</v>
      </c>
      <c r="B199" s="67" t="str">
        <f aca="false">TEXT(A199,"mmm/aaaa")</f>
        <v>Sivan/Sunday</v>
      </c>
      <c r="C199" s="67" t="s">
        <v>36</v>
      </c>
      <c r="D199" s="67" t="s">
        <v>382</v>
      </c>
      <c r="E199" s="67" t="s">
        <v>12</v>
      </c>
      <c r="F199" s="138" t="n">
        <v>1</v>
      </c>
      <c r="G199" s="67" t="s">
        <v>179</v>
      </c>
      <c r="H199" s="139" t="n">
        <v>7.7</v>
      </c>
      <c r="I199" s="139" t="n">
        <f aca="false">IFERROR(H199/F199,0)</f>
        <v>7.7</v>
      </c>
      <c r="J199" s="67" t="s">
        <v>1158</v>
      </c>
    </row>
    <row r="200" customFormat="false" ht="13.5" hidden="false" customHeight="true" outlineLevel="0" collapsed="false">
      <c r="A200" s="137" t="n">
        <v>46173</v>
      </c>
      <c r="B200" s="67" t="str">
        <f aca="false">TEXT(A200,"mmm/aaaa")</f>
        <v>Sivan/Sunday</v>
      </c>
      <c r="C200" s="67" t="s">
        <v>36</v>
      </c>
      <c r="D200" s="67" t="s">
        <v>547</v>
      </c>
      <c r="E200" s="67" t="s">
        <v>12</v>
      </c>
      <c r="F200" s="138" t="n">
        <v>1</v>
      </c>
      <c r="G200" s="67" t="s">
        <v>179</v>
      </c>
      <c r="H200" s="139" t="n">
        <v>31.7</v>
      </c>
      <c r="I200" s="139" t="n">
        <f aca="false">IFERROR(H200/F200,0)</f>
        <v>31.7</v>
      </c>
      <c r="J200" s="67" t="s">
        <v>1158</v>
      </c>
    </row>
    <row r="201" customFormat="false" ht="13.5" hidden="false" customHeight="true" outlineLevel="0" collapsed="false">
      <c r="A201" s="137" t="n">
        <v>46173</v>
      </c>
      <c r="B201" s="67" t="str">
        <f aca="false">TEXT(A201,"mmm/aaaa")</f>
        <v>Sivan/Sunday</v>
      </c>
      <c r="C201" s="67" t="s">
        <v>36</v>
      </c>
      <c r="D201" s="67" t="s">
        <v>368</v>
      </c>
      <c r="E201" s="67" t="s">
        <v>18</v>
      </c>
      <c r="F201" s="138" t="n">
        <v>1</v>
      </c>
      <c r="G201" s="67" t="s">
        <v>179</v>
      </c>
      <c r="H201" s="139" t="n">
        <v>2.69</v>
      </c>
      <c r="I201" s="139" t="n">
        <f aca="false">IFERROR(H201/F201,0)</f>
        <v>2.69</v>
      </c>
      <c r="J201" s="67" t="s">
        <v>1158</v>
      </c>
    </row>
    <row r="202" customFormat="false" ht="13.5" hidden="false" customHeight="true" outlineLevel="0" collapsed="false">
      <c r="A202" s="137" t="n">
        <v>46173</v>
      </c>
      <c r="B202" s="67" t="str">
        <f aca="false">TEXT(A202,"mmm/aaaa")</f>
        <v>Sivan/Sunday</v>
      </c>
      <c r="C202" s="67" t="s">
        <v>36</v>
      </c>
      <c r="D202" s="67" t="s">
        <v>549</v>
      </c>
      <c r="E202" s="67" t="s">
        <v>12</v>
      </c>
      <c r="F202" s="138" t="n">
        <v>3</v>
      </c>
      <c r="G202" s="67" t="s">
        <v>179</v>
      </c>
      <c r="H202" s="139" t="n">
        <v>11.37</v>
      </c>
      <c r="I202" s="139" t="n">
        <f aca="false">IFERROR(H202/F202,0)</f>
        <v>3.79</v>
      </c>
      <c r="J202" s="67" t="s">
        <v>1158</v>
      </c>
    </row>
    <row r="203" customFormat="false" ht="13.5" hidden="false" customHeight="true" outlineLevel="0" collapsed="false">
      <c r="A203" s="137" t="n">
        <v>46173</v>
      </c>
      <c r="B203" s="67" t="str">
        <f aca="false">TEXT(A203,"mmm/aaaa")</f>
        <v>Sivan/Sunday</v>
      </c>
      <c r="C203" s="67" t="s">
        <v>36</v>
      </c>
      <c r="D203" s="67" t="s">
        <v>356</v>
      </c>
      <c r="E203" s="67" t="s">
        <v>12</v>
      </c>
      <c r="F203" s="138" t="n">
        <v>1</v>
      </c>
      <c r="G203" s="67" t="s">
        <v>179</v>
      </c>
      <c r="H203" s="139" t="n">
        <v>2.95</v>
      </c>
      <c r="I203" s="139" t="n">
        <f aca="false">IFERROR(H203/F203,0)</f>
        <v>2.95</v>
      </c>
      <c r="J203" s="67" t="s">
        <v>1158</v>
      </c>
    </row>
    <row r="204" customFormat="false" ht="13.5" hidden="false" customHeight="true" outlineLevel="0" collapsed="false">
      <c r="A204" s="137" t="n">
        <v>46173</v>
      </c>
      <c r="B204" s="67" t="str">
        <f aca="false">TEXT(A204,"mmm/aaaa")</f>
        <v>Sivan/Sunday</v>
      </c>
      <c r="C204" s="67" t="s">
        <v>36</v>
      </c>
      <c r="D204" s="67" t="s">
        <v>552</v>
      </c>
      <c r="E204" s="67" t="s">
        <v>12</v>
      </c>
      <c r="F204" s="138" t="n">
        <v>1</v>
      </c>
      <c r="G204" s="67" t="s">
        <v>179</v>
      </c>
      <c r="H204" s="139" t="n">
        <v>4</v>
      </c>
      <c r="I204" s="139" t="n">
        <f aca="false">IFERROR(H204/F204,0)</f>
        <v>4</v>
      </c>
      <c r="J204" s="67" t="s">
        <v>1158</v>
      </c>
    </row>
    <row r="205" customFormat="false" ht="13.5" hidden="false" customHeight="true" outlineLevel="0" collapsed="false">
      <c r="A205" s="137" t="n">
        <v>46173</v>
      </c>
      <c r="B205" s="67" t="str">
        <f aca="false">TEXT(A205,"mmm/aaaa")</f>
        <v>Sivan/Sunday</v>
      </c>
      <c r="C205" s="67" t="s">
        <v>36</v>
      </c>
      <c r="D205" s="67" t="s">
        <v>554</v>
      </c>
      <c r="E205" s="67" t="s">
        <v>12</v>
      </c>
      <c r="F205" s="138" t="n">
        <v>1</v>
      </c>
      <c r="G205" s="67" t="s">
        <v>179</v>
      </c>
      <c r="H205" s="139" t="n">
        <v>1.2</v>
      </c>
      <c r="I205" s="139" t="n">
        <f aca="false">IFERROR(H205/F205,0)</f>
        <v>1.2</v>
      </c>
      <c r="J205" s="67" t="s">
        <v>1158</v>
      </c>
    </row>
    <row r="206" customFormat="false" ht="13.5" hidden="false" customHeight="true" outlineLevel="0" collapsed="false">
      <c r="A206" s="137" t="n">
        <v>46173</v>
      </c>
      <c r="B206" s="67" t="str">
        <f aca="false">TEXT(A206,"mmm/aaaa")</f>
        <v>Sivan/Sunday</v>
      </c>
      <c r="C206" s="67" t="s">
        <v>36</v>
      </c>
      <c r="D206" s="67" t="s">
        <v>354</v>
      </c>
      <c r="E206" s="67" t="s">
        <v>12</v>
      </c>
      <c r="F206" s="138" t="n">
        <v>1</v>
      </c>
      <c r="G206" s="67" t="s">
        <v>179</v>
      </c>
      <c r="H206" s="139" t="n">
        <v>9.45</v>
      </c>
      <c r="I206" s="139" t="n">
        <f aca="false">IFERROR(H206/F206,0)</f>
        <v>9.45</v>
      </c>
      <c r="J206" s="67" t="s">
        <v>1158</v>
      </c>
    </row>
    <row r="207" customFormat="false" ht="13.5" hidden="false" customHeight="true" outlineLevel="0" collapsed="false">
      <c r="A207" s="137" t="n">
        <v>46173</v>
      </c>
      <c r="B207" s="67" t="str">
        <f aca="false">TEXT(A207,"mmm/aaaa")</f>
        <v>Sivan/Sunday</v>
      </c>
      <c r="C207" s="67" t="s">
        <v>36</v>
      </c>
      <c r="D207" s="67" t="s">
        <v>556</v>
      </c>
      <c r="E207" s="67" t="s">
        <v>12</v>
      </c>
      <c r="F207" s="138" t="n">
        <v>1</v>
      </c>
      <c r="G207" s="67" t="s">
        <v>179</v>
      </c>
      <c r="H207" s="139" t="n">
        <v>5.99</v>
      </c>
      <c r="I207" s="139" t="n">
        <f aca="false">IFERROR(H207/F207,0)</f>
        <v>5.99</v>
      </c>
      <c r="J207" s="67" t="s">
        <v>1158</v>
      </c>
    </row>
    <row r="208" customFormat="false" ht="13.5" hidden="false" customHeight="true" outlineLevel="0" collapsed="false">
      <c r="A208" s="137" t="n">
        <v>46173</v>
      </c>
      <c r="B208" s="67" t="str">
        <f aca="false">TEXT(A208,"mmm/aaaa")</f>
        <v>Sivan/Sunday</v>
      </c>
      <c r="C208" s="67" t="s">
        <v>36</v>
      </c>
      <c r="D208" s="67" t="s">
        <v>343</v>
      </c>
      <c r="E208" s="67" t="s">
        <v>12</v>
      </c>
      <c r="F208" s="138" t="n">
        <v>1</v>
      </c>
      <c r="G208" s="67" t="s">
        <v>179</v>
      </c>
      <c r="H208" s="139" t="n">
        <v>3.49</v>
      </c>
      <c r="I208" s="139" t="n">
        <f aca="false">IFERROR(H208/F208,0)</f>
        <v>3.49</v>
      </c>
      <c r="J208" s="67" t="s">
        <v>1158</v>
      </c>
    </row>
    <row r="209" customFormat="false" ht="13.5" hidden="false" customHeight="true" outlineLevel="0" collapsed="false">
      <c r="A209" s="137" t="n">
        <v>46173</v>
      </c>
      <c r="B209" s="67" t="str">
        <f aca="false">TEXT(A209,"mmm/aaaa")</f>
        <v>Sivan/Sunday</v>
      </c>
      <c r="C209" s="67" t="s">
        <v>36</v>
      </c>
      <c r="D209" s="67" t="s">
        <v>558</v>
      </c>
      <c r="E209" s="67" t="s">
        <v>12</v>
      </c>
      <c r="F209" s="138" t="n">
        <v>1</v>
      </c>
      <c r="G209" s="67" t="s">
        <v>179</v>
      </c>
      <c r="H209" s="139" t="n">
        <v>11.7</v>
      </c>
      <c r="I209" s="139" t="n">
        <f aca="false">IFERROR(H209/F209,0)</f>
        <v>11.7</v>
      </c>
      <c r="J209" s="67" t="s">
        <v>1158</v>
      </c>
    </row>
    <row r="210" customFormat="false" ht="13.5" hidden="false" customHeight="true" outlineLevel="0" collapsed="false">
      <c r="A210" s="137" t="n">
        <v>46173</v>
      </c>
      <c r="B210" s="67" t="str">
        <f aca="false">TEXT(A210,"mmm/aaaa")</f>
        <v>Sivan/Sunday</v>
      </c>
      <c r="C210" s="67" t="s">
        <v>36</v>
      </c>
      <c r="D210" s="67" t="s">
        <v>386</v>
      </c>
      <c r="E210" s="67" t="s">
        <v>13</v>
      </c>
      <c r="F210" s="138" t="n">
        <v>6</v>
      </c>
      <c r="G210" s="67" t="s">
        <v>179</v>
      </c>
      <c r="H210" s="139" t="n">
        <v>11.94</v>
      </c>
      <c r="I210" s="139" t="n">
        <f aca="false">IFERROR(H210/F210,0)</f>
        <v>1.99</v>
      </c>
      <c r="J210" s="67" t="s">
        <v>1158</v>
      </c>
    </row>
    <row r="211" customFormat="false" ht="13.5" hidden="false" customHeight="true" outlineLevel="0" collapsed="false">
      <c r="A211" s="137" t="n">
        <v>46173</v>
      </c>
      <c r="B211" s="67" t="str">
        <f aca="false">TEXT(A211,"mmm/aaaa")</f>
        <v>Sivan/Sunday</v>
      </c>
      <c r="C211" s="67" t="s">
        <v>36</v>
      </c>
      <c r="D211" s="67" t="s">
        <v>388</v>
      </c>
      <c r="E211" s="67" t="s">
        <v>12</v>
      </c>
      <c r="F211" s="138" t="n">
        <v>1</v>
      </c>
      <c r="G211" s="67" t="s">
        <v>179</v>
      </c>
      <c r="H211" s="139" t="n">
        <v>3.49</v>
      </c>
      <c r="I211" s="139" t="n">
        <f aca="false">IFERROR(H211/F211,0)</f>
        <v>3.49</v>
      </c>
      <c r="J211" s="67" t="s">
        <v>1158</v>
      </c>
    </row>
    <row r="212" customFormat="false" ht="13.5" hidden="false" customHeight="true" outlineLevel="0" collapsed="false">
      <c r="A212" s="137" t="n">
        <v>46173</v>
      </c>
      <c r="B212" s="67" t="str">
        <f aca="false">TEXT(A212,"mmm/aaaa")</f>
        <v>Sivan/Sunday</v>
      </c>
      <c r="C212" s="67" t="s">
        <v>36</v>
      </c>
      <c r="D212" s="67" t="s">
        <v>246</v>
      </c>
      <c r="E212" s="67" t="s">
        <v>12</v>
      </c>
      <c r="F212" s="138" t="n">
        <v>2</v>
      </c>
      <c r="G212" s="67" t="s">
        <v>179</v>
      </c>
      <c r="H212" s="139" t="n">
        <v>5.8</v>
      </c>
      <c r="I212" s="139" t="n">
        <f aca="false">IFERROR(H212/F212,0)</f>
        <v>2.9</v>
      </c>
      <c r="J212" s="67" t="s">
        <v>1158</v>
      </c>
    </row>
    <row r="213" customFormat="false" ht="13.5" hidden="false" customHeight="true" outlineLevel="0" collapsed="false">
      <c r="A213" s="137" t="n">
        <v>46173</v>
      </c>
      <c r="B213" s="67" t="str">
        <f aca="false">TEXT(A213,"mmm/aaaa")</f>
        <v>Sivan/Sunday</v>
      </c>
      <c r="C213" s="67" t="s">
        <v>36</v>
      </c>
      <c r="D213" s="67" t="s">
        <v>405</v>
      </c>
      <c r="E213" s="67" t="s">
        <v>12</v>
      </c>
      <c r="F213" s="138" t="n">
        <v>1</v>
      </c>
      <c r="G213" s="67" t="s">
        <v>179</v>
      </c>
      <c r="H213" s="139" t="n">
        <v>3.9</v>
      </c>
      <c r="I213" s="139" t="n">
        <f aca="false">IFERROR(H213/F213,0)</f>
        <v>3.9</v>
      </c>
      <c r="J213" s="67" t="s">
        <v>1158</v>
      </c>
    </row>
    <row r="214" customFormat="false" ht="13.5" hidden="false" customHeight="true" outlineLevel="0" collapsed="false">
      <c r="A214" s="137" t="n">
        <v>46173</v>
      </c>
      <c r="B214" s="67" t="str">
        <f aca="false">TEXT(A214,"mmm/aaaa")</f>
        <v>Sivan/Sunday</v>
      </c>
      <c r="C214" s="67" t="s">
        <v>36</v>
      </c>
      <c r="D214" s="67" t="s">
        <v>560</v>
      </c>
      <c r="E214" s="67" t="s">
        <v>12</v>
      </c>
      <c r="F214" s="138" t="n">
        <v>1</v>
      </c>
      <c r="G214" s="67" t="s">
        <v>179</v>
      </c>
      <c r="H214" s="139" t="n">
        <v>5.8</v>
      </c>
      <c r="I214" s="139" t="n">
        <f aca="false">IFERROR(H214/F214,0)</f>
        <v>5.8</v>
      </c>
      <c r="J214" s="67" t="s">
        <v>1158</v>
      </c>
    </row>
    <row r="215" customFormat="false" ht="13.5" hidden="false" customHeight="true" outlineLevel="0" collapsed="false">
      <c r="A215" s="137" t="n">
        <v>46173</v>
      </c>
      <c r="B215" s="67" t="str">
        <f aca="false">TEXT(A215,"mmm/aaaa")</f>
        <v>Sivan/Sunday</v>
      </c>
      <c r="C215" s="67" t="s">
        <v>36</v>
      </c>
      <c r="D215" s="67" t="s">
        <v>403</v>
      </c>
      <c r="E215" s="67" t="s">
        <v>12</v>
      </c>
      <c r="F215" s="138" t="n">
        <v>1</v>
      </c>
      <c r="G215" s="67" t="s">
        <v>179</v>
      </c>
      <c r="H215" s="139" t="n">
        <v>5.9</v>
      </c>
      <c r="I215" s="139" t="n">
        <f aca="false">IFERROR(H215/F215,0)</f>
        <v>5.9</v>
      </c>
      <c r="J215" s="67" t="s">
        <v>1158</v>
      </c>
    </row>
    <row r="216" customFormat="false" ht="13.5" hidden="false" customHeight="true" outlineLevel="0" collapsed="false">
      <c r="A216" s="137" t="n">
        <v>46173</v>
      </c>
      <c r="B216" s="67" t="str">
        <f aca="false">TEXT(A216,"mmm/aaaa")</f>
        <v>Sivan/Sunday</v>
      </c>
      <c r="C216" s="67" t="s">
        <v>36</v>
      </c>
      <c r="D216" s="67" t="s">
        <v>563</v>
      </c>
      <c r="E216" s="67" t="s">
        <v>12</v>
      </c>
      <c r="F216" s="138" t="n">
        <v>1</v>
      </c>
      <c r="G216" s="67" t="s">
        <v>179</v>
      </c>
      <c r="H216" s="139" t="n">
        <v>4.65</v>
      </c>
      <c r="I216" s="139" t="n">
        <f aca="false">IFERROR(H216/F216,0)</f>
        <v>4.65</v>
      </c>
      <c r="J216" s="67" t="s">
        <v>1158</v>
      </c>
    </row>
    <row r="217" customFormat="false" ht="13.5" hidden="false" customHeight="true" outlineLevel="0" collapsed="false">
      <c r="A217" s="137" t="n">
        <v>46173</v>
      </c>
      <c r="B217" s="67" t="str">
        <f aca="false">TEXT(A217,"mmm/aaaa")</f>
        <v>Sivan/Sunday</v>
      </c>
      <c r="C217" s="67" t="s">
        <v>36</v>
      </c>
      <c r="D217" s="67" t="s">
        <v>261</v>
      </c>
      <c r="E217" s="67" t="s">
        <v>12</v>
      </c>
      <c r="F217" s="138" t="n">
        <v>1</v>
      </c>
      <c r="G217" s="67" t="s">
        <v>179</v>
      </c>
      <c r="H217" s="139" t="n">
        <v>10.2</v>
      </c>
      <c r="I217" s="139" t="n">
        <f aca="false">IFERROR(H217/F217,0)</f>
        <v>10.2</v>
      </c>
      <c r="J217" s="67" t="s">
        <v>1158</v>
      </c>
    </row>
    <row r="218" customFormat="false" ht="13.5" hidden="false" customHeight="true" outlineLevel="0" collapsed="false">
      <c r="A218" s="137" t="n">
        <v>46173</v>
      </c>
      <c r="B218" s="67" t="str">
        <f aca="false">TEXT(A218,"mmm/aaaa")</f>
        <v>Sivan/Sunday</v>
      </c>
      <c r="C218" s="67" t="s">
        <v>36</v>
      </c>
      <c r="D218" s="67" t="s">
        <v>276</v>
      </c>
      <c r="E218" s="67" t="s">
        <v>19</v>
      </c>
      <c r="F218" s="138" t="n">
        <v>1</v>
      </c>
      <c r="G218" s="67" t="s">
        <v>179</v>
      </c>
      <c r="H218" s="139" t="n">
        <v>7.45</v>
      </c>
      <c r="I218" s="139" t="n">
        <f aca="false">IFERROR(H218/F218,0)</f>
        <v>7.45</v>
      </c>
      <c r="J218" s="67" t="s">
        <v>1158</v>
      </c>
    </row>
    <row r="219" customFormat="false" ht="13.5" hidden="false" customHeight="true" outlineLevel="0" collapsed="false">
      <c r="A219" s="137" t="n">
        <v>46173</v>
      </c>
      <c r="B219" s="67" t="str">
        <f aca="false">TEXT(A219,"mmm/aaaa")</f>
        <v>Sivan/Sunday</v>
      </c>
      <c r="C219" s="67" t="s">
        <v>36</v>
      </c>
      <c r="D219" s="67" t="s">
        <v>566</v>
      </c>
      <c r="E219" s="67" t="s">
        <v>12</v>
      </c>
      <c r="F219" s="138" t="n">
        <v>1</v>
      </c>
      <c r="G219" s="67" t="s">
        <v>179</v>
      </c>
      <c r="H219" s="139" t="n">
        <v>29.99</v>
      </c>
      <c r="I219" s="139" t="n">
        <f aca="false">IFERROR(H219/F219,0)</f>
        <v>29.99</v>
      </c>
      <c r="J219" s="67" t="s">
        <v>1158</v>
      </c>
    </row>
    <row r="220" customFormat="false" ht="13.5" hidden="false" customHeight="true" outlineLevel="0" collapsed="false">
      <c r="A220" s="137" t="n">
        <v>46173</v>
      </c>
      <c r="B220" s="67" t="str">
        <f aca="false">TEXT(A220,"mmm/aaaa")</f>
        <v>Sivan/Sunday</v>
      </c>
      <c r="C220" s="67" t="s">
        <v>36</v>
      </c>
      <c r="D220" s="67" t="s">
        <v>278</v>
      </c>
      <c r="E220" s="67" t="s">
        <v>19</v>
      </c>
      <c r="F220" s="138" t="n">
        <v>1</v>
      </c>
      <c r="G220" s="67" t="s">
        <v>179</v>
      </c>
      <c r="H220" s="139" t="n">
        <v>15.9</v>
      </c>
      <c r="I220" s="139" t="n">
        <f aca="false">IFERROR(H220/F220,0)</f>
        <v>15.9</v>
      </c>
      <c r="J220" s="67" t="s">
        <v>1158</v>
      </c>
    </row>
    <row r="221" customFormat="false" ht="13.5" hidden="false" customHeight="true" outlineLevel="0" collapsed="false">
      <c r="A221" s="137" t="n">
        <v>46173</v>
      </c>
      <c r="B221" s="67" t="str">
        <f aca="false">TEXT(A221,"mmm/aaaa")</f>
        <v>Sivan/Sunday</v>
      </c>
      <c r="C221" s="67" t="s">
        <v>36</v>
      </c>
      <c r="D221" s="67" t="s">
        <v>398</v>
      </c>
      <c r="E221" s="67" t="s">
        <v>14</v>
      </c>
      <c r="F221" s="138" t="n">
        <v>0.552</v>
      </c>
      <c r="G221" s="67" t="s">
        <v>176</v>
      </c>
      <c r="H221" s="139" t="n">
        <v>8.22</v>
      </c>
      <c r="I221" s="139" t="n">
        <f aca="false">IFERROR(H221/F221,0)</f>
        <v>14.8913043478261</v>
      </c>
      <c r="J221" s="67" t="s">
        <v>1158</v>
      </c>
      <c r="K221" s="67" t="s">
        <v>1140</v>
      </c>
    </row>
    <row r="222" customFormat="false" ht="13.5" hidden="false" customHeight="true" outlineLevel="0" collapsed="false">
      <c r="A222" s="137" t="n">
        <v>46173</v>
      </c>
      <c r="B222" s="67" t="str">
        <f aca="false">TEXT(A222,"mmm/aaaa")</f>
        <v>Sivan/Sunday</v>
      </c>
      <c r="C222" s="67" t="s">
        <v>36</v>
      </c>
      <c r="D222" s="67" t="s">
        <v>568</v>
      </c>
      <c r="E222" s="67" t="s">
        <v>18</v>
      </c>
      <c r="F222" s="138" t="n">
        <v>1</v>
      </c>
      <c r="G222" s="67" t="s">
        <v>179</v>
      </c>
      <c r="H222" s="139" t="n">
        <v>3.99</v>
      </c>
      <c r="I222" s="139" t="n">
        <f aca="false">IFERROR(H222/F222,0)</f>
        <v>3.99</v>
      </c>
      <c r="J222" s="67" t="s">
        <v>1158</v>
      </c>
    </row>
    <row r="223" customFormat="false" ht="13.5" hidden="false" customHeight="true" outlineLevel="0" collapsed="false">
      <c r="A223" s="137" t="n">
        <v>46173</v>
      </c>
      <c r="B223" s="67" t="str">
        <f aca="false">TEXT(A223,"mmm/aaaa")</f>
        <v>Sivan/Sunday</v>
      </c>
      <c r="C223" s="67" t="s">
        <v>36</v>
      </c>
      <c r="D223" s="67" t="s">
        <v>570</v>
      </c>
      <c r="E223" s="67" t="s">
        <v>19</v>
      </c>
      <c r="F223" s="138" t="n">
        <v>1</v>
      </c>
      <c r="G223" s="67" t="s">
        <v>179</v>
      </c>
      <c r="H223" s="139" t="n">
        <v>6.99</v>
      </c>
      <c r="I223" s="139" t="n">
        <f aca="false">IFERROR(H223/F223,0)</f>
        <v>6.99</v>
      </c>
      <c r="J223" s="67" t="s">
        <v>1158</v>
      </c>
    </row>
    <row r="224" customFormat="false" ht="13.5" hidden="false" customHeight="true" outlineLevel="0" collapsed="false">
      <c r="A224" s="137" t="n">
        <v>46173</v>
      </c>
      <c r="B224" s="67" t="str">
        <f aca="false">TEXT(A224,"mmm/aaaa")</f>
        <v>Sivan/Sunday</v>
      </c>
      <c r="C224" s="67" t="s">
        <v>36</v>
      </c>
      <c r="D224" s="67" t="s">
        <v>572</v>
      </c>
      <c r="E224" s="67" t="s">
        <v>18</v>
      </c>
      <c r="F224" s="138" t="n">
        <v>1</v>
      </c>
      <c r="G224" s="67" t="s">
        <v>179</v>
      </c>
      <c r="H224" s="139" t="n">
        <v>4.49</v>
      </c>
      <c r="I224" s="139" t="n">
        <f aca="false">IFERROR(H224/F224,0)</f>
        <v>4.49</v>
      </c>
      <c r="J224" s="67" t="s">
        <v>1158</v>
      </c>
    </row>
    <row r="225" customFormat="false" ht="13.5" hidden="false" customHeight="true" outlineLevel="0" collapsed="false">
      <c r="A225" s="137" t="n">
        <v>46173</v>
      </c>
      <c r="B225" s="67" t="str">
        <f aca="false">TEXT(A225,"mmm/aaaa")</f>
        <v>Sivan/Sunday</v>
      </c>
      <c r="C225" s="67" t="s">
        <v>36</v>
      </c>
      <c r="D225" s="67" t="s">
        <v>398</v>
      </c>
      <c r="E225" s="67" t="s">
        <v>14</v>
      </c>
      <c r="F225" s="138" t="n">
        <v>0.136</v>
      </c>
      <c r="G225" s="67" t="s">
        <v>176</v>
      </c>
      <c r="H225" s="139" t="n">
        <v>2.03</v>
      </c>
      <c r="I225" s="139" t="n">
        <f aca="false">IFERROR(H225/F225,0)</f>
        <v>14.9264705882353</v>
      </c>
      <c r="J225" s="67" t="s">
        <v>1158</v>
      </c>
      <c r="K225" s="67" t="s">
        <v>1140</v>
      </c>
    </row>
    <row r="226" customFormat="false" ht="13.5" hidden="false" customHeight="true" outlineLevel="0" collapsed="false">
      <c r="A226" s="137" t="n">
        <v>46173</v>
      </c>
      <c r="B226" s="67" t="str">
        <f aca="false">TEXT(A226,"mmm/aaaa")</f>
        <v>Sivan/Sunday</v>
      </c>
      <c r="C226" s="67" t="s">
        <v>36</v>
      </c>
      <c r="D226" s="67" t="s">
        <v>421</v>
      </c>
      <c r="E226" s="67" t="s">
        <v>18</v>
      </c>
      <c r="F226" s="138" t="n">
        <v>1</v>
      </c>
      <c r="G226" s="67" t="s">
        <v>179</v>
      </c>
      <c r="H226" s="139" t="n">
        <v>15.6</v>
      </c>
      <c r="I226" s="139" t="n">
        <f aca="false">IFERROR(H226/F226,0)</f>
        <v>15.6</v>
      </c>
      <c r="J226" s="67" t="s">
        <v>1158</v>
      </c>
    </row>
    <row r="227" customFormat="false" ht="13.5" hidden="false" customHeight="true" outlineLevel="0" collapsed="false">
      <c r="A227" s="137" t="n">
        <v>46173</v>
      </c>
      <c r="B227" s="67" t="str">
        <f aca="false">TEXT(A227,"mmm/aaaa")</f>
        <v>Sivan/Sunday</v>
      </c>
      <c r="C227" s="67" t="s">
        <v>36</v>
      </c>
      <c r="D227" s="67" t="s">
        <v>227</v>
      </c>
      <c r="E227" s="67" t="s">
        <v>13</v>
      </c>
      <c r="F227" s="138" t="n">
        <v>1</v>
      </c>
      <c r="G227" s="67" t="s">
        <v>179</v>
      </c>
      <c r="H227" s="139" t="n">
        <v>18.2</v>
      </c>
      <c r="I227" s="139" t="n">
        <f aca="false">IFERROR(H227/F227,0)</f>
        <v>18.2</v>
      </c>
      <c r="J227" s="67" t="s">
        <v>1158</v>
      </c>
    </row>
    <row r="228" customFormat="false" ht="13.5" hidden="false" customHeight="true" outlineLevel="0" collapsed="false">
      <c r="A228" s="137" t="n">
        <v>46173</v>
      </c>
      <c r="B228" s="67" t="str">
        <f aca="false">TEXT(A228,"mmm/aaaa")</f>
        <v>Sivan/Sunday</v>
      </c>
      <c r="C228" s="67" t="s">
        <v>36</v>
      </c>
      <c r="D228" s="67" t="s">
        <v>574</v>
      </c>
      <c r="E228" s="67" t="s">
        <v>13</v>
      </c>
      <c r="F228" s="138" t="n">
        <v>1</v>
      </c>
      <c r="G228" s="67" t="s">
        <v>179</v>
      </c>
      <c r="H228" s="139" t="n">
        <v>6.65</v>
      </c>
      <c r="I228" s="139" t="n">
        <f aca="false">IFERROR(H228/F228,0)</f>
        <v>6.65</v>
      </c>
      <c r="J228" s="67" t="s">
        <v>1158</v>
      </c>
    </row>
    <row r="229" customFormat="false" ht="13.5" hidden="false" customHeight="true" outlineLevel="0" collapsed="false">
      <c r="A229" s="137" t="n">
        <v>46173</v>
      </c>
      <c r="B229" s="67" t="str">
        <f aca="false">TEXT(A229,"mmm/aaaa")</f>
        <v>Sivan/Sunday</v>
      </c>
      <c r="C229" s="67" t="s">
        <v>38</v>
      </c>
      <c r="D229" s="67" t="s">
        <v>430</v>
      </c>
      <c r="E229" s="67" t="s">
        <v>15</v>
      </c>
      <c r="F229" s="138" t="n">
        <v>1</v>
      </c>
      <c r="G229" s="67" t="s">
        <v>179</v>
      </c>
      <c r="H229" s="139" t="n">
        <v>6</v>
      </c>
      <c r="I229" s="139" t="n">
        <f aca="false">IFERROR(H229/F229,0)</f>
        <v>6</v>
      </c>
      <c r="J229" s="67" t="s">
        <v>1159</v>
      </c>
    </row>
    <row r="230" customFormat="false" ht="13.5" hidden="false" customHeight="true" outlineLevel="0" collapsed="false">
      <c r="A230" s="137" t="n">
        <v>46173</v>
      </c>
      <c r="B230" s="67" t="str">
        <f aca="false">TEXT(A230,"mmm/aaaa")</f>
        <v>Sivan/Sunday</v>
      </c>
      <c r="C230" s="67" t="s">
        <v>38</v>
      </c>
      <c r="D230" s="67" t="s">
        <v>483</v>
      </c>
      <c r="E230" s="67" t="s">
        <v>15</v>
      </c>
      <c r="F230" s="138" t="n">
        <v>0.712</v>
      </c>
      <c r="G230" s="67" t="s">
        <v>176</v>
      </c>
      <c r="H230" s="139" t="n">
        <v>1.91</v>
      </c>
      <c r="I230" s="139" t="n">
        <f aca="false">IFERROR(H230/F230,0)</f>
        <v>2.68258426966292</v>
      </c>
      <c r="J230" s="67" t="s">
        <v>1159</v>
      </c>
      <c r="K230" s="67" t="s">
        <v>1160</v>
      </c>
    </row>
    <row r="231" customFormat="false" ht="13.5" hidden="false" customHeight="true" outlineLevel="0" collapsed="false">
      <c r="A231" s="137" t="n">
        <v>46173</v>
      </c>
      <c r="B231" s="67" t="str">
        <f aca="false">TEXT(A231,"mmm/aaaa")</f>
        <v>Sivan/Sunday</v>
      </c>
      <c r="C231" s="67" t="s">
        <v>38</v>
      </c>
      <c r="D231" s="67" t="s">
        <v>579</v>
      </c>
      <c r="E231" s="67" t="s">
        <v>12</v>
      </c>
      <c r="F231" s="138" t="n">
        <v>1</v>
      </c>
      <c r="G231" s="67" t="s">
        <v>179</v>
      </c>
      <c r="H231" s="139" t="n">
        <v>8.9</v>
      </c>
      <c r="I231" s="139" t="n">
        <f aca="false">IFERROR(H231/F231,0)</f>
        <v>8.9</v>
      </c>
      <c r="J231" s="67" t="s">
        <v>1159</v>
      </c>
    </row>
    <row r="232" customFormat="false" ht="13.5" hidden="false" customHeight="true" outlineLevel="0" collapsed="false">
      <c r="A232" s="137" t="n">
        <v>46173</v>
      </c>
      <c r="B232" s="67" t="str">
        <f aca="false">TEXT(A232,"mmm/aaaa")</f>
        <v>Sivan/Sunday</v>
      </c>
      <c r="C232" s="67" t="s">
        <v>38</v>
      </c>
      <c r="D232" s="67" t="s">
        <v>284</v>
      </c>
      <c r="E232" s="67" t="s">
        <v>15</v>
      </c>
      <c r="F232" s="138" t="n">
        <v>1.424</v>
      </c>
      <c r="G232" s="67" t="s">
        <v>176</v>
      </c>
      <c r="H232" s="139" t="n">
        <v>7.09</v>
      </c>
      <c r="I232" s="139" t="n">
        <f aca="false">IFERROR(H232/F232,0)</f>
        <v>4.97893258426966</v>
      </c>
      <c r="J232" s="67" t="s">
        <v>1159</v>
      </c>
      <c r="K232" s="67" t="s">
        <v>1154</v>
      </c>
    </row>
    <row r="233" customFormat="false" ht="13.5" hidden="false" customHeight="true" outlineLevel="0" collapsed="false">
      <c r="A233" s="137" t="n">
        <v>46171</v>
      </c>
      <c r="B233" s="67" t="str">
        <f aca="false">TEXT(A233,"mmm/aaaa")</f>
        <v>Sivan/Friday</v>
      </c>
      <c r="C233" s="67" t="s">
        <v>37</v>
      </c>
      <c r="D233" s="67" t="s">
        <v>432</v>
      </c>
      <c r="E233" s="67" t="s">
        <v>14</v>
      </c>
      <c r="F233" s="138" t="n">
        <v>0.48</v>
      </c>
      <c r="G233" s="67" t="s">
        <v>176</v>
      </c>
      <c r="H233" s="139" t="n">
        <v>8.59</v>
      </c>
      <c r="I233" s="139" t="n">
        <f aca="false">IFERROR(H233/F233,0)</f>
        <v>17.8958333333333</v>
      </c>
      <c r="J233" s="67" t="s">
        <v>1161</v>
      </c>
      <c r="K233" s="67" t="s">
        <v>1162</v>
      </c>
    </row>
    <row r="234" customFormat="false" ht="13.5" hidden="false" customHeight="true" outlineLevel="0" collapsed="false">
      <c r="A234" s="137" t="n">
        <v>46171</v>
      </c>
      <c r="B234" s="67" t="str">
        <f aca="false">TEXT(A234,"mmm/aaaa")</f>
        <v>Sivan/Friday</v>
      </c>
      <c r="C234" s="67" t="s">
        <v>37</v>
      </c>
      <c r="D234" s="67" t="s">
        <v>532</v>
      </c>
      <c r="E234" s="67" t="s">
        <v>12</v>
      </c>
      <c r="F234" s="138" t="n">
        <v>1</v>
      </c>
      <c r="G234" s="67" t="s">
        <v>179</v>
      </c>
      <c r="H234" s="139" t="n">
        <v>6.9</v>
      </c>
      <c r="I234" s="139" t="n">
        <f aca="false">IFERROR(H234/F234,0)</f>
        <v>6.9</v>
      </c>
      <c r="J234" s="67" t="s">
        <v>1161</v>
      </c>
    </row>
    <row r="235" customFormat="false" ht="13.5" hidden="false" customHeight="true" outlineLevel="0" collapsed="false">
      <c r="A235" s="137" t="n">
        <v>46171</v>
      </c>
      <c r="B235" s="67" t="str">
        <f aca="false">TEXT(A235,"mmm/aaaa")</f>
        <v>Sivan/Friday</v>
      </c>
      <c r="C235" s="67" t="s">
        <v>37</v>
      </c>
      <c r="D235" s="67" t="s">
        <v>534</v>
      </c>
      <c r="E235" s="67" t="s">
        <v>22</v>
      </c>
      <c r="F235" s="138" t="n">
        <v>1</v>
      </c>
      <c r="G235" s="67" t="s">
        <v>179</v>
      </c>
      <c r="H235" s="139" t="n">
        <v>2.99</v>
      </c>
      <c r="I235" s="139" t="n">
        <f aca="false">IFERROR(H235/F235,0)</f>
        <v>2.99</v>
      </c>
      <c r="J235" s="67" t="s">
        <v>1161</v>
      </c>
    </row>
    <row r="236" customFormat="false" ht="13.5" hidden="false" customHeight="true" outlineLevel="0" collapsed="false">
      <c r="A236" s="137" t="n">
        <v>46171</v>
      </c>
      <c r="B236" s="67" t="str">
        <f aca="false">TEXT(A236,"mmm/aaaa")</f>
        <v>Sivan/Friday</v>
      </c>
      <c r="C236" s="67" t="s">
        <v>37</v>
      </c>
      <c r="D236" s="67" t="s">
        <v>534</v>
      </c>
      <c r="E236" s="67" t="s">
        <v>22</v>
      </c>
      <c r="F236" s="138" t="n">
        <v>1</v>
      </c>
      <c r="G236" s="67" t="s">
        <v>179</v>
      </c>
      <c r="H236" s="139" t="n">
        <v>2.99</v>
      </c>
      <c r="I236" s="139" t="n">
        <f aca="false">IFERROR(H236/F236,0)</f>
        <v>2.99</v>
      </c>
      <c r="J236" s="67" t="s">
        <v>1161</v>
      </c>
    </row>
    <row r="237" customFormat="false" ht="13.5" hidden="false" customHeight="true" outlineLevel="0" collapsed="false">
      <c r="A237" s="137" t="n">
        <v>46171</v>
      </c>
      <c r="B237" s="67" t="str">
        <f aca="false">TEXT(A237,"mmm/aaaa")</f>
        <v>Sivan/Friday</v>
      </c>
      <c r="C237" s="67" t="s">
        <v>37</v>
      </c>
      <c r="D237" s="67" t="s">
        <v>534</v>
      </c>
      <c r="E237" s="67" t="s">
        <v>22</v>
      </c>
      <c r="F237" s="138" t="n">
        <v>1</v>
      </c>
      <c r="G237" s="67" t="s">
        <v>179</v>
      </c>
      <c r="H237" s="139" t="n">
        <v>2.99</v>
      </c>
      <c r="I237" s="139" t="n">
        <f aca="false">IFERROR(H237/F237,0)</f>
        <v>2.99</v>
      </c>
      <c r="J237" s="67" t="s">
        <v>1161</v>
      </c>
    </row>
    <row r="238" customFormat="false" ht="13.5" hidden="false" customHeight="true" outlineLevel="0" collapsed="false">
      <c r="A238" s="137" t="n">
        <v>46171</v>
      </c>
      <c r="B238" s="67" t="str">
        <f aca="false">TEXT(A238,"mmm/aaaa")</f>
        <v>Sivan/Friday</v>
      </c>
      <c r="C238" s="67" t="s">
        <v>37</v>
      </c>
      <c r="D238" s="67" t="s">
        <v>534</v>
      </c>
      <c r="E238" s="67" t="s">
        <v>22</v>
      </c>
      <c r="F238" s="138" t="n">
        <v>1</v>
      </c>
      <c r="G238" s="67" t="s">
        <v>179</v>
      </c>
      <c r="H238" s="139" t="n">
        <v>2.99</v>
      </c>
      <c r="I238" s="139" t="n">
        <f aca="false">IFERROR(H238/F238,0)</f>
        <v>2.99</v>
      </c>
      <c r="J238" s="67" t="s">
        <v>1161</v>
      </c>
    </row>
    <row r="239" customFormat="false" ht="13.5" hidden="false" customHeight="true" outlineLevel="0" collapsed="false">
      <c r="A239" s="137" t="n">
        <v>46171</v>
      </c>
      <c r="B239" s="67" t="str">
        <f aca="false">TEXT(A239,"mmm/aaaa")</f>
        <v>Sivan/Friday</v>
      </c>
      <c r="C239" s="67" t="s">
        <v>37</v>
      </c>
      <c r="D239" s="67" t="s">
        <v>534</v>
      </c>
      <c r="E239" s="67" t="s">
        <v>22</v>
      </c>
      <c r="F239" s="138" t="n">
        <v>1</v>
      </c>
      <c r="G239" s="67" t="s">
        <v>179</v>
      </c>
      <c r="H239" s="139" t="n">
        <v>2.99</v>
      </c>
      <c r="I239" s="139" t="n">
        <f aca="false">IFERROR(H239/F239,0)</f>
        <v>2.99</v>
      </c>
      <c r="J239" s="67" t="s">
        <v>1161</v>
      </c>
    </row>
    <row r="240" customFormat="false" ht="13.5" hidden="false" customHeight="true" outlineLevel="0" collapsed="false">
      <c r="A240" s="137" t="n">
        <v>46171</v>
      </c>
      <c r="B240" s="67" t="str">
        <f aca="false">TEXT(A240,"mmm/aaaa")</f>
        <v>Sivan/Friday</v>
      </c>
      <c r="C240" s="67" t="s">
        <v>37</v>
      </c>
      <c r="D240" s="67" t="s">
        <v>534</v>
      </c>
      <c r="E240" s="67" t="s">
        <v>22</v>
      </c>
      <c r="F240" s="138" t="n">
        <v>1</v>
      </c>
      <c r="G240" s="67" t="s">
        <v>179</v>
      </c>
      <c r="H240" s="139" t="n">
        <v>2.99</v>
      </c>
      <c r="I240" s="139" t="n">
        <f aca="false">IFERROR(H240/F240,0)</f>
        <v>2.99</v>
      </c>
      <c r="J240" s="67" t="s">
        <v>1161</v>
      </c>
    </row>
    <row r="241" customFormat="false" ht="13.5" hidden="false" customHeight="true" outlineLevel="0" collapsed="false">
      <c r="A241" s="137" t="n">
        <v>46171</v>
      </c>
      <c r="B241" s="67" t="str">
        <f aca="false">TEXT(A241,"mmm/aaaa")</f>
        <v>Sivan/Friday</v>
      </c>
      <c r="C241" s="67" t="s">
        <v>37</v>
      </c>
      <c r="D241" s="67" t="s">
        <v>534</v>
      </c>
      <c r="E241" s="67" t="s">
        <v>22</v>
      </c>
      <c r="F241" s="138" t="n">
        <v>1</v>
      </c>
      <c r="G241" s="67" t="s">
        <v>179</v>
      </c>
      <c r="H241" s="139" t="n">
        <v>2.99</v>
      </c>
      <c r="I241" s="139" t="n">
        <f aca="false">IFERROR(H241/F241,0)</f>
        <v>2.99</v>
      </c>
      <c r="J241" s="67" t="s">
        <v>1161</v>
      </c>
    </row>
    <row r="242" customFormat="false" ht="13.5" hidden="false" customHeight="true" outlineLevel="0" collapsed="false">
      <c r="A242" s="137" t="n">
        <v>46171</v>
      </c>
      <c r="B242" s="67" t="str">
        <f aca="false">TEXT(A242,"mmm/aaaa")</f>
        <v>Sivan/Friday</v>
      </c>
      <c r="C242" s="67" t="s">
        <v>37</v>
      </c>
      <c r="D242" s="67" t="s">
        <v>534</v>
      </c>
      <c r="E242" s="67" t="s">
        <v>22</v>
      </c>
      <c r="F242" s="138" t="n">
        <v>1</v>
      </c>
      <c r="G242" s="67" t="s">
        <v>179</v>
      </c>
      <c r="H242" s="139" t="n">
        <v>2.99</v>
      </c>
      <c r="I242" s="139" t="n">
        <f aca="false">IFERROR(H242/F242,0)</f>
        <v>2.99</v>
      </c>
      <c r="J242" s="67" t="s">
        <v>1161</v>
      </c>
    </row>
    <row r="243" customFormat="false" ht="13.5" hidden="false" customHeight="true" outlineLevel="0" collapsed="false">
      <c r="A243" s="137" t="n">
        <v>46171</v>
      </c>
      <c r="B243" s="67" t="str">
        <f aca="false">TEXT(A243,"mmm/aaaa")</f>
        <v>Sivan/Friday</v>
      </c>
      <c r="C243" s="67" t="s">
        <v>37</v>
      </c>
      <c r="D243" s="67" t="s">
        <v>539</v>
      </c>
      <c r="E243" s="67" t="s">
        <v>13</v>
      </c>
      <c r="F243" s="138" t="n">
        <v>1</v>
      </c>
      <c r="G243" s="67" t="s">
        <v>179</v>
      </c>
      <c r="H243" s="139" t="n">
        <v>21.9</v>
      </c>
      <c r="I243" s="139" t="n">
        <f aca="false">IFERROR(H243/F243,0)</f>
        <v>21.9</v>
      </c>
      <c r="J243" s="67" t="s">
        <v>1161</v>
      </c>
    </row>
    <row r="244" customFormat="false" ht="13.5" hidden="false" customHeight="true" outlineLevel="0" collapsed="false">
      <c r="A244" s="137" t="n">
        <v>46171</v>
      </c>
      <c r="B244" s="67" t="str">
        <f aca="false">TEXT(A244,"mmm/aaaa")</f>
        <v>Sivan/Friday</v>
      </c>
      <c r="C244" s="67" t="s">
        <v>37</v>
      </c>
      <c r="D244" s="67" t="s">
        <v>541</v>
      </c>
      <c r="E244" s="67" t="s">
        <v>22</v>
      </c>
      <c r="F244" s="138" t="n">
        <v>1</v>
      </c>
      <c r="G244" s="67" t="s">
        <v>179</v>
      </c>
      <c r="H244" s="139" t="n">
        <v>16.9</v>
      </c>
      <c r="I244" s="139" t="n">
        <f aca="false">IFERROR(H244/F244,0)</f>
        <v>16.9</v>
      </c>
      <c r="J244" s="67" t="s">
        <v>1161</v>
      </c>
    </row>
    <row r="245" customFormat="false" ht="13.5" hidden="false" customHeight="true" outlineLevel="0" collapsed="false">
      <c r="A245" s="137" t="n">
        <v>46176</v>
      </c>
      <c r="B245" s="67" t="str">
        <f aca="false">TEXT(A245,"mmm/aaaa")</f>
        <v>Sivan/Wednesday</v>
      </c>
      <c r="C245" s="67" t="s">
        <v>38</v>
      </c>
      <c r="D245" s="67" t="s">
        <v>481</v>
      </c>
      <c r="E245" s="67" t="s">
        <v>15</v>
      </c>
      <c r="F245" s="138" t="n">
        <v>0.966</v>
      </c>
      <c r="G245" s="67" t="s">
        <v>176</v>
      </c>
      <c r="H245" s="139" t="n">
        <v>10.22</v>
      </c>
      <c r="I245" s="139" t="n">
        <f aca="false">IFERROR(H245/F245,0)</f>
        <v>10.5797101449275</v>
      </c>
      <c r="J245" s="67" t="s">
        <v>1163</v>
      </c>
      <c r="K245" s="67" t="s">
        <v>1164</v>
      </c>
    </row>
    <row r="246" customFormat="false" ht="13.5" hidden="false" customHeight="true" outlineLevel="0" collapsed="false">
      <c r="A246" s="137" t="n">
        <v>46176</v>
      </c>
      <c r="B246" s="67" t="str">
        <f aca="false">TEXT(A246,"mmm/aaaa")</f>
        <v>Sivan/Wednesday</v>
      </c>
      <c r="C246" s="67" t="s">
        <v>38</v>
      </c>
      <c r="D246" s="67" t="s">
        <v>583</v>
      </c>
      <c r="E246" s="67" t="s">
        <v>15</v>
      </c>
      <c r="F246" s="138" t="n">
        <v>0.41</v>
      </c>
      <c r="G246" s="67" t="s">
        <v>176</v>
      </c>
      <c r="H246" s="139" t="n">
        <v>6.35</v>
      </c>
      <c r="I246" s="139" t="n">
        <f aca="false">IFERROR(H246/F246,0)</f>
        <v>15.4878048780488</v>
      </c>
      <c r="J246" s="67" t="s">
        <v>1163</v>
      </c>
      <c r="K246" s="67" t="s">
        <v>1165</v>
      </c>
    </row>
    <row r="247" customFormat="false" ht="13.5" hidden="false" customHeight="true" outlineLevel="0" collapsed="false">
      <c r="A247" s="137" t="n">
        <v>46176</v>
      </c>
      <c r="B247" s="67" t="str">
        <f aca="false">TEXT(A247,"mmm/aaaa")</f>
        <v>Sivan/Wednesday</v>
      </c>
      <c r="C247" s="67" t="s">
        <v>38</v>
      </c>
      <c r="D247" s="67" t="s">
        <v>284</v>
      </c>
      <c r="E247" s="67" t="s">
        <v>15</v>
      </c>
      <c r="F247" s="138" t="n">
        <v>1.186</v>
      </c>
      <c r="G247" s="67" t="s">
        <v>176</v>
      </c>
      <c r="H247" s="139" t="n">
        <v>5.91</v>
      </c>
      <c r="I247" s="139" t="n">
        <f aca="false">IFERROR(H247/F247,0)</f>
        <v>4.98313659359191</v>
      </c>
      <c r="J247" s="67" t="s">
        <v>1163</v>
      </c>
      <c r="K247" s="67" t="s">
        <v>1154</v>
      </c>
    </row>
    <row r="248" customFormat="false" ht="13.5" hidden="false" customHeight="true" outlineLevel="0" collapsed="false">
      <c r="A248" s="137" t="n">
        <v>46176</v>
      </c>
      <c r="B248" s="67" t="str">
        <f aca="false">TEXT(A248,"mmm/aaaa")</f>
        <v>Sivan/Wednesday</v>
      </c>
      <c r="C248" s="67" t="s">
        <v>38</v>
      </c>
      <c r="D248" s="67" t="s">
        <v>286</v>
      </c>
      <c r="E248" s="67" t="s">
        <v>15</v>
      </c>
      <c r="F248" s="138" t="n">
        <v>0.89</v>
      </c>
      <c r="G248" s="67" t="s">
        <v>176</v>
      </c>
      <c r="H248" s="139" t="n">
        <v>10.4</v>
      </c>
      <c r="I248" s="139" t="n">
        <f aca="false">IFERROR(H248/F248,0)</f>
        <v>11.685393258427</v>
      </c>
      <c r="J248" s="67" t="s">
        <v>1163</v>
      </c>
      <c r="K248" s="67" t="s">
        <v>1153</v>
      </c>
    </row>
    <row r="249" customFormat="false" ht="13.5" hidden="false" customHeight="true" outlineLevel="0" collapsed="false">
      <c r="A249" s="137" t="n">
        <v>46176</v>
      </c>
      <c r="B249" s="67" t="str">
        <f aca="false">TEXT(A249,"mmm/aaaa")</f>
        <v>Sivan/Wednesday</v>
      </c>
      <c r="C249" s="67" t="s">
        <v>38</v>
      </c>
      <c r="D249" s="67" t="s">
        <v>479</v>
      </c>
      <c r="E249" s="67" t="s">
        <v>15</v>
      </c>
      <c r="F249" s="138" t="n">
        <v>0.73</v>
      </c>
      <c r="G249" s="67" t="s">
        <v>176</v>
      </c>
      <c r="H249" s="139" t="n">
        <v>8.23</v>
      </c>
      <c r="I249" s="139" t="n">
        <f aca="false">IFERROR(H249/F249,0)</f>
        <v>11.2739726027397</v>
      </c>
      <c r="J249" s="67" t="s">
        <v>1163</v>
      </c>
      <c r="K249" s="67" t="s">
        <v>1166</v>
      </c>
    </row>
    <row r="250" customFormat="false" ht="13.5" hidden="false" customHeight="true" outlineLevel="0" collapsed="false">
      <c r="A250" s="137" t="n">
        <v>46176</v>
      </c>
      <c r="B250" s="67" t="str">
        <f aca="false">TEXT(A250,"mmm/aaaa")</f>
        <v>Sivan/Wednesday</v>
      </c>
      <c r="C250" s="67" t="s">
        <v>38</v>
      </c>
      <c r="D250" s="67" t="s">
        <v>585</v>
      </c>
      <c r="E250" s="67" t="s">
        <v>15</v>
      </c>
      <c r="F250" s="138" t="n">
        <v>0.528</v>
      </c>
      <c r="G250" s="67" t="s">
        <v>176</v>
      </c>
      <c r="H250" s="139" t="n">
        <v>4.21</v>
      </c>
      <c r="I250" s="139" t="n">
        <f aca="false">IFERROR(H250/F250,0)</f>
        <v>7.97348484848485</v>
      </c>
      <c r="J250" s="67" t="s">
        <v>1163</v>
      </c>
      <c r="K250" s="67" t="s">
        <v>1145</v>
      </c>
    </row>
    <row r="251" customFormat="false" ht="13.5" hidden="false" customHeight="true" outlineLevel="0" collapsed="false">
      <c r="A251" s="137" t="n">
        <v>46176</v>
      </c>
      <c r="B251" s="67" t="str">
        <f aca="false">TEXT(A251,"mmm/aaaa")</f>
        <v>Sivan/Wednesday</v>
      </c>
      <c r="C251" s="67" t="s">
        <v>38</v>
      </c>
      <c r="D251" s="67" t="s">
        <v>587</v>
      </c>
      <c r="E251" s="67" t="s">
        <v>15</v>
      </c>
      <c r="F251" s="138" t="n">
        <v>0.372</v>
      </c>
      <c r="G251" s="67" t="s">
        <v>176</v>
      </c>
      <c r="H251" s="139" t="n">
        <v>3.19</v>
      </c>
      <c r="I251" s="139" t="n">
        <f aca="false">IFERROR(H251/F251,0)</f>
        <v>8.5752688172043</v>
      </c>
      <c r="J251" s="67" t="s">
        <v>1163</v>
      </c>
      <c r="K251" s="67" t="s">
        <v>1167</v>
      </c>
    </row>
    <row r="252" customFormat="false" ht="13.5" hidden="false" customHeight="true" outlineLevel="0" collapsed="false">
      <c r="A252" s="137" t="n">
        <v>46176</v>
      </c>
      <c r="B252" s="67" t="str">
        <f aca="false">TEXT(A252,"mmm/aaaa")</f>
        <v>Sivan/Wednesday</v>
      </c>
      <c r="C252" s="67" t="s">
        <v>38</v>
      </c>
      <c r="D252" s="67" t="s">
        <v>282</v>
      </c>
      <c r="E252" s="67" t="s">
        <v>15</v>
      </c>
      <c r="F252" s="138" t="n">
        <v>0.624</v>
      </c>
      <c r="G252" s="67" t="s">
        <v>176</v>
      </c>
      <c r="H252" s="139" t="n">
        <v>2.17</v>
      </c>
      <c r="I252" s="139" t="n">
        <f aca="false">IFERROR(H252/F252,0)</f>
        <v>3.4775641025641</v>
      </c>
      <c r="J252" s="67" t="s">
        <v>1163</v>
      </c>
      <c r="K252" s="67" t="s">
        <v>1168</v>
      </c>
    </row>
    <row r="253" customFormat="false" ht="13.5" hidden="false" customHeight="true" outlineLevel="0" collapsed="false">
      <c r="A253" s="137" t="n">
        <v>46176</v>
      </c>
      <c r="B253" s="67" t="str">
        <f aca="false">TEXT(A253,"mmm/aaaa")</f>
        <v>Sivan/Wednesday</v>
      </c>
      <c r="C253" s="67" t="s">
        <v>38</v>
      </c>
      <c r="D253" s="67" t="s">
        <v>589</v>
      </c>
      <c r="E253" s="67" t="s">
        <v>15</v>
      </c>
      <c r="F253" s="138" t="n">
        <v>0.188</v>
      </c>
      <c r="G253" s="67" t="s">
        <v>176</v>
      </c>
      <c r="H253" s="139" t="n">
        <v>5.26</v>
      </c>
      <c r="I253" s="139" t="n">
        <f aca="false">IFERROR(H253/F253,0)</f>
        <v>27.9787234042553</v>
      </c>
      <c r="J253" s="67" t="s">
        <v>1163</v>
      </c>
      <c r="K253" s="67" t="s">
        <v>1169</v>
      </c>
    </row>
    <row r="254" customFormat="false" ht="13.5" hidden="false" customHeight="true" outlineLevel="0" collapsed="false">
      <c r="A254" s="137" t="n">
        <v>46176</v>
      </c>
      <c r="B254" s="67" t="str">
        <f aca="false">TEXT(A254,"mmm/aaaa")</f>
        <v>Sivan/Wednesday</v>
      </c>
      <c r="C254" s="67" t="s">
        <v>38</v>
      </c>
      <c r="D254" s="67" t="s">
        <v>591</v>
      </c>
      <c r="E254" s="67" t="s">
        <v>15</v>
      </c>
      <c r="F254" s="138" t="n">
        <v>0.546</v>
      </c>
      <c r="G254" s="67" t="s">
        <v>176</v>
      </c>
      <c r="H254" s="139" t="n">
        <v>6.54</v>
      </c>
      <c r="I254" s="139" t="n">
        <f aca="false">IFERROR(H254/F254,0)</f>
        <v>11.978021978022</v>
      </c>
      <c r="J254" s="67" t="s">
        <v>1163</v>
      </c>
      <c r="K254" s="67" t="s">
        <v>1170</v>
      </c>
    </row>
    <row r="255" customFormat="false" ht="13.5" hidden="false" customHeight="true" outlineLevel="0" collapsed="false">
      <c r="A255" s="137" t="n">
        <v>46176</v>
      </c>
      <c r="B255" s="67" t="str">
        <f aca="false">TEXT(A255,"mmm/aaaa")</f>
        <v>Sivan/Wednesday</v>
      </c>
      <c r="C255" s="67" t="s">
        <v>38</v>
      </c>
      <c r="D255" s="67" t="s">
        <v>477</v>
      </c>
      <c r="E255" s="67" t="s">
        <v>15</v>
      </c>
      <c r="F255" s="138" t="n">
        <v>1</v>
      </c>
      <c r="G255" s="67" t="s">
        <v>179</v>
      </c>
      <c r="H255" s="139" t="n">
        <v>3.9</v>
      </c>
      <c r="I255" s="139" t="n">
        <f aca="false">IFERROR(H255/F255,0)</f>
        <v>3.9</v>
      </c>
      <c r="J255" s="67" t="s">
        <v>1163</v>
      </c>
    </row>
    <row r="256" customFormat="false" ht="13.5" hidden="false" customHeight="true" outlineLevel="0" collapsed="false">
      <c r="A256" s="137" t="n">
        <v>46176</v>
      </c>
      <c r="B256" s="67" t="str">
        <f aca="false">TEXT(A256,"mmm/aaaa")</f>
        <v>Sivan/Wednesday</v>
      </c>
      <c r="C256" s="67" t="s">
        <v>38</v>
      </c>
      <c r="D256" s="67" t="s">
        <v>593</v>
      </c>
      <c r="E256" s="67" t="s">
        <v>15</v>
      </c>
      <c r="F256" s="138" t="n">
        <v>1</v>
      </c>
      <c r="G256" s="67" t="s">
        <v>179</v>
      </c>
      <c r="H256" s="139" t="n">
        <v>6</v>
      </c>
      <c r="I256" s="139" t="n">
        <f aca="false">IFERROR(H256/F256,0)</f>
        <v>6</v>
      </c>
      <c r="J256" s="67" t="s">
        <v>1163</v>
      </c>
    </row>
    <row r="257" customFormat="false" ht="13.5" hidden="false" customHeight="true" outlineLevel="0" collapsed="false">
      <c r="A257" s="137" t="n">
        <v>46176</v>
      </c>
      <c r="B257" s="67" t="str">
        <f aca="false">TEXT(A257,"mmm/aaaa")</f>
        <v>Sivan/Wednesday</v>
      </c>
      <c r="C257" s="67" t="s">
        <v>38</v>
      </c>
      <c r="D257" s="67" t="s">
        <v>595</v>
      </c>
      <c r="E257" s="67" t="s">
        <v>15</v>
      </c>
      <c r="F257" s="138" t="n">
        <v>1</v>
      </c>
      <c r="G257" s="67" t="s">
        <v>179</v>
      </c>
      <c r="H257" s="139" t="n">
        <v>6</v>
      </c>
      <c r="I257" s="139" t="n">
        <f aca="false">IFERROR(H257/F257,0)</f>
        <v>6</v>
      </c>
      <c r="J257" s="67" t="s">
        <v>1163</v>
      </c>
    </row>
    <row r="258" customFormat="false" ht="13.5" hidden="false" customHeight="true" outlineLevel="0" collapsed="false">
      <c r="A258" s="137" t="n">
        <v>46176</v>
      </c>
      <c r="B258" s="67" t="str">
        <f aca="false">TEXT(A258,"mmm/aaaa")</f>
        <v>Sivan/Wednesday</v>
      </c>
      <c r="C258" s="67" t="s">
        <v>36</v>
      </c>
      <c r="D258" s="67" t="s">
        <v>598</v>
      </c>
      <c r="E258" s="67" t="s">
        <v>16</v>
      </c>
      <c r="F258" s="138" t="n">
        <v>1</v>
      </c>
      <c r="G258" s="67" t="s">
        <v>179</v>
      </c>
      <c r="H258" s="139" t="n">
        <v>9.2</v>
      </c>
      <c r="I258" s="139" t="n">
        <f aca="false">IFERROR(H258/F258,0)</f>
        <v>9.2</v>
      </c>
      <c r="J258" s="67" t="s">
        <v>1171</v>
      </c>
    </row>
    <row r="259" customFormat="false" ht="13.5" hidden="false" customHeight="true" outlineLevel="0" collapsed="false">
      <c r="A259" s="137" t="n">
        <v>46176</v>
      </c>
      <c r="B259" s="67" t="str">
        <f aca="false">TEXT(A259,"mmm/aaaa")</f>
        <v>Sivan/Wednesday</v>
      </c>
      <c r="C259" s="67" t="s">
        <v>36</v>
      </c>
      <c r="D259" s="67" t="s">
        <v>598</v>
      </c>
      <c r="E259" s="67" t="s">
        <v>16</v>
      </c>
      <c r="F259" s="138" t="n">
        <v>1</v>
      </c>
      <c r="G259" s="67" t="s">
        <v>179</v>
      </c>
      <c r="H259" s="139" t="n">
        <v>9.2</v>
      </c>
      <c r="I259" s="139" t="n">
        <f aca="false">IFERROR(H259/F259,0)</f>
        <v>9.2</v>
      </c>
      <c r="J259" s="67" t="s">
        <v>1171</v>
      </c>
    </row>
    <row r="260" customFormat="false" ht="13.5" hidden="false" customHeight="true" outlineLevel="0" collapsed="false">
      <c r="A260" s="137" t="n">
        <v>46176</v>
      </c>
      <c r="B260" s="67" t="str">
        <f aca="false">TEXT(A260,"mmm/aaaa")</f>
        <v>Sivan/Wednesday</v>
      </c>
      <c r="C260" s="67" t="s">
        <v>36</v>
      </c>
      <c r="D260" s="67" t="s">
        <v>600</v>
      </c>
      <c r="E260" s="67" t="s">
        <v>13</v>
      </c>
      <c r="F260" s="138" t="n">
        <v>0.422</v>
      </c>
      <c r="G260" s="67" t="s">
        <v>176</v>
      </c>
      <c r="H260" s="139" t="n">
        <v>16.45</v>
      </c>
      <c r="I260" s="139" t="n">
        <f aca="false">IFERROR(H260/F260,0)</f>
        <v>38.9810426540284</v>
      </c>
      <c r="J260" s="67" t="s">
        <v>1171</v>
      </c>
      <c r="K260" s="67" t="s">
        <v>1172</v>
      </c>
    </row>
    <row r="261" customFormat="false" ht="13.5" hidden="false" customHeight="true" outlineLevel="0" collapsed="false">
      <c r="A261" s="137" t="n">
        <v>46176</v>
      </c>
      <c r="B261" s="67" t="str">
        <f aca="false">TEXT(A261,"mmm/aaaa")</f>
        <v>Sivan/Wednesday</v>
      </c>
      <c r="C261" s="67" t="s">
        <v>36</v>
      </c>
      <c r="D261" s="67" t="s">
        <v>600</v>
      </c>
      <c r="E261" s="67" t="s">
        <v>13</v>
      </c>
      <c r="F261" s="138" t="n">
        <v>0.47</v>
      </c>
      <c r="G261" s="67" t="s">
        <v>176</v>
      </c>
      <c r="H261" s="139" t="n">
        <v>18.33</v>
      </c>
      <c r="I261" s="139" t="n">
        <f aca="false">IFERROR(H261/F261,0)</f>
        <v>39</v>
      </c>
      <c r="J261" s="67" t="s">
        <v>1171</v>
      </c>
      <c r="K261" s="67" t="s">
        <v>1172</v>
      </c>
    </row>
    <row r="262" customFormat="false" ht="13.5" hidden="false" customHeight="true" outlineLevel="0" collapsed="false">
      <c r="A262" s="137" t="n">
        <v>46176</v>
      </c>
      <c r="B262" s="67" t="str">
        <f aca="false">TEXT(A262,"mmm/aaaa")</f>
        <v>Sivan/Wednesday</v>
      </c>
      <c r="C262" s="67" t="s">
        <v>36</v>
      </c>
      <c r="D262" s="67" t="s">
        <v>600</v>
      </c>
      <c r="E262" s="67" t="s">
        <v>13</v>
      </c>
      <c r="F262" s="138" t="n">
        <v>0.494</v>
      </c>
      <c r="G262" s="67" t="s">
        <v>176</v>
      </c>
      <c r="H262" s="139" t="n">
        <v>19.26</v>
      </c>
      <c r="I262" s="139" t="n">
        <f aca="false">IFERROR(H262/F262,0)</f>
        <v>38.9878542510122</v>
      </c>
      <c r="J262" s="67" t="s">
        <v>1171</v>
      </c>
      <c r="K262" s="67" t="s">
        <v>1172</v>
      </c>
    </row>
    <row r="263" customFormat="false" ht="13.5" hidden="false" customHeight="true" outlineLevel="0" collapsed="false">
      <c r="A263" s="137" t="n">
        <v>46176</v>
      </c>
      <c r="B263" s="67" t="str">
        <f aca="false">TEXT(A263,"mmm/aaaa")</f>
        <v>Sivan/Wednesday</v>
      </c>
      <c r="C263" s="67" t="s">
        <v>36</v>
      </c>
      <c r="D263" s="67" t="s">
        <v>602</v>
      </c>
      <c r="E263" s="67" t="s">
        <v>13</v>
      </c>
      <c r="F263" s="138" t="n">
        <v>1</v>
      </c>
      <c r="G263" s="67" t="s">
        <v>179</v>
      </c>
      <c r="H263" s="139" t="n">
        <v>6.85</v>
      </c>
      <c r="I263" s="139" t="n">
        <f aca="false">IFERROR(H263/F263,0)</f>
        <v>6.85</v>
      </c>
      <c r="J263" s="67" t="s">
        <v>1171</v>
      </c>
    </row>
    <row r="264" customFormat="false" ht="13.5" hidden="false" customHeight="true" outlineLevel="0" collapsed="false">
      <c r="A264" s="137" t="n">
        <v>46176</v>
      </c>
      <c r="B264" s="67" t="str">
        <f aca="false">TEXT(A264,"mmm/aaaa")</f>
        <v>Sivan/Wednesday</v>
      </c>
      <c r="C264" s="67" t="s">
        <v>36</v>
      </c>
      <c r="D264" s="67" t="s">
        <v>602</v>
      </c>
      <c r="E264" s="67" t="s">
        <v>13</v>
      </c>
      <c r="F264" s="138" t="n">
        <v>1</v>
      </c>
      <c r="G264" s="67" t="s">
        <v>179</v>
      </c>
      <c r="H264" s="139" t="n">
        <v>6.85</v>
      </c>
      <c r="I264" s="139" t="n">
        <f aca="false">IFERROR(H264/F264,0)</f>
        <v>6.85</v>
      </c>
      <c r="J264" s="67" t="s">
        <v>1171</v>
      </c>
    </row>
    <row r="265" customFormat="false" ht="13.5" hidden="false" customHeight="true" outlineLevel="0" collapsed="false">
      <c r="A265" s="137" t="n">
        <v>46176</v>
      </c>
      <c r="B265" s="67" t="str">
        <f aca="false">TEXT(A265,"mmm/aaaa")</f>
        <v>Sivan/Wednesday</v>
      </c>
      <c r="C265" s="67" t="s">
        <v>36</v>
      </c>
      <c r="D265" s="67" t="s">
        <v>602</v>
      </c>
      <c r="E265" s="67" t="s">
        <v>13</v>
      </c>
      <c r="F265" s="138" t="n">
        <v>1</v>
      </c>
      <c r="G265" s="67" t="s">
        <v>179</v>
      </c>
      <c r="H265" s="139" t="n">
        <v>6.85</v>
      </c>
      <c r="I265" s="139" t="n">
        <f aca="false">IFERROR(H265/F265,0)</f>
        <v>6.85</v>
      </c>
      <c r="J265" s="67" t="s">
        <v>1171</v>
      </c>
    </row>
    <row r="266" customFormat="false" ht="13.5" hidden="false" customHeight="true" outlineLevel="0" collapsed="false">
      <c r="A266" s="137" t="n">
        <v>46176</v>
      </c>
      <c r="B266" s="67" t="str">
        <f aca="false">TEXT(A266,"mmm/aaaa")</f>
        <v>Sivan/Wednesday</v>
      </c>
      <c r="C266" s="67" t="s">
        <v>36</v>
      </c>
      <c r="D266" s="67" t="s">
        <v>227</v>
      </c>
      <c r="E266" s="67" t="s">
        <v>13</v>
      </c>
      <c r="F266" s="138" t="n">
        <v>1</v>
      </c>
      <c r="G266" s="67" t="s">
        <v>179</v>
      </c>
      <c r="H266" s="139" t="n">
        <v>18.2</v>
      </c>
      <c r="I266" s="139" t="n">
        <f aca="false">IFERROR(H266/F266,0)</f>
        <v>18.2</v>
      </c>
      <c r="J266" s="67" t="s">
        <v>1171</v>
      </c>
    </row>
    <row r="267" customFormat="false" ht="13.5" hidden="false" customHeight="true" outlineLevel="0" collapsed="false">
      <c r="A267" s="137" t="n">
        <v>46176</v>
      </c>
      <c r="B267" s="67" t="str">
        <f aca="false">TEXT(A267,"mmm/aaaa")</f>
        <v>Sivan/Wednesday</v>
      </c>
      <c r="C267" s="67" t="s">
        <v>36</v>
      </c>
      <c r="D267" s="67" t="s">
        <v>231</v>
      </c>
      <c r="E267" s="67" t="s">
        <v>13</v>
      </c>
      <c r="F267" s="138" t="n">
        <v>1</v>
      </c>
      <c r="G267" s="67" t="s">
        <v>179</v>
      </c>
      <c r="H267" s="139" t="n">
        <v>6.65</v>
      </c>
      <c r="I267" s="139" t="n">
        <f aca="false">IFERROR(H267/F267,0)</f>
        <v>6.65</v>
      </c>
      <c r="J267" s="67" t="s">
        <v>1171</v>
      </c>
    </row>
    <row r="268" customFormat="false" ht="13.5" hidden="false" customHeight="true" outlineLevel="0" collapsed="false">
      <c r="A268" s="137" t="n">
        <v>46176</v>
      </c>
      <c r="B268" s="67" t="str">
        <f aca="false">TEXT(A268,"mmm/aaaa")</f>
        <v>Sivan/Wednesday</v>
      </c>
      <c r="C268" s="67" t="s">
        <v>36</v>
      </c>
      <c r="D268" s="67" t="s">
        <v>440</v>
      </c>
      <c r="E268" s="67" t="s">
        <v>16</v>
      </c>
      <c r="F268" s="138" t="n">
        <v>1</v>
      </c>
      <c r="G268" s="67" t="s">
        <v>179</v>
      </c>
      <c r="H268" s="139" t="n">
        <v>1.65</v>
      </c>
      <c r="I268" s="139" t="n">
        <f aca="false">IFERROR(H268/F268,0)</f>
        <v>1.65</v>
      </c>
      <c r="J268" s="67" t="s">
        <v>1171</v>
      </c>
    </row>
    <row r="269" customFormat="false" ht="13.5" hidden="false" customHeight="true" outlineLevel="0" collapsed="false">
      <c r="A269" s="137" t="n">
        <v>46176</v>
      </c>
      <c r="B269" s="67" t="str">
        <f aca="false">TEXT(A269,"mmm/aaaa")</f>
        <v>Sivan/Wednesday</v>
      </c>
      <c r="C269" s="67" t="s">
        <v>36</v>
      </c>
      <c r="D269" s="67" t="s">
        <v>440</v>
      </c>
      <c r="E269" s="67" t="s">
        <v>16</v>
      </c>
      <c r="F269" s="138" t="n">
        <v>1</v>
      </c>
      <c r="G269" s="67" t="s">
        <v>179</v>
      </c>
      <c r="H269" s="139" t="n">
        <v>1.65</v>
      </c>
      <c r="I269" s="139" t="n">
        <f aca="false">IFERROR(H269/F269,0)</f>
        <v>1.65</v>
      </c>
      <c r="J269" s="67" t="s">
        <v>1171</v>
      </c>
    </row>
    <row r="270" customFormat="false" ht="13.5" hidden="false" customHeight="true" outlineLevel="0" collapsed="false">
      <c r="A270" s="137" t="n">
        <v>46176</v>
      </c>
      <c r="B270" s="67" t="str">
        <f aca="false">TEXT(A270,"mmm/aaaa")</f>
        <v>Sivan/Wednesday</v>
      </c>
      <c r="C270" s="67" t="s">
        <v>36</v>
      </c>
      <c r="D270" s="67" t="s">
        <v>231</v>
      </c>
      <c r="E270" s="67" t="s">
        <v>13</v>
      </c>
      <c r="F270" s="138" t="n">
        <v>1</v>
      </c>
      <c r="G270" s="67" t="s">
        <v>179</v>
      </c>
      <c r="H270" s="139" t="n">
        <v>6.65</v>
      </c>
      <c r="I270" s="139" t="n">
        <f aca="false">IFERROR(H270/F270,0)</f>
        <v>6.65</v>
      </c>
      <c r="J270" s="67" t="s">
        <v>1171</v>
      </c>
    </row>
    <row r="271" customFormat="false" ht="13.5" hidden="false" customHeight="true" outlineLevel="0" collapsed="false">
      <c r="A271" s="137" t="n">
        <v>46176</v>
      </c>
      <c r="B271" s="67" t="str">
        <f aca="false">TEXT(A271,"mmm/aaaa")</f>
        <v>Sivan/Wednesday</v>
      </c>
      <c r="C271" s="67" t="s">
        <v>36</v>
      </c>
      <c r="D271" s="67" t="s">
        <v>440</v>
      </c>
      <c r="E271" s="67" t="s">
        <v>16</v>
      </c>
      <c r="F271" s="138" t="n">
        <v>1</v>
      </c>
      <c r="G271" s="67" t="s">
        <v>179</v>
      </c>
      <c r="H271" s="139" t="n">
        <v>1.65</v>
      </c>
      <c r="I271" s="139" t="n">
        <f aca="false">IFERROR(H271/F271,0)</f>
        <v>1.65</v>
      </c>
      <c r="J271" s="67" t="s">
        <v>1171</v>
      </c>
    </row>
    <row r="272" customFormat="false" ht="13.5" hidden="false" customHeight="true" outlineLevel="0" collapsed="false">
      <c r="A272" s="137" t="n">
        <v>46176</v>
      </c>
      <c r="B272" s="67" t="str">
        <f aca="false">TEXT(A272,"mmm/aaaa")</f>
        <v>Sivan/Wednesday</v>
      </c>
      <c r="C272" s="67" t="s">
        <v>36</v>
      </c>
      <c r="D272" s="67" t="s">
        <v>440</v>
      </c>
      <c r="E272" s="67" t="s">
        <v>16</v>
      </c>
      <c r="F272" s="138" t="n">
        <v>1</v>
      </c>
      <c r="G272" s="67" t="s">
        <v>179</v>
      </c>
      <c r="H272" s="139" t="n">
        <v>1.65</v>
      </c>
      <c r="I272" s="139" t="n">
        <f aca="false">IFERROR(H272/F272,0)</f>
        <v>1.65</v>
      </c>
      <c r="J272" s="67" t="s">
        <v>1171</v>
      </c>
    </row>
    <row r="273" customFormat="false" ht="13.5" hidden="false" customHeight="true" outlineLevel="0" collapsed="false">
      <c r="A273" s="137" t="n">
        <v>46176</v>
      </c>
      <c r="B273" s="67" t="str">
        <f aca="false">TEXT(A273,"mmm/aaaa")</f>
        <v>Sivan/Wednesday</v>
      </c>
      <c r="C273" s="67" t="s">
        <v>36</v>
      </c>
      <c r="D273" s="67" t="s">
        <v>440</v>
      </c>
      <c r="E273" s="67" t="s">
        <v>16</v>
      </c>
      <c r="F273" s="138" t="n">
        <v>1</v>
      </c>
      <c r="G273" s="67" t="s">
        <v>179</v>
      </c>
      <c r="H273" s="139" t="n">
        <v>1.65</v>
      </c>
      <c r="I273" s="139" t="n">
        <f aca="false">IFERROR(H273/F273,0)</f>
        <v>1.65</v>
      </c>
      <c r="J273" s="67" t="s">
        <v>1171</v>
      </c>
    </row>
    <row r="274" customFormat="false" ht="13.5" hidden="false" customHeight="true" outlineLevel="0" collapsed="false">
      <c r="A274" s="137" t="n">
        <v>46176</v>
      </c>
      <c r="B274" s="67" t="str">
        <f aca="false">TEXT(A274,"mmm/aaaa")</f>
        <v>Sivan/Wednesday</v>
      </c>
      <c r="C274" s="67" t="s">
        <v>36</v>
      </c>
      <c r="D274" s="67" t="s">
        <v>440</v>
      </c>
      <c r="E274" s="67" t="s">
        <v>16</v>
      </c>
      <c r="F274" s="138" t="n">
        <v>1</v>
      </c>
      <c r="G274" s="67" t="s">
        <v>179</v>
      </c>
      <c r="H274" s="139" t="n">
        <v>1.65</v>
      </c>
      <c r="I274" s="139" t="n">
        <f aca="false">IFERROR(H274/F274,0)</f>
        <v>1.65</v>
      </c>
      <c r="J274" s="67" t="s">
        <v>1171</v>
      </c>
    </row>
    <row r="275" customFormat="false" ht="13.5" hidden="false" customHeight="true" outlineLevel="0" collapsed="false">
      <c r="A275" s="137" t="n">
        <v>46176</v>
      </c>
      <c r="B275" s="67" t="str">
        <f aca="false">TEXT(A275,"mmm/aaaa")</f>
        <v>Sivan/Wednesday</v>
      </c>
      <c r="C275" s="67" t="s">
        <v>36</v>
      </c>
      <c r="D275" s="67" t="s">
        <v>604</v>
      </c>
      <c r="E275" s="67" t="s">
        <v>13</v>
      </c>
      <c r="F275" s="138" t="n">
        <v>0.326</v>
      </c>
      <c r="G275" s="67" t="s">
        <v>176</v>
      </c>
      <c r="H275" s="139" t="n">
        <v>8.12</v>
      </c>
      <c r="I275" s="139" t="n">
        <f aca="false">IFERROR(H275/F275,0)</f>
        <v>24.9079754601227</v>
      </c>
      <c r="J275" s="67" t="s">
        <v>1171</v>
      </c>
      <c r="K275" s="67" t="s">
        <v>1173</v>
      </c>
    </row>
    <row r="276" customFormat="false" ht="13.5" hidden="false" customHeight="true" outlineLevel="0" collapsed="false">
      <c r="A276" s="137" t="n">
        <v>46176</v>
      </c>
      <c r="B276" s="67" t="str">
        <f aca="false">TEXT(A276,"mmm/aaaa")</f>
        <v>Sivan/Wednesday</v>
      </c>
      <c r="C276" s="67" t="s">
        <v>36</v>
      </c>
      <c r="D276" s="67" t="s">
        <v>606</v>
      </c>
      <c r="E276" s="67" t="s">
        <v>16</v>
      </c>
      <c r="F276" s="138" t="n">
        <v>1</v>
      </c>
      <c r="G276" s="67" t="s">
        <v>179</v>
      </c>
      <c r="H276" s="139" t="n">
        <v>3.45</v>
      </c>
      <c r="I276" s="139" t="n">
        <f aca="false">IFERROR(H276/F276,0)</f>
        <v>3.45</v>
      </c>
      <c r="J276" s="67" t="s">
        <v>1171</v>
      </c>
    </row>
    <row r="277" customFormat="false" ht="13.5" hidden="false" customHeight="true" outlineLevel="0" collapsed="false">
      <c r="A277" s="137" t="n">
        <v>46176</v>
      </c>
      <c r="B277" s="67" t="str">
        <f aca="false">TEXT(A277,"mmm/aaaa")</f>
        <v>Sivan/Wednesday</v>
      </c>
      <c r="C277" s="67" t="s">
        <v>36</v>
      </c>
      <c r="D277" s="67" t="s">
        <v>606</v>
      </c>
      <c r="E277" s="67" t="s">
        <v>16</v>
      </c>
      <c r="F277" s="138" t="n">
        <v>1</v>
      </c>
      <c r="G277" s="67" t="s">
        <v>179</v>
      </c>
      <c r="H277" s="139" t="n">
        <v>3.45</v>
      </c>
      <c r="I277" s="139" t="n">
        <f aca="false">IFERROR(H277/F277,0)</f>
        <v>3.45</v>
      </c>
      <c r="J277" s="67" t="s">
        <v>1171</v>
      </c>
    </row>
    <row r="278" customFormat="false" ht="13.5" hidden="false" customHeight="true" outlineLevel="0" collapsed="false">
      <c r="A278" s="137" t="n">
        <v>46176</v>
      </c>
      <c r="B278" s="67" t="str">
        <f aca="false">TEXT(A278,"mmm/aaaa")</f>
        <v>Sivan/Wednesday</v>
      </c>
      <c r="C278" s="67" t="s">
        <v>36</v>
      </c>
      <c r="D278" s="67" t="s">
        <v>606</v>
      </c>
      <c r="E278" s="67" t="s">
        <v>16</v>
      </c>
      <c r="F278" s="138" t="n">
        <v>1</v>
      </c>
      <c r="G278" s="67" t="s">
        <v>179</v>
      </c>
      <c r="H278" s="139" t="n">
        <v>3.45</v>
      </c>
      <c r="I278" s="139" t="n">
        <f aca="false">IFERROR(H278/F278,0)</f>
        <v>3.45</v>
      </c>
      <c r="J278" s="67" t="s">
        <v>1171</v>
      </c>
    </row>
    <row r="279" customFormat="false" ht="13.5" hidden="false" customHeight="true" outlineLevel="0" collapsed="false">
      <c r="A279" s="137" t="n">
        <v>46176</v>
      </c>
      <c r="B279" s="67" t="str">
        <f aca="false">TEXT(A279,"mmm/aaaa")</f>
        <v>Sivan/Wednesday</v>
      </c>
      <c r="C279" s="67" t="s">
        <v>36</v>
      </c>
      <c r="D279" s="67" t="s">
        <v>386</v>
      </c>
      <c r="E279" s="67" t="s">
        <v>13</v>
      </c>
      <c r="F279" s="138" t="n">
        <v>1</v>
      </c>
      <c r="G279" s="67" t="s">
        <v>179</v>
      </c>
      <c r="H279" s="139" t="n">
        <v>1.99</v>
      </c>
      <c r="I279" s="139" t="n">
        <f aca="false">IFERROR(H279/F279,0)</f>
        <v>1.99</v>
      </c>
      <c r="J279" s="67" t="s">
        <v>1171</v>
      </c>
    </row>
    <row r="280" customFormat="false" ht="13.5" hidden="false" customHeight="true" outlineLevel="0" collapsed="false">
      <c r="A280" s="137" t="n">
        <v>46176</v>
      </c>
      <c r="B280" s="67" t="str">
        <f aca="false">TEXT(A280,"mmm/aaaa")</f>
        <v>Sivan/Wednesday</v>
      </c>
      <c r="C280" s="67" t="s">
        <v>36</v>
      </c>
      <c r="D280" s="67" t="s">
        <v>386</v>
      </c>
      <c r="E280" s="67" t="s">
        <v>13</v>
      </c>
      <c r="F280" s="138" t="n">
        <v>1</v>
      </c>
      <c r="G280" s="67" t="s">
        <v>179</v>
      </c>
      <c r="H280" s="139" t="n">
        <v>1.99</v>
      </c>
      <c r="I280" s="139" t="n">
        <f aca="false">IFERROR(H280/F280,0)</f>
        <v>1.99</v>
      </c>
      <c r="J280" s="67" t="s">
        <v>1171</v>
      </c>
    </row>
    <row r="281" customFormat="false" ht="13.5" hidden="false" customHeight="true" outlineLevel="0" collapsed="false">
      <c r="A281" s="137" t="n">
        <v>46176</v>
      </c>
      <c r="B281" s="67" t="str">
        <f aca="false">TEXT(A281,"mmm/aaaa")</f>
        <v>Sivan/Wednesday</v>
      </c>
      <c r="C281" s="67" t="s">
        <v>36</v>
      </c>
      <c r="D281" s="67" t="s">
        <v>386</v>
      </c>
      <c r="E281" s="67" t="s">
        <v>13</v>
      </c>
      <c r="F281" s="138" t="n">
        <v>1</v>
      </c>
      <c r="G281" s="67" t="s">
        <v>179</v>
      </c>
      <c r="H281" s="139" t="n">
        <v>1.99</v>
      </c>
      <c r="I281" s="139" t="n">
        <f aca="false">IFERROR(H281/F281,0)</f>
        <v>1.99</v>
      </c>
      <c r="J281" s="67" t="s">
        <v>1171</v>
      </c>
    </row>
    <row r="282" customFormat="false" ht="13.5" hidden="false" customHeight="true" outlineLevel="0" collapsed="false">
      <c r="A282" s="137" t="n">
        <v>46176</v>
      </c>
      <c r="B282" s="67" t="str">
        <f aca="false">TEXT(A282,"mmm/aaaa")</f>
        <v>Sivan/Wednesday</v>
      </c>
      <c r="C282" s="67" t="s">
        <v>36</v>
      </c>
      <c r="D282" s="67" t="s">
        <v>446</v>
      </c>
      <c r="E282" s="67" t="s">
        <v>12</v>
      </c>
      <c r="F282" s="138" t="n">
        <v>1</v>
      </c>
      <c r="G282" s="67" t="s">
        <v>179</v>
      </c>
      <c r="H282" s="139" t="n">
        <v>11.99</v>
      </c>
      <c r="I282" s="139" t="n">
        <f aca="false">IFERROR(H282/F282,0)</f>
        <v>11.99</v>
      </c>
      <c r="J282" s="67" t="s">
        <v>1171</v>
      </c>
    </row>
    <row r="283" customFormat="false" ht="13.5" hidden="false" customHeight="true" outlineLevel="0" collapsed="false">
      <c r="A283" s="137" t="n">
        <v>46176</v>
      </c>
      <c r="B283" s="67" t="str">
        <f aca="false">TEXT(A283,"mmm/aaaa")</f>
        <v>Sivan/Wednesday</v>
      </c>
      <c r="C283" s="67" t="s">
        <v>36</v>
      </c>
      <c r="D283" s="67" t="s">
        <v>446</v>
      </c>
      <c r="E283" s="67" t="s">
        <v>12</v>
      </c>
      <c r="F283" s="138" t="n">
        <v>1</v>
      </c>
      <c r="G283" s="67" t="s">
        <v>179</v>
      </c>
      <c r="H283" s="139" t="n">
        <v>11.99</v>
      </c>
      <c r="I283" s="139" t="n">
        <f aca="false">IFERROR(H283/F283,0)</f>
        <v>11.99</v>
      </c>
      <c r="J283" s="67" t="s">
        <v>1171</v>
      </c>
    </row>
    <row r="284" customFormat="false" ht="13.5" hidden="false" customHeight="true" outlineLevel="0" collapsed="false">
      <c r="A284" s="137" t="n">
        <v>46176</v>
      </c>
      <c r="B284" s="67" t="str">
        <f aca="false">TEXT(A284,"mmm/aaaa")</f>
        <v>Sivan/Wednesday</v>
      </c>
      <c r="C284" s="67" t="s">
        <v>36</v>
      </c>
      <c r="D284" s="67" t="s">
        <v>610</v>
      </c>
      <c r="E284" s="67" t="s">
        <v>12</v>
      </c>
      <c r="F284" s="138" t="n">
        <v>1</v>
      </c>
      <c r="G284" s="67" t="s">
        <v>179</v>
      </c>
      <c r="H284" s="139" t="n">
        <v>11.95</v>
      </c>
      <c r="I284" s="139" t="n">
        <f aca="false">IFERROR(H284/F284,0)</f>
        <v>11.95</v>
      </c>
      <c r="J284" s="67" t="s">
        <v>1171</v>
      </c>
    </row>
    <row r="285" customFormat="false" ht="13.5" hidden="false" customHeight="true" outlineLevel="0" collapsed="false">
      <c r="A285" s="137" t="n">
        <v>46176</v>
      </c>
      <c r="B285" s="67" t="str">
        <f aca="false">TEXT(A285,"mmm/aaaa")</f>
        <v>Sivan/Wednesday</v>
      </c>
      <c r="C285" s="67" t="s">
        <v>36</v>
      </c>
      <c r="D285" s="67" t="s">
        <v>610</v>
      </c>
      <c r="E285" s="67" t="s">
        <v>12</v>
      </c>
      <c r="F285" s="138" t="n">
        <v>1</v>
      </c>
      <c r="G285" s="67" t="s">
        <v>179</v>
      </c>
      <c r="H285" s="139" t="n">
        <v>11.95</v>
      </c>
      <c r="I285" s="139" t="n">
        <f aca="false">IFERROR(H285/F285,0)</f>
        <v>11.95</v>
      </c>
      <c r="J285" s="67" t="s">
        <v>1171</v>
      </c>
    </row>
    <row r="286" customFormat="false" ht="13.5" hidden="false" customHeight="true" outlineLevel="0" collapsed="false">
      <c r="A286" s="137" t="n">
        <v>46176</v>
      </c>
      <c r="B286" s="67" t="str">
        <f aca="false">TEXT(A286,"mmm/aaaa")</f>
        <v>Sivan/Wednesday</v>
      </c>
      <c r="C286" s="67" t="s">
        <v>36</v>
      </c>
      <c r="D286" s="67" t="s">
        <v>612</v>
      </c>
      <c r="E286" s="67" t="s">
        <v>12</v>
      </c>
      <c r="F286" s="138" t="n">
        <v>1</v>
      </c>
      <c r="G286" s="67" t="s">
        <v>179</v>
      </c>
      <c r="H286" s="139" t="n">
        <v>14.99</v>
      </c>
      <c r="I286" s="139" t="n">
        <f aca="false">IFERROR(H286/F286,0)</f>
        <v>14.99</v>
      </c>
      <c r="J286" s="67" t="s">
        <v>1171</v>
      </c>
    </row>
    <row r="287" customFormat="false" ht="13.5" hidden="false" customHeight="true" outlineLevel="0" collapsed="false">
      <c r="A287" s="137" t="n">
        <v>46176</v>
      </c>
      <c r="B287" s="67" t="str">
        <f aca="false">TEXT(A287,"mmm/aaaa")</f>
        <v>Sivan/Wednesday</v>
      </c>
      <c r="C287" s="67" t="s">
        <v>36</v>
      </c>
      <c r="D287" s="67" t="s">
        <v>614</v>
      </c>
      <c r="E287" s="67" t="s">
        <v>12</v>
      </c>
      <c r="F287" s="138" t="n">
        <v>1</v>
      </c>
      <c r="G287" s="67" t="s">
        <v>179</v>
      </c>
      <c r="H287" s="139" t="n">
        <v>5.49</v>
      </c>
      <c r="I287" s="139" t="n">
        <f aca="false">IFERROR(H287/F287,0)</f>
        <v>5.49</v>
      </c>
      <c r="J287" s="67" t="s">
        <v>1171</v>
      </c>
    </row>
    <row r="288" customFormat="false" ht="13.5" hidden="false" customHeight="true" outlineLevel="0" collapsed="false">
      <c r="A288" s="137" t="n">
        <v>46176</v>
      </c>
      <c r="B288" s="67" t="str">
        <f aca="false">TEXT(A288,"mmm/aaaa")</f>
        <v>Sivan/Wednesday</v>
      </c>
      <c r="C288" s="67" t="s">
        <v>36</v>
      </c>
      <c r="D288" s="67" t="s">
        <v>615</v>
      </c>
      <c r="E288" s="67" t="s">
        <v>12</v>
      </c>
      <c r="F288" s="138" t="n">
        <v>1</v>
      </c>
      <c r="G288" s="67" t="s">
        <v>179</v>
      </c>
      <c r="H288" s="139" t="n">
        <v>27</v>
      </c>
      <c r="I288" s="139" t="n">
        <f aca="false">IFERROR(H288/F288,0)</f>
        <v>27</v>
      </c>
      <c r="J288" s="67" t="s">
        <v>1171</v>
      </c>
    </row>
    <row r="289" customFormat="false" ht="13.5" hidden="false" customHeight="true" outlineLevel="0" collapsed="false">
      <c r="A289" s="137" t="n">
        <v>46176</v>
      </c>
      <c r="B289" s="67" t="str">
        <f aca="false">TEXT(A289,"mmm/aaaa")</f>
        <v>Sivan/Wednesday</v>
      </c>
      <c r="C289" s="67" t="s">
        <v>36</v>
      </c>
      <c r="D289" s="67" t="s">
        <v>242</v>
      </c>
      <c r="E289" s="67" t="s">
        <v>12</v>
      </c>
      <c r="F289" s="138" t="n">
        <v>1</v>
      </c>
      <c r="G289" s="67" t="s">
        <v>179</v>
      </c>
      <c r="H289" s="139" t="n">
        <v>3.7</v>
      </c>
      <c r="I289" s="139" t="n">
        <f aca="false">IFERROR(H289/F289,0)</f>
        <v>3.7</v>
      </c>
      <c r="J289" s="67" t="s">
        <v>1171</v>
      </c>
    </row>
    <row r="290" customFormat="false" ht="13.5" hidden="false" customHeight="true" outlineLevel="0" collapsed="false">
      <c r="A290" s="137" t="n">
        <v>46176</v>
      </c>
      <c r="B290" s="67" t="str">
        <f aca="false">TEXT(A290,"mmm/aaaa")</f>
        <v>Sivan/Wednesday</v>
      </c>
      <c r="C290" s="67" t="s">
        <v>36</v>
      </c>
      <c r="D290" s="67" t="s">
        <v>242</v>
      </c>
      <c r="E290" s="67" t="s">
        <v>12</v>
      </c>
      <c r="F290" s="138" t="n">
        <v>1</v>
      </c>
      <c r="G290" s="67" t="s">
        <v>179</v>
      </c>
      <c r="H290" s="139" t="n">
        <v>3.7</v>
      </c>
      <c r="I290" s="139" t="n">
        <f aca="false">IFERROR(H290/F290,0)</f>
        <v>3.7</v>
      </c>
      <c r="J290" s="67" t="s">
        <v>1171</v>
      </c>
    </row>
    <row r="291" customFormat="false" ht="13.5" hidden="false" customHeight="true" outlineLevel="0" collapsed="false">
      <c r="A291" s="137" t="n">
        <v>46176</v>
      </c>
      <c r="B291" s="67" t="str">
        <f aca="false">TEXT(A291,"mmm/aaaa")</f>
        <v>Sivan/Wednesday</v>
      </c>
      <c r="C291" s="67" t="s">
        <v>36</v>
      </c>
      <c r="D291" s="67" t="s">
        <v>617</v>
      </c>
      <c r="E291" s="67" t="s">
        <v>12</v>
      </c>
      <c r="F291" s="138" t="n">
        <v>1</v>
      </c>
      <c r="G291" s="67" t="s">
        <v>179</v>
      </c>
      <c r="H291" s="139" t="n">
        <v>4.65</v>
      </c>
      <c r="I291" s="139" t="n">
        <f aca="false">IFERROR(H291/F291,0)</f>
        <v>4.65</v>
      </c>
      <c r="J291" s="67" t="s">
        <v>1171</v>
      </c>
    </row>
    <row r="292" customFormat="false" ht="13.5" hidden="false" customHeight="true" outlineLevel="0" collapsed="false">
      <c r="A292" s="137" t="n">
        <v>46176</v>
      </c>
      <c r="B292" s="67" t="str">
        <f aca="false">TEXT(A292,"mmm/aaaa")</f>
        <v>Sivan/Wednesday</v>
      </c>
      <c r="C292" s="67" t="s">
        <v>36</v>
      </c>
      <c r="D292" s="67" t="s">
        <v>617</v>
      </c>
      <c r="E292" s="67" t="s">
        <v>12</v>
      </c>
      <c r="F292" s="138" t="n">
        <v>1</v>
      </c>
      <c r="G292" s="67" t="s">
        <v>179</v>
      </c>
      <c r="H292" s="139" t="n">
        <v>4.65</v>
      </c>
      <c r="I292" s="139" t="n">
        <f aca="false">IFERROR(H292/F292,0)</f>
        <v>4.65</v>
      </c>
      <c r="J292" s="67" t="s">
        <v>1171</v>
      </c>
    </row>
    <row r="293" customFormat="false" ht="13.5" hidden="false" customHeight="true" outlineLevel="0" collapsed="false">
      <c r="A293" s="137" t="n">
        <v>46176</v>
      </c>
      <c r="B293" s="67" t="str">
        <f aca="false">TEXT(A293,"mmm/aaaa")</f>
        <v>Sivan/Wednesday</v>
      </c>
      <c r="C293" s="67" t="s">
        <v>36</v>
      </c>
      <c r="D293" s="67" t="s">
        <v>241</v>
      </c>
      <c r="E293" s="67" t="s">
        <v>12</v>
      </c>
      <c r="F293" s="138" t="n">
        <v>1</v>
      </c>
      <c r="G293" s="67" t="s">
        <v>179</v>
      </c>
      <c r="H293" s="139" t="n">
        <v>1.8</v>
      </c>
      <c r="I293" s="139" t="n">
        <f aca="false">IFERROR(H293/F293,0)</f>
        <v>1.8</v>
      </c>
      <c r="J293" s="67" t="s">
        <v>1171</v>
      </c>
    </row>
    <row r="294" customFormat="false" ht="13.5" hidden="false" customHeight="true" outlineLevel="0" collapsed="false">
      <c r="A294" s="137" t="n">
        <v>46176</v>
      </c>
      <c r="B294" s="67" t="str">
        <f aca="false">TEXT(A294,"mmm/aaaa")</f>
        <v>Sivan/Wednesday</v>
      </c>
      <c r="C294" s="67" t="s">
        <v>36</v>
      </c>
      <c r="D294" s="67" t="s">
        <v>241</v>
      </c>
      <c r="E294" s="67" t="s">
        <v>12</v>
      </c>
      <c r="F294" s="138" t="n">
        <v>1</v>
      </c>
      <c r="G294" s="67" t="s">
        <v>179</v>
      </c>
      <c r="H294" s="139" t="n">
        <v>1.8</v>
      </c>
      <c r="I294" s="139" t="n">
        <f aca="false">IFERROR(H294/F294,0)</f>
        <v>1.8</v>
      </c>
      <c r="J294" s="67" t="s">
        <v>1171</v>
      </c>
    </row>
    <row r="295" customFormat="false" ht="13.5" hidden="false" customHeight="true" outlineLevel="0" collapsed="false">
      <c r="A295" s="137" t="n">
        <v>46176</v>
      </c>
      <c r="B295" s="67" t="str">
        <f aca="false">TEXT(A295,"mmm/aaaa")</f>
        <v>Sivan/Wednesday</v>
      </c>
      <c r="C295" s="67" t="s">
        <v>36</v>
      </c>
      <c r="D295" s="67" t="s">
        <v>241</v>
      </c>
      <c r="E295" s="67" t="s">
        <v>12</v>
      </c>
      <c r="F295" s="138" t="n">
        <v>1</v>
      </c>
      <c r="G295" s="67" t="s">
        <v>179</v>
      </c>
      <c r="H295" s="139" t="n">
        <v>1.8</v>
      </c>
      <c r="I295" s="139" t="n">
        <f aca="false">IFERROR(H295/F295,0)</f>
        <v>1.8</v>
      </c>
      <c r="J295" s="67" t="s">
        <v>1171</v>
      </c>
    </row>
    <row r="296" customFormat="false" ht="13.5" hidden="false" customHeight="true" outlineLevel="0" collapsed="false">
      <c r="A296" s="137" t="n">
        <v>46176</v>
      </c>
      <c r="B296" s="67" t="str">
        <f aca="false">TEXT(A296,"mmm/aaaa")</f>
        <v>Sivan/Wednesday</v>
      </c>
      <c r="C296" s="67" t="s">
        <v>36</v>
      </c>
      <c r="D296" s="67" t="s">
        <v>252</v>
      </c>
      <c r="E296" s="67" t="s">
        <v>14</v>
      </c>
      <c r="F296" s="138" t="n">
        <v>0.196</v>
      </c>
      <c r="G296" s="67" t="s">
        <v>176</v>
      </c>
      <c r="H296" s="139" t="n">
        <v>8.82</v>
      </c>
      <c r="I296" s="139" t="n">
        <f aca="false">IFERROR(H296/F296,0)</f>
        <v>45</v>
      </c>
      <c r="J296" s="67" t="s">
        <v>1171</v>
      </c>
      <c r="K296" s="67" t="s">
        <v>1174</v>
      </c>
    </row>
    <row r="297" customFormat="false" ht="13.5" hidden="false" customHeight="true" outlineLevel="0" collapsed="false">
      <c r="A297" s="137" t="n">
        <v>46176</v>
      </c>
      <c r="B297" s="67" t="str">
        <f aca="false">TEXT(A297,"mmm/aaaa")</f>
        <v>Sivan/Wednesday</v>
      </c>
      <c r="C297" s="67" t="s">
        <v>36</v>
      </c>
      <c r="D297" s="67" t="s">
        <v>617</v>
      </c>
      <c r="E297" s="67" t="s">
        <v>12</v>
      </c>
      <c r="F297" s="138" t="n">
        <v>1</v>
      </c>
      <c r="G297" s="67" t="s">
        <v>179</v>
      </c>
      <c r="H297" s="139" t="n">
        <v>25.9</v>
      </c>
      <c r="I297" s="139" t="n">
        <f aca="false">IFERROR(H297/F297,0)</f>
        <v>25.9</v>
      </c>
      <c r="J297" s="67" t="s">
        <v>1171</v>
      </c>
    </row>
    <row r="298" customFormat="false" ht="13.5" hidden="false" customHeight="true" outlineLevel="0" collapsed="false">
      <c r="A298" s="137" t="n">
        <v>46176</v>
      </c>
      <c r="B298" s="67" t="str">
        <f aca="false">TEXT(A298,"mmm/aaaa")</f>
        <v>Sivan/Wednesday</v>
      </c>
      <c r="C298" s="67" t="s">
        <v>36</v>
      </c>
      <c r="D298" s="67" t="s">
        <v>398</v>
      </c>
      <c r="E298" s="67" t="s">
        <v>14</v>
      </c>
      <c r="F298" s="138" t="n">
        <v>0.508</v>
      </c>
      <c r="G298" s="67" t="s">
        <v>176</v>
      </c>
      <c r="H298" s="139" t="n">
        <v>7.57</v>
      </c>
      <c r="I298" s="139" t="n">
        <f aca="false">IFERROR(H298/F298,0)</f>
        <v>14.9015748031496</v>
      </c>
      <c r="J298" s="67" t="s">
        <v>1171</v>
      </c>
      <c r="K298" s="67" t="s">
        <v>1140</v>
      </c>
    </row>
    <row r="299" customFormat="false" ht="13.5" hidden="false" customHeight="true" outlineLevel="0" collapsed="false">
      <c r="A299" s="137" t="n">
        <v>46176</v>
      </c>
      <c r="B299" s="67" t="str">
        <f aca="false">TEXT(A299,"mmm/aaaa")</f>
        <v>Sivan/Wednesday</v>
      </c>
      <c r="C299" s="67" t="s">
        <v>36</v>
      </c>
      <c r="D299" s="67" t="s">
        <v>620</v>
      </c>
      <c r="E299" s="67" t="s">
        <v>14</v>
      </c>
      <c r="F299" s="138" t="n">
        <v>1</v>
      </c>
      <c r="G299" s="67" t="s">
        <v>179</v>
      </c>
      <c r="H299" s="139" t="n">
        <v>1.69</v>
      </c>
      <c r="I299" s="139" t="n">
        <f aca="false">IFERROR(H299/F299,0)</f>
        <v>1.69</v>
      </c>
      <c r="J299" s="67" t="s">
        <v>1171</v>
      </c>
    </row>
    <row r="300" customFormat="false" ht="13.5" hidden="false" customHeight="true" outlineLevel="0" collapsed="false">
      <c r="A300" s="137" t="n">
        <v>46176</v>
      </c>
      <c r="B300" s="67" t="str">
        <f aca="false">TEXT(A300,"mmm/aaaa")</f>
        <v>Sivan/Wednesday</v>
      </c>
      <c r="C300" s="67" t="s">
        <v>36</v>
      </c>
      <c r="D300" s="67" t="s">
        <v>620</v>
      </c>
      <c r="E300" s="67" t="s">
        <v>14</v>
      </c>
      <c r="F300" s="138" t="n">
        <v>1</v>
      </c>
      <c r="G300" s="67" t="s">
        <v>179</v>
      </c>
      <c r="H300" s="139" t="n">
        <v>1.69</v>
      </c>
      <c r="I300" s="139" t="n">
        <f aca="false">IFERROR(H300/F300,0)</f>
        <v>1.69</v>
      </c>
      <c r="J300" s="67" t="s">
        <v>1171</v>
      </c>
    </row>
    <row r="301" customFormat="false" ht="13.5" hidden="false" customHeight="true" outlineLevel="0" collapsed="false">
      <c r="A301" s="137" t="n">
        <v>46176</v>
      </c>
      <c r="B301" s="67" t="str">
        <f aca="false">TEXT(A301,"mmm/aaaa")</f>
        <v>Sivan/Wednesday</v>
      </c>
      <c r="C301" s="67" t="s">
        <v>36</v>
      </c>
      <c r="D301" s="67" t="s">
        <v>620</v>
      </c>
      <c r="E301" s="67" t="s">
        <v>14</v>
      </c>
      <c r="F301" s="138" t="n">
        <v>1</v>
      </c>
      <c r="G301" s="67" t="s">
        <v>179</v>
      </c>
      <c r="H301" s="139" t="n">
        <v>1.69</v>
      </c>
      <c r="I301" s="139" t="n">
        <f aca="false">IFERROR(H301/F301,0)</f>
        <v>1.69</v>
      </c>
      <c r="J301" s="67" t="s">
        <v>1171</v>
      </c>
    </row>
    <row r="302" customFormat="false" ht="13.5" hidden="false" customHeight="true" outlineLevel="0" collapsed="false">
      <c r="A302" s="137" t="n">
        <v>46176</v>
      </c>
      <c r="B302" s="67" t="str">
        <f aca="false">TEXT(A302,"mmm/aaaa")</f>
        <v>Sivan/Wednesday</v>
      </c>
      <c r="C302" s="67" t="s">
        <v>36</v>
      </c>
      <c r="D302" s="67" t="s">
        <v>620</v>
      </c>
      <c r="E302" s="67" t="s">
        <v>14</v>
      </c>
      <c r="F302" s="138" t="n">
        <v>1</v>
      </c>
      <c r="G302" s="67" t="s">
        <v>179</v>
      </c>
      <c r="H302" s="139" t="n">
        <v>1.69</v>
      </c>
      <c r="I302" s="139" t="n">
        <f aca="false">IFERROR(H302/F302,0)</f>
        <v>1.69</v>
      </c>
      <c r="J302" s="67" t="s">
        <v>1171</v>
      </c>
    </row>
    <row r="303" customFormat="false" ht="13.5" hidden="false" customHeight="true" outlineLevel="0" collapsed="false">
      <c r="A303" s="137" t="n">
        <v>46176</v>
      </c>
      <c r="B303" s="67" t="str">
        <f aca="false">TEXT(A303,"mmm/aaaa")</f>
        <v>Sivan/Wednesday</v>
      </c>
      <c r="C303" s="67" t="s">
        <v>36</v>
      </c>
      <c r="D303" s="67" t="s">
        <v>393</v>
      </c>
      <c r="E303" s="67" t="s">
        <v>14</v>
      </c>
      <c r="F303" s="138" t="n">
        <v>1</v>
      </c>
      <c r="G303" s="67" t="s">
        <v>179</v>
      </c>
      <c r="H303" s="139" t="n">
        <v>5.59</v>
      </c>
      <c r="I303" s="139" t="n">
        <f aca="false">IFERROR(H303/F303,0)</f>
        <v>5.59</v>
      </c>
      <c r="J303" s="67" t="s">
        <v>1171</v>
      </c>
    </row>
    <row r="304" customFormat="false" ht="14.25" hidden="false" customHeight="true" outlineLevel="0" collapsed="false">
      <c r="A304" s="137" t="n">
        <v>46176</v>
      </c>
      <c r="B304" s="67" t="str">
        <f aca="false">TEXT(A304,"mmm/aaaa")</f>
        <v>Sivan/Wednesday</v>
      </c>
      <c r="C304" s="67" t="s">
        <v>36</v>
      </c>
      <c r="D304" s="67" t="s">
        <v>392</v>
      </c>
      <c r="E304" s="67" t="s">
        <v>14</v>
      </c>
      <c r="F304" s="138" t="n">
        <v>1</v>
      </c>
      <c r="G304" s="67" t="s">
        <v>179</v>
      </c>
      <c r="H304" s="139" t="n">
        <v>5.99</v>
      </c>
      <c r="I304" s="139" t="n">
        <f aca="false">IFERROR(H304/F304,0)</f>
        <v>5.99</v>
      </c>
      <c r="J304" s="67" t="s">
        <v>1171</v>
      </c>
    </row>
    <row r="305" customFormat="false" ht="14.25" hidden="false" customHeight="true" outlineLevel="0" collapsed="false">
      <c r="A305" s="140" t="n">
        <v>46177</v>
      </c>
      <c r="B305" s="141" t="str">
        <f aca="false">TEXT(A305,"mmm/aaaa")</f>
        <v>Sivan/Thursday</v>
      </c>
      <c r="C305" s="141" t="s">
        <v>37</v>
      </c>
      <c r="D305" s="141" t="s">
        <v>624</v>
      </c>
      <c r="E305" s="141" t="s">
        <v>14</v>
      </c>
      <c r="F305" s="142" t="n">
        <v>0.14</v>
      </c>
      <c r="G305" s="141" t="s">
        <v>176</v>
      </c>
      <c r="H305" s="143" t="n">
        <v>4.19</v>
      </c>
      <c r="I305" s="143" t="n">
        <f aca="false">IFERROR(H305/F305,0)</f>
        <v>29.9285714285714</v>
      </c>
      <c r="J305" s="141" t="s">
        <v>1175</v>
      </c>
      <c r="K305" s="144"/>
    </row>
    <row r="306" customFormat="false" ht="13.5" hidden="false" customHeight="true" outlineLevel="0" collapsed="false">
      <c r="A306" s="145" t="n">
        <v>46177</v>
      </c>
      <c r="B306" s="146" t="str">
        <f aca="false">TEXT(A306,"mmm/aaaa")</f>
        <v>Sivan/Thursday</v>
      </c>
      <c r="C306" s="146" t="s">
        <v>37</v>
      </c>
      <c r="D306" s="146" t="s">
        <v>398</v>
      </c>
      <c r="E306" s="146" t="s">
        <v>14</v>
      </c>
      <c r="F306" s="147" t="n">
        <v>0.54</v>
      </c>
      <c r="G306" s="146" t="s">
        <v>176</v>
      </c>
      <c r="H306" s="148" t="n">
        <v>9.67</v>
      </c>
      <c r="I306" s="148" t="n">
        <f aca="false">IFERROR(H306/F306,0)</f>
        <v>17.9074074074074</v>
      </c>
      <c r="J306" s="146" t="s">
        <v>1175</v>
      </c>
      <c r="K306" s="149"/>
    </row>
    <row r="307" customFormat="false" ht="13.5" hidden="false" customHeight="true" outlineLevel="0" collapsed="false">
      <c r="A307" s="150" t="n">
        <v>46177</v>
      </c>
      <c r="B307" s="151" t="str">
        <f aca="false">TEXT(A307,"mmm/aaaa")</f>
        <v>Sivan/Thursday</v>
      </c>
      <c r="C307" s="151" t="s">
        <v>37</v>
      </c>
      <c r="D307" s="151" t="s">
        <v>284</v>
      </c>
      <c r="E307" s="151" t="s">
        <v>15</v>
      </c>
      <c r="F307" s="152" t="n">
        <v>1.74</v>
      </c>
      <c r="G307" s="151" t="s">
        <v>176</v>
      </c>
      <c r="H307" s="153" t="n">
        <v>6.93</v>
      </c>
      <c r="I307" s="153" t="n">
        <f aca="false">IFERROR(H307/F307,0)</f>
        <v>3.98275862068966</v>
      </c>
      <c r="J307" s="151" t="s">
        <v>1175</v>
      </c>
      <c r="K307" s="154"/>
    </row>
    <row r="308" customFormat="false" ht="13.5" hidden="false" customHeight="true" outlineLevel="0" collapsed="false">
      <c r="A308" s="145" t="n">
        <v>46177</v>
      </c>
      <c r="B308" s="146" t="str">
        <f aca="false">TEXT(A308,"mmm/aaaa")</f>
        <v>Sivan/Thursday</v>
      </c>
      <c r="C308" s="146" t="s">
        <v>37</v>
      </c>
      <c r="D308" s="146" t="s">
        <v>626</v>
      </c>
      <c r="E308" s="146" t="s">
        <v>15</v>
      </c>
      <c r="F308" s="147" t="n">
        <v>0.88</v>
      </c>
      <c r="G308" s="146" t="s">
        <v>176</v>
      </c>
      <c r="H308" s="148" t="n">
        <v>1.74</v>
      </c>
      <c r="I308" s="148" t="n">
        <f aca="false">IFERROR(H308/F308,0)</f>
        <v>1.97727272727273</v>
      </c>
      <c r="J308" s="146" t="s">
        <v>1175</v>
      </c>
      <c r="K308" s="149"/>
    </row>
    <row r="309" customFormat="false" ht="14.25" hidden="false" customHeight="true" outlineLevel="0" collapsed="false">
      <c r="A309" s="155" t="n">
        <v>46177</v>
      </c>
      <c r="B309" s="156" t="str">
        <f aca="false">TEXT(A309,"mmm/aaaa")</f>
        <v>Sivan/Thursday</v>
      </c>
      <c r="C309" s="156" t="s">
        <v>37</v>
      </c>
      <c r="D309" s="156" t="s">
        <v>628</v>
      </c>
      <c r="E309" s="156" t="s">
        <v>15</v>
      </c>
      <c r="F309" s="157" t="n">
        <v>1.41</v>
      </c>
      <c r="G309" s="156" t="s">
        <v>176</v>
      </c>
      <c r="H309" s="158" t="n">
        <v>4.2</v>
      </c>
      <c r="I309" s="158" t="n">
        <f aca="false">IFERROR(H309/F309,0)</f>
        <v>2.97872340425532</v>
      </c>
      <c r="J309" s="156" t="s">
        <v>1175</v>
      </c>
      <c r="K309" s="159"/>
    </row>
    <row r="310" customFormat="false" ht="14.25" hidden="false" customHeight="true" outlineLevel="0" collapsed="false">
      <c r="A310" s="140" t="n">
        <v>46179</v>
      </c>
      <c r="B310" s="141" t="str">
        <f aca="false">TEXT(A310,"mmm/aaaa")</f>
        <v>Sivan/Shabbat</v>
      </c>
      <c r="C310" s="141" t="s">
        <v>36</v>
      </c>
      <c r="D310" s="141" t="s">
        <v>633</v>
      </c>
      <c r="E310" s="141" t="s">
        <v>16</v>
      </c>
      <c r="F310" s="142" t="n">
        <v>6</v>
      </c>
      <c r="G310" s="141" t="s">
        <v>179</v>
      </c>
      <c r="H310" s="143" t="n">
        <v>8.34</v>
      </c>
      <c r="I310" s="143" t="n">
        <f aca="false">IFERROR(H310/F310,0)</f>
        <v>1.39</v>
      </c>
      <c r="J310" s="141" t="s">
        <v>1176</v>
      </c>
      <c r="K310" s="144"/>
    </row>
    <row r="311" customFormat="false" ht="13.5" hidden="false" customHeight="true" outlineLevel="0" collapsed="false">
      <c r="A311" s="160" t="n">
        <v>46179</v>
      </c>
      <c r="B311" s="161" t="str">
        <f aca="false">TEXT(A311,"mmm/aaaa")</f>
        <v>Sivan/Shabbat</v>
      </c>
      <c r="C311" s="161" t="s">
        <v>36</v>
      </c>
      <c r="D311" s="161" t="s">
        <v>635</v>
      </c>
      <c r="E311" s="161" t="s">
        <v>12</v>
      </c>
      <c r="F311" s="162" t="n">
        <v>1</v>
      </c>
      <c r="G311" s="161" t="s">
        <v>179</v>
      </c>
      <c r="H311" s="163" t="n">
        <v>7.6</v>
      </c>
      <c r="I311" s="163" t="n">
        <f aca="false">IFERROR(H311/F311,0)</f>
        <v>7.6</v>
      </c>
      <c r="J311" s="161" t="s">
        <v>1176</v>
      </c>
      <c r="K311" s="164"/>
    </row>
    <row r="312" customFormat="false" ht="13.5" hidden="false" customHeight="true" outlineLevel="0" collapsed="false">
      <c r="A312" s="150" t="n">
        <v>46179</v>
      </c>
      <c r="B312" s="151" t="str">
        <f aca="false">TEXT(A312,"mmm/aaaa")</f>
        <v>Sivan/Shabbat</v>
      </c>
      <c r="C312" s="151" t="s">
        <v>36</v>
      </c>
      <c r="D312" s="151" t="s">
        <v>353</v>
      </c>
      <c r="E312" s="151" t="s">
        <v>12</v>
      </c>
      <c r="F312" s="152" t="n">
        <v>1</v>
      </c>
      <c r="G312" s="151" t="s">
        <v>179</v>
      </c>
      <c r="H312" s="153" t="n">
        <v>9.2</v>
      </c>
      <c r="I312" s="153" t="n">
        <f aca="false">IFERROR(H312/F312,0)</f>
        <v>9.2</v>
      </c>
      <c r="J312" s="151" t="s">
        <v>1176</v>
      </c>
      <c r="K312" s="154"/>
    </row>
    <row r="313" customFormat="false" ht="13.5" hidden="false" customHeight="true" outlineLevel="0" collapsed="false">
      <c r="A313" s="145" t="n">
        <v>46179</v>
      </c>
      <c r="B313" s="146" t="str">
        <f aca="false">TEXT(A313,"mmm/aaaa")</f>
        <v>Sivan/Shabbat</v>
      </c>
      <c r="C313" s="146" t="s">
        <v>36</v>
      </c>
      <c r="D313" s="146" t="s">
        <v>617</v>
      </c>
      <c r="E313" s="146" t="s">
        <v>12</v>
      </c>
      <c r="F313" s="147" t="n">
        <v>1</v>
      </c>
      <c r="G313" s="146" t="s">
        <v>179</v>
      </c>
      <c r="H313" s="148" t="n">
        <v>28.3</v>
      </c>
      <c r="I313" s="148" t="n">
        <f aca="false">IFERROR(H313/F313,0)</f>
        <v>28.3</v>
      </c>
      <c r="J313" s="146" t="s">
        <v>1176</v>
      </c>
      <c r="K313" s="149"/>
    </row>
    <row r="314" customFormat="false" ht="13.5" hidden="false" customHeight="true" outlineLevel="0" collapsed="false">
      <c r="A314" s="150" t="n">
        <v>46179</v>
      </c>
      <c r="B314" s="151" t="str">
        <f aca="false">TEXT(A314,"mmm/aaaa")</f>
        <v>Sivan/Shabbat</v>
      </c>
      <c r="C314" s="151" t="s">
        <v>36</v>
      </c>
      <c r="D314" s="151" t="s">
        <v>638</v>
      </c>
      <c r="E314" s="151" t="s">
        <v>13</v>
      </c>
      <c r="F314" s="152" t="n">
        <v>1</v>
      </c>
      <c r="G314" s="151" t="s">
        <v>179</v>
      </c>
      <c r="H314" s="153" t="n">
        <v>6.6</v>
      </c>
      <c r="I314" s="153" t="n">
        <f aca="false">IFERROR(H314/F314,0)</f>
        <v>6.6</v>
      </c>
      <c r="J314" s="151" t="s">
        <v>1176</v>
      </c>
      <c r="K314" s="154"/>
    </row>
    <row r="315" customFormat="false" ht="13.5" hidden="false" customHeight="true" outlineLevel="0" collapsed="false">
      <c r="A315" s="145" t="n">
        <v>46179</v>
      </c>
      <c r="B315" s="146" t="str">
        <f aca="false">TEXT(A315,"mmm/aaaa")</f>
        <v>Sivan/Shabbat</v>
      </c>
      <c r="C315" s="146" t="s">
        <v>36</v>
      </c>
      <c r="D315" s="146" t="s">
        <v>446</v>
      </c>
      <c r="E315" s="146" t="s">
        <v>12</v>
      </c>
      <c r="F315" s="147" t="n">
        <v>1</v>
      </c>
      <c r="G315" s="146" t="s">
        <v>179</v>
      </c>
      <c r="H315" s="148" t="n">
        <v>11.99</v>
      </c>
      <c r="I315" s="148" t="n">
        <f aca="false">IFERROR(H315/F315,0)</f>
        <v>11.99</v>
      </c>
      <c r="J315" s="146" t="s">
        <v>1176</v>
      </c>
      <c r="K315" s="149"/>
    </row>
    <row r="316" customFormat="false" ht="13.5" hidden="false" customHeight="true" outlineLevel="0" collapsed="false">
      <c r="A316" s="150" t="n">
        <v>46179</v>
      </c>
      <c r="B316" s="151" t="str">
        <f aca="false">TEXT(A316,"mmm/aaaa")</f>
        <v>Sivan/Shabbat</v>
      </c>
      <c r="C316" s="151" t="s">
        <v>36</v>
      </c>
      <c r="D316" s="151" t="s">
        <v>640</v>
      </c>
      <c r="E316" s="151" t="s">
        <v>14</v>
      </c>
      <c r="F316" s="152" t="n">
        <v>1</v>
      </c>
      <c r="G316" s="151" t="s">
        <v>179</v>
      </c>
      <c r="H316" s="153" t="n">
        <v>13.9</v>
      </c>
      <c r="I316" s="153" t="n">
        <f aca="false">IFERROR(H316/F316,0)</f>
        <v>13.9</v>
      </c>
      <c r="J316" s="151" t="s">
        <v>1176</v>
      </c>
      <c r="K316" s="154"/>
    </row>
    <row r="317" customFormat="false" ht="13.5" hidden="false" customHeight="true" outlineLevel="0" collapsed="false">
      <c r="A317" s="145" t="n">
        <v>46179</v>
      </c>
      <c r="B317" s="146" t="str">
        <f aca="false">TEXT(A317,"mmm/aaaa")</f>
        <v>Sivan/Shabbat</v>
      </c>
      <c r="C317" s="146" t="s">
        <v>36</v>
      </c>
      <c r="D317" s="146" t="s">
        <v>642</v>
      </c>
      <c r="E317" s="146" t="s">
        <v>12</v>
      </c>
      <c r="F317" s="147" t="n">
        <v>1</v>
      </c>
      <c r="G317" s="146" t="s">
        <v>179</v>
      </c>
      <c r="H317" s="148" t="n">
        <v>4.55</v>
      </c>
      <c r="I317" s="148" t="n">
        <f aca="false">IFERROR(H317/F317,0)</f>
        <v>4.55</v>
      </c>
      <c r="J317" s="146" t="s">
        <v>1176</v>
      </c>
      <c r="K317" s="149"/>
    </row>
    <row r="318" customFormat="false" ht="13.5" hidden="false" customHeight="true" outlineLevel="0" collapsed="false">
      <c r="A318" s="150" t="n">
        <v>46179</v>
      </c>
      <c r="B318" s="151" t="str">
        <f aca="false">TEXT(A318,"mmm/aaaa")</f>
        <v>Sivan/Shabbat</v>
      </c>
      <c r="C318" s="151" t="s">
        <v>36</v>
      </c>
      <c r="D318" s="151" t="s">
        <v>644</v>
      </c>
      <c r="E318" s="151" t="s">
        <v>12</v>
      </c>
      <c r="F318" s="152" t="n">
        <v>1</v>
      </c>
      <c r="G318" s="151" t="s">
        <v>179</v>
      </c>
      <c r="H318" s="153" t="n">
        <v>8.6</v>
      </c>
      <c r="I318" s="153" t="n">
        <f aca="false">IFERROR(H318/F318,0)</f>
        <v>8.6</v>
      </c>
      <c r="J318" s="151" t="s">
        <v>1176</v>
      </c>
      <c r="K318" s="154"/>
    </row>
    <row r="319" customFormat="false" ht="13.5" hidden="false" customHeight="true" outlineLevel="0" collapsed="false">
      <c r="A319" s="145" t="n">
        <v>46179</v>
      </c>
      <c r="B319" s="146" t="str">
        <f aca="false">TEXT(A319,"mmm/aaaa")</f>
        <v>Sivan/Shabbat</v>
      </c>
      <c r="C319" s="146" t="s">
        <v>36</v>
      </c>
      <c r="D319" s="146" t="s">
        <v>644</v>
      </c>
      <c r="E319" s="146" t="s">
        <v>12</v>
      </c>
      <c r="F319" s="147" t="n">
        <v>1</v>
      </c>
      <c r="G319" s="146" t="s">
        <v>179</v>
      </c>
      <c r="H319" s="148" t="n">
        <v>8.6</v>
      </c>
      <c r="I319" s="148" t="n">
        <f aca="false">IFERROR(H319/F319,0)</f>
        <v>8.6</v>
      </c>
      <c r="J319" s="146" t="s">
        <v>1176</v>
      </c>
      <c r="K319" s="149"/>
    </row>
    <row r="320" customFormat="false" ht="13.5" hidden="false" customHeight="true" outlineLevel="0" collapsed="false">
      <c r="A320" s="150" t="n">
        <v>46179</v>
      </c>
      <c r="B320" s="151" t="str">
        <f aca="false">TEXT(A320,"mmm/aaaa")</f>
        <v>Sivan/Shabbat</v>
      </c>
      <c r="C320" s="151" t="s">
        <v>36</v>
      </c>
      <c r="D320" s="151" t="s">
        <v>644</v>
      </c>
      <c r="E320" s="151" t="s">
        <v>12</v>
      </c>
      <c r="F320" s="152" t="n">
        <v>1</v>
      </c>
      <c r="G320" s="151" t="s">
        <v>179</v>
      </c>
      <c r="H320" s="153" t="n">
        <v>8.6</v>
      </c>
      <c r="I320" s="153" t="n">
        <f aca="false">IFERROR(H320/F320,0)</f>
        <v>8.6</v>
      </c>
      <c r="J320" s="151" t="s">
        <v>1176</v>
      </c>
      <c r="K320" s="154"/>
    </row>
    <row r="321" customFormat="false" ht="13.5" hidden="false" customHeight="true" outlineLevel="0" collapsed="false">
      <c r="A321" s="145" t="n">
        <v>46179</v>
      </c>
      <c r="B321" s="146" t="str">
        <f aca="false">TEXT(A321,"mmm/aaaa")</f>
        <v>Sivan/Shabbat</v>
      </c>
      <c r="C321" s="146" t="s">
        <v>36</v>
      </c>
      <c r="D321" s="146" t="s">
        <v>644</v>
      </c>
      <c r="E321" s="146" t="s">
        <v>12</v>
      </c>
      <c r="F321" s="147" t="n">
        <v>1</v>
      </c>
      <c r="G321" s="146" t="s">
        <v>179</v>
      </c>
      <c r="H321" s="148" t="n">
        <v>8.6</v>
      </c>
      <c r="I321" s="148" t="n">
        <f aca="false">IFERROR(H321/F321,0)</f>
        <v>8.6</v>
      </c>
      <c r="J321" s="146" t="s">
        <v>1176</v>
      </c>
      <c r="K321" s="149"/>
    </row>
    <row r="322" customFormat="false" ht="13.5" hidden="false" customHeight="true" outlineLevel="0" collapsed="false">
      <c r="A322" s="150" t="n">
        <v>46179</v>
      </c>
      <c r="B322" s="151" t="str">
        <f aca="false">TEXT(A322,"mmm/aaaa")</f>
        <v>Sivan/Shabbat</v>
      </c>
      <c r="C322" s="151" t="s">
        <v>36</v>
      </c>
      <c r="D322" s="151" t="s">
        <v>647</v>
      </c>
      <c r="E322" s="151" t="s">
        <v>13</v>
      </c>
      <c r="F322" s="152" t="n">
        <v>1</v>
      </c>
      <c r="G322" s="151" t="s">
        <v>179</v>
      </c>
      <c r="H322" s="153" t="n">
        <v>5.09</v>
      </c>
      <c r="I322" s="153" t="n">
        <f aca="false">IFERROR(H322/F322,0)</f>
        <v>5.09</v>
      </c>
      <c r="J322" s="151" t="s">
        <v>1176</v>
      </c>
      <c r="K322" s="154"/>
    </row>
    <row r="323" customFormat="false" ht="13.5" hidden="false" customHeight="true" outlineLevel="0" collapsed="false">
      <c r="A323" s="145" t="n">
        <v>46179</v>
      </c>
      <c r="B323" s="146" t="str">
        <f aca="false">TEXT(A323,"mmm/aaaa")</f>
        <v>Sivan/Shabbat</v>
      </c>
      <c r="C323" s="146" t="s">
        <v>36</v>
      </c>
      <c r="D323" s="146" t="s">
        <v>606</v>
      </c>
      <c r="E323" s="146" t="s">
        <v>13</v>
      </c>
      <c r="F323" s="147" t="n">
        <v>1</v>
      </c>
      <c r="G323" s="146" t="s">
        <v>179</v>
      </c>
      <c r="H323" s="148" t="n">
        <v>3.45</v>
      </c>
      <c r="I323" s="148" t="n">
        <f aca="false">IFERROR(H323/F323,0)</f>
        <v>3.45</v>
      </c>
      <c r="J323" s="146" t="s">
        <v>1176</v>
      </c>
      <c r="K323" s="149"/>
    </row>
    <row r="324" customFormat="false" ht="13.5" hidden="false" customHeight="true" outlineLevel="0" collapsed="false">
      <c r="A324" s="155" t="n">
        <v>46179</v>
      </c>
      <c r="B324" s="156" t="str">
        <f aca="false">TEXT(A324,"mmm/aaaa")</f>
        <v>Sivan/Shabbat</v>
      </c>
      <c r="C324" s="156" t="s">
        <v>36</v>
      </c>
      <c r="D324" s="156" t="s">
        <v>606</v>
      </c>
      <c r="E324" s="156" t="s">
        <v>13</v>
      </c>
      <c r="F324" s="157" t="n">
        <v>1</v>
      </c>
      <c r="G324" s="156" t="s">
        <v>179</v>
      </c>
      <c r="H324" s="158" t="n">
        <v>3.45</v>
      </c>
      <c r="I324" s="158" t="n">
        <f aca="false">IFERROR(H324/F324,0)</f>
        <v>3.45</v>
      </c>
      <c r="J324" s="156" t="s">
        <v>1176</v>
      </c>
      <c r="K324" s="159"/>
    </row>
    <row r="325" customFormat="false" ht="13.5" hidden="false" customHeight="true" outlineLevel="0" collapsed="false">
      <c r="A325" s="145" t="n">
        <v>46179</v>
      </c>
      <c r="B325" s="146" t="str">
        <f aca="false">TEXT(A325,"mmm/aaaa")</f>
        <v>Sivan/Shabbat</v>
      </c>
      <c r="C325" s="146" t="s">
        <v>36</v>
      </c>
      <c r="D325" s="146" t="s">
        <v>325</v>
      </c>
      <c r="E325" s="146" t="s">
        <v>13</v>
      </c>
      <c r="F325" s="147" t="n">
        <v>3</v>
      </c>
      <c r="G325" s="146" t="s">
        <v>179</v>
      </c>
      <c r="H325" s="148" t="n">
        <v>25.5</v>
      </c>
      <c r="I325" s="148" t="n">
        <f aca="false">IFERROR(H325/F325,0)</f>
        <v>8.5</v>
      </c>
      <c r="J325" s="146" t="s">
        <v>1176</v>
      </c>
      <c r="K325" s="149"/>
    </row>
    <row r="326" customFormat="false" ht="13.5" hidden="false" customHeight="true" outlineLevel="0" collapsed="false">
      <c r="A326" s="165" t="n">
        <v>46183</v>
      </c>
      <c r="B326" s="166" t="str">
        <f aca="false">TEXT(A326,"mmm/aaaa")</f>
        <v>Sivan/Wednesday</v>
      </c>
      <c r="C326" s="166" t="s">
        <v>42</v>
      </c>
      <c r="D326" s="166" t="s">
        <v>655</v>
      </c>
      <c r="E326" s="166" t="s">
        <v>21</v>
      </c>
      <c r="F326" s="167" t="n">
        <v>1</v>
      </c>
      <c r="G326" s="166" t="s">
        <v>179</v>
      </c>
      <c r="H326" s="168" t="n">
        <v>34.56</v>
      </c>
      <c r="I326" s="168" t="n">
        <f aca="false">IFERROR(H326/F326,0)</f>
        <v>34.56</v>
      </c>
      <c r="J326" s="166" t="s">
        <v>1177</v>
      </c>
      <c r="K326" s="169"/>
    </row>
    <row r="327" customFormat="false" ht="13.5" hidden="false" customHeight="true" outlineLevel="0" collapsed="false">
      <c r="A327" s="145" t="n">
        <v>46183</v>
      </c>
      <c r="B327" s="146" t="str">
        <f aca="false">TEXT(A327,"mmm/aaaa")</f>
        <v>Sivan/Wednesday</v>
      </c>
      <c r="C327" s="146" t="s">
        <v>42</v>
      </c>
      <c r="D327" s="146" t="s">
        <v>657</v>
      </c>
      <c r="E327" s="146" t="s">
        <v>21</v>
      </c>
      <c r="F327" s="147" t="n">
        <v>1</v>
      </c>
      <c r="G327" s="146" t="s">
        <v>179</v>
      </c>
      <c r="H327" s="148" t="n">
        <v>16.59</v>
      </c>
      <c r="I327" s="148" t="n">
        <f aca="false">IFERROR(H327/F327,0)</f>
        <v>16.59</v>
      </c>
      <c r="J327" s="146" t="s">
        <v>1177</v>
      </c>
      <c r="K327" s="149"/>
    </row>
    <row r="328" customFormat="false" ht="13.5" hidden="false" customHeight="true" outlineLevel="0" collapsed="false">
      <c r="A328" s="155" t="n">
        <v>46183</v>
      </c>
      <c r="B328" s="156" t="str">
        <f aca="false">TEXT(A328,"mmm/aaaa")</f>
        <v>Sivan/Wednesday</v>
      </c>
      <c r="C328" s="156" t="s">
        <v>37</v>
      </c>
      <c r="D328" s="156" t="s">
        <v>181</v>
      </c>
      <c r="E328" s="156" t="s">
        <v>14</v>
      </c>
      <c r="F328" s="157" t="n">
        <v>0.49</v>
      </c>
      <c r="G328" s="156" t="s">
        <v>176</v>
      </c>
      <c r="H328" s="158" t="n">
        <v>8.77</v>
      </c>
      <c r="I328" s="158" t="n">
        <f aca="false">IFERROR(H328/F328,0)</f>
        <v>17.8979591836735</v>
      </c>
      <c r="J328" s="156" t="s">
        <v>1178</v>
      </c>
      <c r="K328" s="159"/>
    </row>
    <row r="329" customFormat="false" ht="14.25" hidden="false" customHeight="true" outlineLevel="0" collapsed="false">
      <c r="A329" s="170" t="n">
        <v>46183</v>
      </c>
      <c r="B329" s="171" t="str">
        <f aca="false">TEXT(A329,"mmm/aaaa")</f>
        <v>Sivan/Wednesday</v>
      </c>
      <c r="C329" s="171" t="s">
        <v>37</v>
      </c>
      <c r="D329" s="171" t="s">
        <v>650</v>
      </c>
      <c r="E329" s="171" t="s">
        <v>13</v>
      </c>
      <c r="F329" s="172" t="n">
        <v>1</v>
      </c>
      <c r="G329" s="171" t="s">
        <v>179</v>
      </c>
      <c r="H329" s="173" t="n">
        <v>6.69</v>
      </c>
      <c r="I329" s="173" t="n">
        <f aca="false">IFERROR(H329/F329,0)</f>
        <v>6.69</v>
      </c>
      <c r="J329" s="171" t="s">
        <v>1178</v>
      </c>
      <c r="K329" s="174"/>
    </row>
    <row r="330" customFormat="false" ht="14.25" hidden="false" customHeight="true" outlineLevel="0" collapsed="false">
      <c r="A330" s="175" t="n">
        <v>46185</v>
      </c>
      <c r="B330" s="129" t="str">
        <f aca="false">TEXT(A330,"mmm/aaaa")</f>
        <v>Sivan/Friday</v>
      </c>
      <c r="C330" s="129" t="s">
        <v>36</v>
      </c>
      <c r="D330" s="129" t="s">
        <v>382</v>
      </c>
      <c r="E330" s="129" t="s">
        <v>12</v>
      </c>
      <c r="F330" s="176" t="n">
        <v>1</v>
      </c>
      <c r="G330" s="129" t="s">
        <v>179</v>
      </c>
      <c r="H330" s="131" t="n">
        <v>7.7</v>
      </c>
      <c r="I330" s="131" t="n">
        <f aca="false">IFERROR(H330/F330,0)</f>
        <v>7.7</v>
      </c>
      <c r="J330" s="129" t="s">
        <v>1179</v>
      </c>
      <c r="K330" s="129"/>
    </row>
    <row r="331" customFormat="false" ht="13.5" hidden="false" customHeight="true" outlineLevel="0" collapsed="false">
      <c r="A331" s="177" t="n">
        <v>46185</v>
      </c>
      <c r="B331" s="124" t="str">
        <f aca="false">TEXT(A331,"mmm/aaaa")</f>
        <v>Sivan/Friday</v>
      </c>
      <c r="C331" s="124" t="s">
        <v>36</v>
      </c>
      <c r="D331" s="124" t="s">
        <v>354</v>
      </c>
      <c r="E331" s="124" t="s">
        <v>12</v>
      </c>
      <c r="F331" s="178" t="n">
        <v>1</v>
      </c>
      <c r="G331" s="124" t="s">
        <v>179</v>
      </c>
      <c r="H331" s="126" t="n">
        <v>9.45</v>
      </c>
      <c r="I331" s="126" t="n">
        <f aca="false">IFERROR(H331/F331,0)</f>
        <v>9.45</v>
      </c>
      <c r="J331" s="124" t="s">
        <v>1179</v>
      </c>
      <c r="K331" s="124"/>
    </row>
    <row r="332" customFormat="false" ht="13.5" hidden="false" customHeight="true" outlineLevel="0" collapsed="false">
      <c r="A332" s="175" t="n">
        <v>46185</v>
      </c>
      <c r="B332" s="129" t="str">
        <f aca="false">TEXT(A332,"mmm/aaaa")</f>
        <v>Sivan/Friday</v>
      </c>
      <c r="C332" s="129" t="s">
        <v>36</v>
      </c>
      <c r="D332" s="129" t="s">
        <v>558</v>
      </c>
      <c r="E332" s="129" t="s">
        <v>12</v>
      </c>
      <c r="F332" s="176" t="n">
        <v>1</v>
      </c>
      <c r="G332" s="129" t="s">
        <v>179</v>
      </c>
      <c r="H332" s="131" t="n">
        <v>11.7</v>
      </c>
      <c r="I332" s="131" t="n">
        <f aca="false">IFERROR(H332/F332,0)</f>
        <v>11.7</v>
      </c>
      <c r="J332" s="129" t="s">
        <v>1179</v>
      </c>
      <c r="K332" s="129"/>
    </row>
    <row r="333" customFormat="false" ht="13.5" hidden="false" customHeight="true" outlineLevel="0" collapsed="false">
      <c r="A333" s="177" t="n">
        <v>46185</v>
      </c>
      <c r="B333" s="124" t="str">
        <f aca="false">TEXT(A333,"mmm/aaaa")</f>
        <v>Sivan/Friday</v>
      </c>
      <c r="C333" s="124" t="s">
        <v>36</v>
      </c>
      <c r="D333" s="124" t="s">
        <v>378</v>
      </c>
      <c r="E333" s="124" t="s">
        <v>12</v>
      </c>
      <c r="F333" s="178" t="n">
        <v>1</v>
      </c>
      <c r="G333" s="124" t="s">
        <v>179</v>
      </c>
      <c r="H333" s="126" t="n">
        <v>12.2</v>
      </c>
      <c r="I333" s="126" t="n">
        <f aca="false">IFERROR(H333/F333,0)</f>
        <v>12.2</v>
      </c>
      <c r="J333" s="124" t="s">
        <v>1179</v>
      </c>
      <c r="K333" s="124"/>
    </row>
    <row r="334" customFormat="false" ht="13.5" hidden="false" customHeight="true" outlineLevel="0" collapsed="false">
      <c r="A334" s="175" t="n">
        <v>46185</v>
      </c>
      <c r="B334" s="129" t="str">
        <f aca="false">TEXT(A334,"mmm/aaaa")</f>
        <v>Sivan/Friday</v>
      </c>
      <c r="C334" s="129" t="s">
        <v>36</v>
      </c>
      <c r="D334" s="129" t="s">
        <v>375</v>
      </c>
      <c r="E334" s="129" t="s">
        <v>12</v>
      </c>
      <c r="F334" s="176" t="n">
        <v>1</v>
      </c>
      <c r="G334" s="129" t="s">
        <v>179</v>
      </c>
      <c r="H334" s="131" t="n">
        <v>4.99</v>
      </c>
      <c r="I334" s="131" t="n">
        <f aca="false">IFERROR(H334/F334,0)</f>
        <v>4.99</v>
      </c>
      <c r="J334" s="129" t="s">
        <v>1179</v>
      </c>
      <c r="K334" s="129"/>
    </row>
    <row r="335" customFormat="false" ht="13.5" hidden="false" customHeight="true" outlineLevel="0" collapsed="false">
      <c r="A335" s="177" t="n">
        <v>46185</v>
      </c>
      <c r="B335" s="124" t="str">
        <f aca="false">TEXT(A335,"mmm/aaaa")</f>
        <v>Sivan/Friday</v>
      </c>
      <c r="C335" s="124" t="s">
        <v>36</v>
      </c>
      <c r="D335" s="124" t="s">
        <v>662</v>
      </c>
      <c r="E335" s="124" t="s">
        <v>12</v>
      </c>
      <c r="F335" s="178" t="n">
        <v>1</v>
      </c>
      <c r="G335" s="124" t="s">
        <v>179</v>
      </c>
      <c r="H335" s="126" t="n">
        <v>7.75</v>
      </c>
      <c r="I335" s="126" t="n">
        <f aca="false">IFERROR(H335/F335,0)</f>
        <v>7.75</v>
      </c>
      <c r="J335" s="124" t="s">
        <v>1179</v>
      </c>
      <c r="K335" s="124"/>
    </row>
    <row r="336" customFormat="false" ht="13.5" hidden="false" customHeight="true" outlineLevel="0" collapsed="false">
      <c r="A336" s="175" t="n">
        <v>46185</v>
      </c>
      <c r="B336" s="129" t="str">
        <f aca="false">TEXT(A336,"mmm/aaaa")</f>
        <v>Sivan/Friday</v>
      </c>
      <c r="C336" s="129" t="s">
        <v>36</v>
      </c>
      <c r="D336" s="129" t="s">
        <v>664</v>
      </c>
      <c r="E336" s="129" t="s">
        <v>12</v>
      </c>
      <c r="F336" s="176" t="n">
        <v>1</v>
      </c>
      <c r="G336" s="129" t="s">
        <v>179</v>
      </c>
      <c r="H336" s="131" t="n">
        <v>30.99</v>
      </c>
      <c r="I336" s="131" t="n">
        <f aca="false">IFERROR(H336/F336,0)</f>
        <v>30.99</v>
      </c>
      <c r="J336" s="129" t="s">
        <v>1179</v>
      </c>
      <c r="K336" s="129"/>
    </row>
    <row r="337" customFormat="false" ht="13.5" hidden="false" customHeight="true" outlineLevel="0" collapsed="false">
      <c r="A337" s="177" t="n">
        <v>46185</v>
      </c>
      <c r="B337" s="124" t="str">
        <f aca="false">TEXT(A337,"mmm/aaaa")</f>
        <v>Sivan/Friday</v>
      </c>
      <c r="C337" s="124" t="s">
        <v>36</v>
      </c>
      <c r="D337" s="124" t="s">
        <v>241</v>
      </c>
      <c r="E337" s="124" t="s">
        <v>12</v>
      </c>
      <c r="F337" s="178" t="n">
        <v>1</v>
      </c>
      <c r="G337" s="124" t="s">
        <v>179</v>
      </c>
      <c r="H337" s="126" t="n">
        <v>1.8</v>
      </c>
      <c r="I337" s="126" t="n">
        <f aca="false">IFERROR(H337/F337,0)</f>
        <v>1.8</v>
      </c>
      <c r="J337" s="124" t="s">
        <v>1179</v>
      </c>
      <c r="K337" s="124"/>
    </row>
    <row r="338" customFormat="false" ht="13.5" hidden="false" customHeight="true" outlineLevel="0" collapsed="false">
      <c r="A338" s="175" t="n">
        <v>46185</v>
      </c>
      <c r="B338" s="129" t="str">
        <f aca="false">TEXT(A338,"mmm/aaaa")</f>
        <v>Sivan/Friday</v>
      </c>
      <c r="C338" s="129" t="s">
        <v>36</v>
      </c>
      <c r="D338" s="129" t="s">
        <v>666</v>
      </c>
      <c r="E338" s="129" t="s">
        <v>12</v>
      </c>
      <c r="F338" s="176" t="n">
        <v>1</v>
      </c>
      <c r="G338" s="129" t="s">
        <v>179</v>
      </c>
      <c r="H338" s="131" t="n">
        <v>2.35</v>
      </c>
      <c r="I338" s="131" t="n">
        <f aca="false">IFERROR(H338/F338,0)</f>
        <v>2.35</v>
      </c>
      <c r="J338" s="129" t="s">
        <v>1179</v>
      </c>
      <c r="K338" s="129"/>
    </row>
    <row r="339" customFormat="false" ht="13.5" hidden="false" customHeight="true" outlineLevel="0" collapsed="false">
      <c r="A339" s="177" t="n">
        <v>46185</v>
      </c>
      <c r="B339" s="124" t="str">
        <f aca="false">TEXT(A339,"mmm/aaaa")</f>
        <v>Sivan/Friday</v>
      </c>
      <c r="C339" s="124" t="s">
        <v>36</v>
      </c>
      <c r="D339" s="124" t="s">
        <v>241</v>
      </c>
      <c r="E339" s="124" t="s">
        <v>12</v>
      </c>
      <c r="F339" s="178" t="n">
        <v>1</v>
      </c>
      <c r="G339" s="124" t="s">
        <v>179</v>
      </c>
      <c r="H339" s="126" t="n">
        <v>1.8</v>
      </c>
      <c r="I339" s="126" t="n">
        <f aca="false">IFERROR(H339/F339,0)</f>
        <v>1.8</v>
      </c>
      <c r="J339" s="124" t="s">
        <v>1179</v>
      </c>
      <c r="K339" s="124"/>
    </row>
    <row r="340" customFormat="false" ht="13.5" hidden="false" customHeight="true" outlineLevel="0" collapsed="false">
      <c r="A340" s="175" t="n">
        <v>46185</v>
      </c>
      <c r="B340" s="129" t="str">
        <f aca="false">TEXT(A340,"mmm/aaaa")</f>
        <v>Sivan/Friday</v>
      </c>
      <c r="C340" s="129" t="s">
        <v>36</v>
      </c>
      <c r="D340" s="129" t="s">
        <v>242</v>
      </c>
      <c r="E340" s="129" t="s">
        <v>12</v>
      </c>
      <c r="F340" s="176" t="n">
        <v>1</v>
      </c>
      <c r="G340" s="129" t="s">
        <v>179</v>
      </c>
      <c r="H340" s="131" t="n">
        <v>3.95</v>
      </c>
      <c r="I340" s="131" t="n">
        <f aca="false">IFERROR(H340/F340,0)</f>
        <v>3.95</v>
      </c>
      <c r="J340" s="129" t="s">
        <v>1179</v>
      </c>
      <c r="K340" s="129"/>
    </row>
    <row r="341" customFormat="false" ht="13.5" hidden="false" customHeight="true" outlineLevel="0" collapsed="false">
      <c r="A341" s="177" t="n">
        <v>46185</v>
      </c>
      <c r="B341" s="124" t="str">
        <f aca="false">TEXT(A341,"mmm/aaaa")</f>
        <v>Sivan/Friday</v>
      </c>
      <c r="C341" s="124" t="s">
        <v>36</v>
      </c>
      <c r="D341" s="124" t="s">
        <v>242</v>
      </c>
      <c r="E341" s="124" t="s">
        <v>12</v>
      </c>
      <c r="F341" s="178" t="n">
        <v>1</v>
      </c>
      <c r="G341" s="124" t="s">
        <v>179</v>
      </c>
      <c r="H341" s="126" t="n">
        <v>3.95</v>
      </c>
      <c r="I341" s="126" t="n">
        <f aca="false">IFERROR(H341/F341,0)</f>
        <v>3.95</v>
      </c>
      <c r="J341" s="124" t="s">
        <v>1179</v>
      </c>
      <c r="K341" s="124"/>
    </row>
    <row r="342" customFormat="false" ht="13.5" hidden="false" customHeight="true" outlineLevel="0" collapsed="false">
      <c r="A342" s="175" t="n">
        <v>46185</v>
      </c>
      <c r="B342" s="129" t="str">
        <f aca="false">TEXT(A342,"mmm/aaaa")</f>
        <v>Sivan/Friday</v>
      </c>
      <c r="C342" s="129" t="s">
        <v>36</v>
      </c>
      <c r="D342" s="129" t="s">
        <v>241</v>
      </c>
      <c r="E342" s="129" t="s">
        <v>12</v>
      </c>
      <c r="F342" s="176" t="n">
        <v>1</v>
      </c>
      <c r="G342" s="129" t="s">
        <v>179</v>
      </c>
      <c r="H342" s="131" t="n">
        <v>1.8</v>
      </c>
      <c r="I342" s="131" t="n">
        <f aca="false">IFERROR(H342/F342,0)</f>
        <v>1.8</v>
      </c>
      <c r="J342" s="129" t="s">
        <v>1179</v>
      </c>
      <c r="K342" s="129"/>
    </row>
    <row r="343" customFormat="false" ht="13.5" hidden="false" customHeight="true" outlineLevel="0" collapsed="false">
      <c r="A343" s="177" t="n">
        <v>46185</v>
      </c>
      <c r="B343" s="124" t="str">
        <f aca="false">TEXT(A343,"mmm/aaaa")</f>
        <v>Sivan/Friday</v>
      </c>
      <c r="C343" s="124" t="s">
        <v>36</v>
      </c>
      <c r="D343" s="124" t="s">
        <v>666</v>
      </c>
      <c r="E343" s="124" t="s">
        <v>12</v>
      </c>
      <c r="F343" s="178" t="n">
        <v>1</v>
      </c>
      <c r="G343" s="124" t="s">
        <v>179</v>
      </c>
      <c r="H343" s="126" t="n">
        <v>2.35</v>
      </c>
      <c r="I343" s="126" t="n">
        <f aca="false">IFERROR(H343/F343,0)</f>
        <v>2.35</v>
      </c>
      <c r="J343" s="124" t="s">
        <v>1179</v>
      </c>
      <c r="K343" s="124"/>
    </row>
    <row r="344" customFormat="false" ht="13.5" hidden="false" customHeight="true" outlineLevel="0" collapsed="false">
      <c r="A344" s="175" t="n">
        <v>46185</v>
      </c>
      <c r="B344" s="129" t="str">
        <f aca="false">TEXT(A344,"mmm/aaaa")</f>
        <v>Sivan/Friday</v>
      </c>
      <c r="C344" s="129" t="s">
        <v>36</v>
      </c>
      <c r="D344" s="129" t="s">
        <v>356</v>
      </c>
      <c r="E344" s="129" t="s">
        <v>12</v>
      </c>
      <c r="F344" s="176" t="n">
        <v>1</v>
      </c>
      <c r="G344" s="129" t="s">
        <v>179</v>
      </c>
      <c r="H344" s="131" t="n">
        <v>2.99</v>
      </c>
      <c r="I344" s="131" t="n">
        <f aca="false">IFERROR(H344/F344,0)</f>
        <v>2.99</v>
      </c>
      <c r="J344" s="129" t="s">
        <v>1179</v>
      </c>
      <c r="K344" s="129"/>
    </row>
    <row r="345" customFormat="false" ht="13.5" hidden="false" customHeight="true" outlineLevel="0" collapsed="false">
      <c r="A345" s="177" t="n">
        <v>46185</v>
      </c>
      <c r="B345" s="124" t="str">
        <f aca="false">TEXT(A345,"mmm/aaaa")</f>
        <v>Sivan/Friday</v>
      </c>
      <c r="C345" s="124" t="s">
        <v>36</v>
      </c>
      <c r="D345" s="124" t="s">
        <v>356</v>
      </c>
      <c r="E345" s="124" t="s">
        <v>12</v>
      </c>
      <c r="F345" s="178" t="n">
        <v>1</v>
      </c>
      <c r="G345" s="124" t="s">
        <v>179</v>
      </c>
      <c r="H345" s="126" t="n">
        <v>2.99</v>
      </c>
      <c r="I345" s="126" t="n">
        <f aca="false">IFERROR(H345/F345,0)</f>
        <v>2.99</v>
      </c>
      <c r="J345" s="124" t="s">
        <v>1179</v>
      </c>
      <c r="K345" s="124"/>
    </row>
    <row r="346" customFormat="false" ht="13.5" hidden="false" customHeight="true" outlineLevel="0" collapsed="false">
      <c r="A346" s="175" t="n">
        <v>46185</v>
      </c>
      <c r="B346" s="129" t="str">
        <f aca="false">TEXT(A346,"mmm/aaaa")</f>
        <v>Sivan/Friday</v>
      </c>
      <c r="C346" s="129" t="s">
        <v>36</v>
      </c>
      <c r="D346" s="129" t="s">
        <v>670</v>
      </c>
      <c r="E346" s="129" t="s">
        <v>12</v>
      </c>
      <c r="F346" s="176" t="n">
        <v>1</v>
      </c>
      <c r="G346" s="129" t="s">
        <v>179</v>
      </c>
      <c r="H346" s="131" t="n">
        <v>4.25</v>
      </c>
      <c r="I346" s="131" t="n">
        <f aca="false">IFERROR(H346/F346,0)</f>
        <v>4.25</v>
      </c>
      <c r="J346" s="129" t="s">
        <v>1179</v>
      </c>
      <c r="K346" s="129"/>
    </row>
    <row r="347" customFormat="false" ht="13.5" hidden="false" customHeight="true" outlineLevel="0" collapsed="false">
      <c r="A347" s="177" t="n">
        <v>46185</v>
      </c>
      <c r="B347" s="124" t="str">
        <f aca="false">TEXT(A347,"mmm/aaaa")</f>
        <v>Sivan/Friday</v>
      </c>
      <c r="C347" s="124" t="s">
        <v>36</v>
      </c>
      <c r="D347" s="124" t="s">
        <v>360</v>
      </c>
      <c r="E347" s="124" t="s">
        <v>12</v>
      </c>
      <c r="F347" s="178" t="n">
        <v>1</v>
      </c>
      <c r="G347" s="124" t="s">
        <v>179</v>
      </c>
      <c r="H347" s="126" t="n">
        <v>3.85</v>
      </c>
      <c r="I347" s="126" t="n">
        <f aca="false">IFERROR(H347/F347,0)</f>
        <v>3.85</v>
      </c>
      <c r="J347" s="124" t="s">
        <v>1179</v>
      </c>
      <c r="K347" s="124"/>
    </row>
    <row r="348" customFormat="false" ht="13.5" hidden="false" customHeight="true" outlineLevel="0" collapsed="false">
      <c r="A348" s="175" t="n">
        <v>46185</v>
      </c>
      <c r="B348" s="129" t="str">
        <f aca="false">TEXT(A348,"mmm/aaaa")</f>
        <v>Sivan/Friday</v>
      </c>
      <c r="C348" s="129" t="s">
        <v>36</v>
      </c>
      <c r="D348" s="129" t="s">
        <v>360</v>
      </c>
      <c r="E348" s="129" t="s">
        <v>12</v>
      </c>
      <c r="F348" s="176" t="n">
        <v>1</v>
      </c>
      <c r="G348" s="129" t="s">
        <v>179</v>
      </c>
      <c r="H348" s="131" t="n">
        <v>3.85</v>
      </c>
      <c r="I348" s="131" t="n">
        <f aca="false">IFERROR(H348/F348,0)</f>
        <v>3.85</v>
      </c>
      <c r="J348" s="129" t="s">
        <v>1179</v>
      </c>
      <c r="K348" s="129"/>
    </row>
    <row r="349" customFormat="false" ht="13.5" hidden="false" customHeight="true" outlineLevel="0" collapsed="false">
      <c r="A349" s="177" t="n">
        <v>46185</v>
      </c>
      <c r="B349" s="124" t="str">
        <f aca="false">TEXT(A349,"mmm/aaaa")</f>
        <v>Sivan/Friday</v>
      </c>
      <c r="C349" s="124" t="s">
        <v>36</v>
      </c>
      <c r="D349" s="124" t="s">
        <v>672</v>
      </c>
      <c r="E349" s="124" t="s">
        <v>12</v>
      </c>
      <c r="F349" s="178" t="n">
        <v>1</v>
      </c>
      <c r="G349" s="124" t="s">
        <v>179</v>
      </c>
      <c r="H349" s="126" t="n">
        <v>4.6</v>
      </c>
      <c r="I349" s="126" t="n">
        <f aca="false">IFERROR(H349/F349,0)</f>
        <v>4.6</v>
      </c>
      <c r="J349" s="124" t="s">
        <v>1179</v>
      </c>
      <c r="K349" s="124"/>
    </row>
    <row r="350" customFormat="false" ht="13.5" hidden="false" customHeight="true" outlineLevel="0" collapsed="false">
      <c r="A350" s="175" t="n">
        <v>46185</v>
      </c>
      <c r="B350" s="129" t="str">
        <f aca="false">TEXT(A350,"mmm/aaaa")</f>
        <v>Sivan/Friday</v>
      </c>
      <c r="C350" s="129" t="s">
        <v>36</v>
      </c>
      <c r="D350" s="129" t="s">
        <v>362</v>
      </c>
      <c r="E350" s="129" t="s">
        <v>12</v>
      </c>
      <c r="F350" s="176" t="n">
        <v>1</v>
      </c>
      <c r="G350" s="129" t="s">
        <v>179</v>
      </c>
      <c r="H350" s="131" t="n">
        <v>4.85</v>
      </c>
      <c r="I350" s="131" t="n">
        <f aca="false">IFERROR(H350/F350,0)</f>
        <v>4.85</v>
      </c>
      <c r="J350" s="129" t="s">
        <v>1179</v>
      </c>
      <c r="K350" s="129"/>
    </row>
    <row r="351" customFormat="false" ht="13.5" hidden="false" customHeight="true" outlineLevel="0" collapsed="false">
      <c r="A351" s="177" t="n">
        <v>46185</v>
      </c>
      <c r="B351" s="124" t="str">
        <f aca="false">TEXT(A351,"mmm/aaaa")</f>
        <v>Sivan/Friday</v>
      </c>
      <c r="C351" s="124" t="s">
        <v>36</v>
      </c>
      <c r="D351" s="124" t="s">
        <v>364</v>
      </c>
      <c r="E351" s="124" t="s">
        <v>12</v>
      </c>
      <c r="F351" s="178" t="n">
        <v>1</v>
      </c>
      <c r="G351" s="124" t="s">
        <v>179</v>
      </c>
      <c r="H351" s="126" t="n">
        <v>7.3</v>
      </c>
      <c r="I351" s="126" t="n">
        <f aca="false">IFERROR(H351/F351,0)</f>
        <v>7.3</v>
      </c>
      <c r="J351" s="124" t="s">
        <v>1179</v>
      </c>
      <c r="K351" s="124"/>
    </row>
    <row r="352" customFormat="false" ht="13.5" hidden="false" customHeight="true" outlineLevel="0" collapsed="false">
      <c r="A352" s="175" t="n">
        <v>46185</v>
      </c>
      <c r="B352" s="129" t="str">
        <f aca="false">TEXT(A352,"mmm/aaaa")</f>
        <v>Sivan/Friday</v>
      </c>
      <c r="C352" s="129" t="s">
        <v>36</v>
      </c>
      <c r="D352" s="129" t="s">
        <v>676</v>
      </c>
      <c r="E352" s="129" t="s">
        <v>12</v>
      </c>
      <c r="F352" s="176" t="n">
        <v>1</v>
      </c>
      <c r="G352" s="129" t="s">
        <v>179</v>
      </c>
      <c r="H352" s="131" t="n">
        <v>3.19</v>
      </c>
      <c r="I352" s="131" t="n">
        <f aca="false">IFERROR(H352/F352,0)</f>
        <v>3.19</v>
      </c>
      <c r="J352" s="129" t="s">
        <v>1179</v>
      </c>
      <c r="K352" s="129"/>
    </row>
    <row r="353" customFormat="false" ht="13.5" hidden="false" customHeight="true" outlineLevel="0" collapsed="false">
      <c r="A353" s="177" t="n">
        <v>46185</v>
      </c>
      <c r="B353" s="124" t="str">
        <f aca="false">TEXT(A353,"mmm/aaaa")</f>
        <v>Sivan/Friday</v>
      </c>
      <c r="C353" s="124" t="s">
        <v>36</v>
      </c>
      <c r="D353" s="124" t="s">
        <v>351</v>
      </c>
      <c r="E353" s="124" t="s">
        <v>12</v>
      </c>
      <c r="F353" s="178" t="n">
        <v>1</v>
      </c>
      <c r="G353" s="124" t="s">
        <v>179</v>
      </c>
      <c r="H353" s="126" t="n">
        <v>4.15</v>
      </c>
      <c r="I353" s="126" t="n">
        <f aca="false">IFERROR(H353/F353,0)</f>
        <v>4.15</v>
      </c>
      <c r="J353" s="124" t="s">
        <v>1179</v>
      </c>
      <c r="K353" s="124"/>
    </row>
    <row r="354" customFormat="false" ht="13.5" hidden="false" customHeight="true" outlineLevel="0" collapsed="false">
      <c r="A354" s="175" t="n">
        <v>46185</v>
      </c>
      <c r="B354" s="129" t="str">
        <f aca="false">TEXT(A354,"mmm/aaaa")</f>
        <v>Sivan/Friday</v>
      </c>
      <c r="C354" s="129" t="s">
        <v>36</v>
      </c>
      <c r="D354" s="129" t="s">
        <v>677</v>
      </c>
      <c r="E354" s="129" t="s">
        <v>12</v>
      </c>
      <c r="F354" s="176" t="n">
        <v>1</v>
      </c>
      <c r="G354" s="129" t="s">
        <v>179</v>
      </c>
      <c r="H354" s="131" t="n">
        <v>1.7</v>
      </c>
      <c r="I354" s="131" t="n">
        <f aca="false">IFERROR(H354/F354,0)</f>
        <v>1.7</v>
      </c>
      <c r="J354" s="129" t="s">
        <v>1179</v>
      </c>
      <c r="K354" s="129"/>
    </row>
    <row r="355" customFormat="false" ht="13.5" hidden="false" customHeight="true" outlineLevel="0" collapsed="false">
      <c r="A355" s="177" t="n">
        <v>46185</v>
      </c>
      <c r="B355" s="124" t="str">
        <f aca="false">TEXT(A355,"mmm/aaaa")</f>
        <v>Sivan/Friday</v>
      </c>
      <c r="C355" s="124" t="s">
        <v>36</v>
      </c>
      <c r="D355" s="124" t="s">
        <v>677</v>
      </c>
      <c r="E355" s="124" t="s">
        <v>12</v>
      </c>
      <c r="F355" s="178" t="n">
        <v>1</v>
      </c>
      <c r="G355" s="124" t="s">
        <v>179</v>
      </c>
      <c r="H355" s="126" t="n">
        <v>1.7</v>
      </c>
      <c r="I355" s="126" t="n">
        <f aca="false">IFERROR(H355/F355,0)</f>
        <v>1.7</v>
      </c>
      <c r="J355" s="124" t="s">
        <v>1179</v>
      </c>
      <c r="K355" s="124"/>
    </row>
    <row r="356" customFormat="false" ht="13.5" hidden="false" customHeight="true" outlineLevel="0" collapsed="false">
      <c r="A356" s="175" t="n">
        <v>46185</v>
      </c>
      <c r="B356" s="129" t="str">
        <f aca="false">TEXT(A356,"mmm/aaaa")</f>
        <v>Sivan/Friday</v>
      </c>
      <c r="C356" s="129" t="s">
        <v>36</v>
      </c>
      <c r="D356" s="129" t="s">
        <v>612</v>
      </c>
      <c r="E356" s="129" t="s">
        <v>12</v>
      </c>
      <c r="F356" s="176" t="n">
        <v>1</v>
      </c>
      <c r="G356" s="129" t="s">
        <v>179</v>
      </c>
      <c r="H356" s="131" t="n">
        <v>14.99</v>
      </c>
      <c r="I356" s="131" t="n">
        <f aca="false">IFERROR(H356/F356,0)</f>
        <v>14.99</v>
      </c>
      <c r="J356" s="129" t="s">
        <v>1179</v>
      </c>
      <c r="K356" s="129"/>
    </row>
    <row r="357" customFormat="false" ht="13.5" hidden="false" customHeight="true" outlineLevel="0" collapsed="false">
      <c r="A357" s="177" t="n">
        <v>46185</v>
      </c>
      <c r="B357" s="124" t="str">
        <f aca="false">TEXT(A357,"mmm/aaaa")</f>
        <v>Sivan/Friday</v>
      </c>
      <c r="C357" s="124" t="s">
        <v>36</v>
      </c>
      <c r="D357" s="124" t="s">
        <v>679</v>
      </c>
      <c r="E357" s="124" t="s">
        <v>12</v>
      </c>
      <c r="F357" s="178" t="n">
        <v>1</v>
      </c>
      <c r="G357" s="124" t="s">
        <v>179</v>
      </c>
      <c r="H357" s="126" t="n">
        <v>6.95</v>
      </c>
      <c r="I357" s="126" t="n">
        <f aca="false">IFERROR(H357/F357,0)</f>
        <v>6.95</v>
      </c>
      <c r="J357" s="124" t="s">
        <v>1179</v>
      </c>
      <c r="K357" s="124"/>
    </row>
    <row r="358" customFormat="false" ht="13.5" hidden="false" customHeight="true" outlineLevel="0" collapsed="false">
      <c r="A358" s="175" t="n">
        <v>46185</v>
      </c>
      <c r="B358" s="129" t="str">
        <f aca="false">TEXT(A358,"mmm/aaaa")</f>
        <v>Sivan/Friday</v>
      </c>
      <c r="C358" s="129" t="s">
        <v>36</v>
      </c>
      <c r="D358" s="129" t="s">
        <v>679</v>
      </c>
      <c r="E358" s="129" t="s">
        <v>12</v>
      </c>
      <c r="F358" s="176" t="n">
        <v>1</v>
      </c>
      <c r="G358" s="129" t="s">
        <v>179</v>
      </c>
      <c r="H358" s="131" t="n">
        <v>6.95</v>
      </c>
      <c r="I358" s="131" t="n">
        <f aca="false">IFERROR(H358/F358,0)</f>
        <v>6.95</v>
      </c>
      <c r="J358" s="129" t="s">
        <v>1179</v>
      </c>
      <c r="K358" s="129"/>
    </row>
    <row r="359" customFormat="false" ht="13.5" hidden="false" customHeight="true" outlineLevel="0" collapsed="false">
      <c r="A359" s="177" t="n">
        <v>46185</v>
      </c>
      <c r="B359" s="124" t="str">
        <f aca="false">TEXT(A359,"mmm/aaaa")</f>
        <v>Sivan/Friday</v>
      </c>
      <c r="C359" s="124" t="s">
        <v>36</v>
      </c>
      <c r="D359" s="124" t="s">
        <v>681</v>
      </c>
      <c r="E359" s="124" t="s">
        <v>12</v>
      </c>
      <c r="F359" s="178" t="n">
        <v>1</v>
      </c>
      <c r="G359" s="124" t="s">
        <v>179</v>
      </c>
      <c r="H359" s="126" t="n">
        <v>3.99</v>
      </c>
      <c r="I359" s="126" t="n">
        <f aca="false">IFERROR(H359/F359,0)</f>
        <v>3.99</v>
      </c>
      <c r="J359" s="124" t="s">
        <v>1179</v>
      </c>
      <c r="K359" s="124"/>
    </row>
    <row r="360" customFormat="false" ht="13.5" hidden="false" customHeight="true" outlineLevel="0" collapsed="false">
      <c r="A360" s="175" t="n">
        <v>46185</v>
      </c>
      <c r="B360" s="129" t="str">
        <f aca="false">TEXT(A360,"mmm/aaaa")</f>
        <v>Sivan/Friday</v>
      </c>
      <c r="C360" s="129" t="s">
        <v>36</v>
      </c>
      <c r="D360" s="129" t="s">
        <v>683</v>
      </c>
      <c r="E360" s="129" t="s">
        <v>12</v>
      </c>
      <c r="F360" s="176" t="n">
        <v>1</v>
      </c>
      <c r="G360" s="129" t="s">
        <v>179</v>
      </c>
      <c r="H360" s="131" t="n">
        <v>3.95</v>
      </c>
      <c r="I360" s="131" t="n">
        <f aca="false">IFERROR(H360/F360,0)</f>
        <v>3.95</v>
      </c>
      <c r="J360" s="129" t="s">
        <v>1179</v>
      </c>
      <c r="K360" s="129"/>
    </row>
    <row r="361" customFormat="false" ht="13.5" hidden="false" customHeight="true" outlineLevel="0" collapsed="false">
      <c r="A361" s="177" t="n">
        <v>46185</v>
      </c>
      <c r="B361" s="124" t="str">
        <f aca="false">TEXT(A361,"mmm/aaaa")</f>
        <v>Sivan/Friday</v>
      </c>
      <c r="C361" s="124" t="s">
        <v>36</v>
      </c>
      <c r="D361" s="124" t="s">
        <v>685</v>
      </c>
      <c r="E361" s="124" t="s">
        <v>12</v>
      </c>
      <c r="F361" s="178" t="n">
        <v>1</v>
      </c>
      <c r="G361" s="124" t="s">
        <v>179</v>
      </c>
      <c r="H361" s="126" t="n">
        <v>4.99</v>
      </c>
      <c r="I361" s="126" t="n">
        <f aca="false">IFERROR(H361/F361,0)</f>
        <v>4.99</v>
      </c>
      <c r="J361" s="124" t="s">
        <v>1179</v>
      </c>
      <c r="K361" s="124"/>
    </row>
    <row r="362" customFormat="false" ht="13.5" hidden="false" customHeight="true" outlineLevel="0" collapsed="false">
      <c r="A362" s="175" t="n">
        <v>46185</v>
      </c>
      <c r="B362" s="129" t="str">
        <f aca="false">TEXT(A362,"mmm/aaaa")</f>
        <v>Sivan/Friday</v>
      </c>
      <c r="C362" s="129" t="s">
        <v>36</v>
      </c>
      <c r="D362" s="129" t="s">
        <v>687</v>
      </c>
      <c r="E362" s="129" t="s">
        <v>18</v>
      </c>
      <c r="F362" s="176" t="n">
        <v>1</v>
      </c>
      <c r="G362" s="129" t="s">
        <v>179</v>
      </c>
      <c r="H362" s="131" t="n">
        <v>7.4</v>
      </c>
      <c r="I362" s="131" t="n">
        <f aca="false">IFERROR(H362/F362,0)</f>
        <v>7.4</v>
      </c>
      <c r="J362" s="129" t="s">
        <v>1179</v>
      </c>
      <c r="K362" s="129"/>
    </row>
    <row r="363" customFormat="false" ht="13.5" hidden="false" customHeight="true" outlineLevel="0" collapsed="false">
      <c r="A363" s="177" t="n">
        <v>46185</v>
      </c>
      <c r="B363" s="124" t="str">
        <f aca="false">TEXT(A363,"mmm/aaaa")</f>
        <v>Sivan/Friday</v>
      </c>
      <c r="C363" s="124" t="s">
        <v>36</v>
      </c>
      <c r="D363" s="124" t="s">
        <v>689</v>
      </c>
      <c r="E363" s="124" t="s">
        <v>12</v>
      </c>
      <c r="F363" s="178" t="n">
        <v>1</v>
      </c>
      <c r="G363" s="124" t="s">
        <v>179</v>
      </c>
      <c r="H363" s="126" t="n">
        <v>7.7</v>
      </c>
      <c r="I363" s="126" t="n">
        <f aca="false">IFERROR(H363/F363,0)</f>
        <v>7.7</v>
      </c>
      <c r="J363" s="124" t="s">
        <v>1179</v>
      </c>
      <c r="K363" s="124"/>
    </row>
    <row r="364" customFormat="false" ht="13.5" hidden="false" customHeight="true" outlineLevel="0" collapsed="false">
      <c r="A364" s="175" t="n">
        <v>46185</v>
      </c>
      <c r="B364" s="129" t="str">
        <f aca="false">TEXT(A364,"mmm/aaaa")</f>
        <v>Sivan/Friday</v>
      </c>
      <c r="C364" s="129" t="s">
        <v>36</v>
      </c>
      <c r="D364" s="129" t="s">
        <v>248</v>
      </c>
      <c r="E364" s="129" t="s">
        <v>12</v>
      </c>
      <c r="F364" s="176" t="n">
        <v>1</v>
      </c>
      <c r="G364" s="129" t="s">
        <v>179</v>
      </c>
      <c r="H364" s="131" t="n">
        <v>5.45</v>
      </c>
      <c r="I364" s="131" t="n">
        <f aca="false">IFERROR(H364/F364,0)</f>
        <v>5.45</v>
      </c>
      <c r="J364" s="129" t="s">
        <v>1179</v>
      </c>
      <c r="K364" s="129"/>
    </row>
    <row r="365" customFormat="false" ht="13.5" hidden="false" customHeight="true" outlineLevel="0" collapsed="false">
      <c r="A365" s="177" t="n">
        <v>46185</v>
      </c>
      <c r="B365" s="124" t="str">
        <f aca="false">TEXT(A365,"mmm/aaaa")</f>
        <v>Sivan/Friday</v>
      </c>
      <c r="C365" s="124" t="s">
        <v>36</v>
      </c>
      <c r="D365" s="124" t="s">
        <v>691</v>
      </c>
      <c r="E365" s="124" t="s">
        <v>12</v>
      </c>
      <c r="F365" s="178" t="n">
        <v>1</v>
      </c>
      <c r="G365" s="124" t="s">
        <v>179</v>
      </c>
      <c r="H365" s="126" t="n">
        <v>9.5</v>
      </c>
      <c r="I365" s="126" t="n">
        <f aca="false">IFERROR(H365/F365,0)</f>
        <v>9.5</v>
      </c>
      <c r="J365" s="124" t="s">
        <v>1179</v>
      </c>
      <c r="K365" s="124"/>
    </row>
    <row r="366" customFormat="false" ht="13.5" hidden="false" customHeight="true" outlineLevel="0" collapsed="false">
      <c r="A366" s="175" t="n">
        <v>46185</v>
      </c>
      <c r="B366" s="129" t="str">
        <f aca="false">TEXT(A366,"mmm/aaaa")</f>
        <v>Sivan/Friday</v>
      </c>
      <c r="C366" s="129" t="s">
        <v>36</v>
      </c>
      <c r="D366" s="129" t="s">
        <v>405</v>
      </c>
      <c r="E366" s="129" t="s">
        <v>12</v>
      </c>
      <c r="F366" s="176" t="n">
        <v>1</v>
      </c>
      <c r="G366" s="129" t="s">
        <v>179</v>
      </c>
      <c r="H366" s="131" t="n">
        <v>3.9</v>
      </c>
      <c r="I366" s="131" t="n">
        <f aca="false">IFERROR(H366/F366,0)</f>
        <v>3.9</v>
      </c>
      <c r="J366" s="129" t="s">
        <v>1179</v>
      </c>
      <c r="K366" s="129"/>
    </row>
    <row r="367" customFormat="false" ht="13.5" hidden="false" customHeight="true" outlineLevel="0" collapsed="false">
      <c r="A367" s="177" t="n">
        <v>46185</v>
      </c>
      <c r="B367" s="124" t="str">
        <f aca="false">TEXT(A367,"mmm/aaaa")</f>
        <v>Sivan/Friday</v>
      </c>
      <c r="C367" s="124" t="s">
        <v>36</v>
      </c>
      <c r="D367" s="124" t="s">
        <v>368</v>
      </c>
      <c r="E367" s="124" t="s">
        <v>18</v>
      </c>
      <c r="F367" s="178" t="n">
        <v>1</v>
      </c>
      <c r="G367" s="124" t="s">
        <v>179</v>
      </c>
      <c r="H367" s="126" t="n">
        <v>2.69</v>
      </c>
      <c r="I367" s="126" t="n">
        <f aca="false">IFERROR(H367/F367,0)</f>
        <v>2.69</v>
      </c>
      <c r="J367" s="124" t="s">
        <v>1179</v>
      </c>
      <c r="K367" s="124"/>
    </row>
    <row r="368" customFormat="false" ht="13.5" hidden="false" customHeight="true" outlineLevel="0" collapsed="false">
      <c r="A368" s="175" t="n">
        <v>46185</v>
      </c>
      <c r="B368" s="129" t="str">
        <f aca="false">TEXT(A368,"mmm/aaaa")</f>
        <v>Sivan/Friday</v>
      </c>
      <c r="C368" s="129" t="s">
        <v>36</v>
      </c>
      <c r="D368" s="129" t="s">
        <v>250</v>
      </c>
      <c r="E368" s="129" t="s">
        <v>13</v>
      </c>
      <c r="F368" s="176" t="n">
        <v>4</v>
      </c>
      <c r="G368" s="129" t="s">
        <v>179</v>
      </c>
      <c r="H368" s="131" t="n">
        <v>8.4</v>
      </c>
      <c r="I368" s="131" t="n">
        <f aca="false">IFERROR(H368/F368,0)</f>
        <v>2.1</v>
      </c>
      <c r="J368" s="129" t="s">
        <v>1179</v>
      </c>
      <c r="K368" s="129"/>
    </row>
    <row r="369" customFormat="false" ht="13.5" hidden="false" customHeight="true" outlineLevel="0" collapsed="false">
      <c r="A369" s="177" t="n">
        <v>46185</v>
      </c>
      <c r="B369" s="124" t="str">
        <f aca="false">TEXT(A369,"mmm/aaaa")</f>
        <v>Sivan/Friday</v>
      </c>
      <c r="C369" s="124" t="s">
        <v>36</v>
      </c>
      <c r="D369" s="124" t="s">
        <v>252</v>
      </c>
      <c r="E369" s="124" t="s">
        <v>14</v>
      </c>
      <c r="F369" s="178" t="n">
        <v>0.298</v>
      </c>
      <c r="G369" s="124" t="s">
        <v>176</v>
      </c>
      <c r="H369" s="126" t="n">
        <v>13.41</v>
      </c>
      <c r="I369" s="126" t="n">
        <f aca="false">IFERROR(H369/F369,0)</f>
        <v>45</v>
      </c>
      <c r="J369" s="124" t="s">
        <v>1179</v>
      </c>
      <c r="K369" s="124"/>
    </row>
    <row r="370" customFormat="false" ht="13.5" hidden="false" customHeight="true" outlineLevel="0" collapsed="false">
      <c r="A370" s="175" t="n">
        <v>46185</v>
      </c>
      <c r="B370" s="129" t="str">
        <f aca="false">TEXT(A370,"mmm/aaaa")</f>
        <v>Sivan/Friday</v>
      </c>
      <c r="C370" s="129" t="s">
        <v>36</v>
      </c>
      <c r="D370" s="129" t="s">
        <v>693</v>
      </c>
      <c r="E370" s="129" t="s">
        <v>12</v>
      </c>
      <c r="F370" s="176" t="n">
        <v>1</v>
      </c>
      <c r="G370" s="129" t="s">
        <v>179</v>
      </c>
      <c r="H370" s="131" t="n">
        <v>3.1</v>
      </c>
      <c r="I370" s="131" t="n">
        <f aca="false">IFERROR(H370/F370,0)</f>
        <v>3.1</v>
      </c>
      <c r="J370" s="129" t="s">
        <v>1179</v>
      </c>
      <c r="K370" s="129"/>
    </row>
    <row r="371" customFormat="false" ht="13.5" hidden="false" customHeight="true" outlineLevel="0" collapsed="false">
      <c r="A371" s="177" t="n">
        <v>46185</v>
      </c>
      <c r="B371" s="124" t="str">
        <f aca="false">TEXT(A371,"mmm/aaaa")</f>
        <v>Sivan/Friday</v>
      </c>
      <c r="C371" s="124" t="s">
        <v>36</v>
      </c>
      <c r="D371" s="124" t="s">
        <v>693</v>
      </c>
      <c r="E371" s="124" t="s">
        <v>12</v>
      </c>
      <c r="F371" s="178" t="n">
        <v>1</v>
      </c>
      <c r="G371" s="124" t="s">
        <v>179</v>
      </c>
      <c r="H371" s="126" t="n">
        <v>3.1</v>
      </c>
      <c r="I371" s="126" t="n">
        <f aca="false">IFERROR(H371/F371,0)</f>
        <v>3.1</v>
      </c>
      <c r="J371" s="124" t="s">
        <v>1179</v>
      </c>
      <c r="K371" s="124"/>
    </row>
    <row r="372" customFormat="false" ht="13.5" hidden="false" customHeight="true" outlineLevel="0" collapsed="false">
      <c r="A372" s="175" t="n">
        <v>46185</v>
      </c>
      <c r="B372" s="129" t="str">
        <f aca="false">TEXT(A372,"mmm/aaaa")</f>
        <v>Sivan/Friday</v>
      </c>
      <c r="C372" s="129" t="s">
        <v>36</v>
      </c>
      <c r="D372" s="129" t="s">
        <v>398</v>
      </c>
      <c r="E372" s="129" t="s">
        <v>14</v>
      </c>
      <c r="F372" s="176" t="n">
        <v>0.472</v>
      </c>
      <c r="G372" s="129" t="s">
        <v>176</v>
      </c>
      <c r="H372" s="131" t="n">
        <v>7.03</v>
      </c>
      <c r="I372" s="131" t="n">
        <f aca="false">IFERROR(H372/F372,0)</f>
        <v>14.8940677966102</v>
      </c>
      <c r="J372" s="129" t="s">
        <v>1179</v>
      </c>
      <c r="K372" s="129"/>
    </row>
    <row r="373" customFormat="false" ht="13.5" hidden="false" customHeight="true" outlineLevel="0" collapsed="false">
      <c r="A373" s="177" t="n">
        <v>46185</v>
      </c>
      <c r="B373" s="124" t="str">
        <f aca="false">TEXT(A373,"mmm/aaaa")</f>
        <v>Sivan/Friday</v>
      </c>
      <c r="C373" s="124" t="s">
        <v>36</v>
      </c>
      <c r="D373" s="124" t="s">
        <v>261</v>
      </c>
      <c r="E373" s="124" t="s">
        <v>12</v>
      </c>
      <c r="F373" s="178" t="n">
        <v>1</v>
      </c>
      <c r="G373" s="124" t="s">
        <v>179</v>
      </c>
      <c r="H373" s="126" t="n">
        <v>10.2</v>
      </c>
      <c r="I373" s="126" t="n">
        <f aca="false">IFERROR(H373/F373,0)</f>
        <v>10.2</v>
      </c>
      <c r="J373" s="124" t="s">
        <v>1179</v>
      </c>
      <c r="K373" s="124"/>
    </row>
    <row r="374" customFormat="false" ht="13.5" hidden="false" customHeight="true" outlineLevel="0" collapsed="false">
      <c r="A374" s="175" t="n">
        <v>46185</v>
      </c>
      <c r="B374" s="129" t="str">
        <f aca="false">TEXT(A374,"mmm/aaaa")</f>
        <v>Sivan/Friday</v>
      </c>
      <c r="C374" s="129" t="s">
        <v>36</v>
      </c>
      <c r="D374" s="129" t="s">
        <v>695</v>
      </c>
      <c r="E374" s="129" t="s">
        <v>12</v>
      </c>
      <c r="F374" s="176" t="n">
        <v>1</v>
      </c>
      <c r="G374" s="129" t="s">
        <v>179</v>
      </c>
      <c r="H374" s="131" t="n">
        <v>6.2</v>
      </c>
      <c r="I374" s="131" t="n">
        <f aca="false">IFERROR(H374/F374,0)</f>
        <v>6.2</v>
      </c>
      <c r="J374" s="129" t="s">
        <v>1179</v>
      </c>
      <c r="K374" s="129"/>
    </row>
    <row r="375" customFormat="false" ht="13.5" hidden="false" customHeight="true" outlineLevel="0" collapsed="false">
      <c r="A375" s="177" t="n">
        <v>46185</v>
      </c>
      <c r="B375" s="124" t="str">
        <f aca="false">TEXT(A375,"mmm/aaaa")</f>
        <v>Sivan/Friday</v>
      </c>
      <c r="C375" s="124" t="s">
        <v>36</v>
      </c>
      <c r="D375" s="124" t="s">
        <v>697</v>
      </c>
      <c r="E375" s="124" t="s">
        <v>18</v>
      </c>
      <c r="F375" s="178" t="n">
        <v>1</v>
      </c>
      <c r="G375" s="124" t="s">
        <v>179</v>
      </c>
      <c r="H375" s="126" t="n">
        <v>11.3</v>
      </c>
      <c r="I375" s="126" t="n">
        <f aca="false">IFERROR(H375/F375,0)</f>
        <v>11.3</v>
      </c>
      <c r="J375" s="124" t="s">
        <v>1179</v>
      </c>
      <c r="K375" s="124"/>
    </row>
    <row r="376" customFormat="false" ht="13.5" hidden="false" customHeight="true" outlineLevel="0" collapsed="false">
      <c r="A376" s="175" t="n">
        <v>46185</v>
      </c>
      <c r="B376" s="129" t="str">
        <f aca="false">TEXT(A376,"mmm/aaaa")</f>
        <v>Sivan/Friday</v>
      </c>
      <c r="C376" s="129" t="s">
        <v>36</v>
      </c>
      <c r="D376" s="129" t="s">
        <v>268</v>
      </c>
      <c r="E376" s="129" t="s">
        <v>12</v>
      </c>
      <c r="F376" s="176" t="n">
        <v>1</v>
      </c>
      <c r="G376" s="129" t="s">
        <v>179</v>
      </c>
      <c r="H376" s="131" t="n">
        <v>16.5</v>
      </c>
      <c r="I376" s="131" t="n">
        <f aca="false">IFERROR(H376/F376,0)</f>
        <v>16.5</v>
      </c>
      <c r="J376" s="129" t="s">
        <v>1179</v>
      </c>
      <c r="K376" s="129"/>
    </row>
    <row r="377" customFormat="false" ht="13.5" hidden="false" customHeight="true" outlineLevel="0" collapsed="false">
      <c r="A377" s="177" t="n">
        <v>46185</v>
      </c>
      <c r="B377" s="124" t="str">
        <f aca="false">TEXT(A377,"mmm/aaaa")</f>
        <v>Sivan/Friday</v>
      </c>
      <c r="C377" s="124" t="s">
        <v>36</v>
      </c>
      <c r="D377" s="124" t="s">
        <v>700</v>
      </c>
      <c r="E377" s="124" t="s">
        <v>15</v>
      </c>
      <c r="F377" s="178" t="n">
        <v>1</v>
      </c>
      <c r="G377" s="124" t="s">
        <v>179</v>
      </c>
      <c r="H377" s="126" t="n">
        <v>6.3</v>
      </c>
      <c r="I377" s="126" t="n">
        <f aca="false">IFERROR(H377/F377,0)</f>
        <v>6.3</v>
      </c>
      <c r="J377" s="124" t="s">
        <v>1179</v>
      </c>
      <c r="K377" s="124"/>
    </row>
    <row r="378" customFormat="false" ht="13.5" hidden="false" customHeight="true" outlineLevel="0" collapsed="false">
      <c r="A378" s="175" t="n">
        <v>46185</v>
      </c>
      <c r="B378" s="129" t="str">
        <f aca="false">TEXT(A378,"mmm/aaaa")</f>
        <v>Sivan/Friday</v>
      </c>
      <c r="C378" s="129" t="s">
        <v>36</v>
      </c>
      <c r="D378" s="129" t="s">
        <v>229</v>
      </c>
      <c r="E378" s="129" t="s">
        <v>13</v>
      </c>
      <c r="F378" s="176" t="n">
        <v>1</v>
      </c>
      <c r="G378" s="129" t="s">
        <v>179</v>
      </c>
      <c r="H378" s="131" t="n">
        <v>6.5</v>
      </c>
      <c r="I378" s="131" t="n">
        <f aca="false">IFERROR(H378/F378,0)</f>
        <v>6.5</v>
      </c>
      <c r="J378" s="129" t="s">
        <v>1179</v>
      </c>
      <c r="K378" s="129"/>
    </row>
    <row r="379" customFormat="false" ht="13.5" hidden="false" customHeight="true" outlineLevel="0" collapsed="false">
      <c r="A379" s="177" t="n">
        <v>46185</v>
      </c>
      <c r="B379" s="124" t="str">
        <f aca="false">TEXT(A379,"mmm/aaaa")</f>
        <v>Sivan/Friday</v>
      </c>
      <c r="C379" s="124" t="s">
        <v>36</v>
      </c>
      <c r="D379" s="124" t="s">
        <v>600</v>
      </c>
      <c r="E379" s="124" t="s">
        <v>13</v>
      </c>
      <c r="F379" s="178" t="n">
        <v>0.434</v>
      </c>
      <c r="G379" s="124" t="s">
        <v>176</v>
      </c>
      <c r="H379" s="126" t="n">
        <v>16.93</v>
      </c>
      <c r="I379" s="126" t="n">
        <f aca="false">IFERROR(H379/F379,0)</f>
        <v>39.0092165898618</v>
      </c>
      <c r="J379" s="124" t="s">
        <v>1179</v>
      </c>
      <c r="K379" s="124"/>
    </row>
    <row r="380" customFormat="false" ht="13.5" hidden="false" customHeight="true" outlineLevel="0" collapsed="false">
      <c r="A380" s="175" t="n">
        <v>46185</v>
      </c>
      <c r="B380" s="129" t="str">
        <f aca="false">TEXT(A380,"mmm/aaaa")</f>
        <v>Sivan/Friday</v>
      </c>
      <c r="C380" s="129" t="s">
        <v>36</v>
      </c>
      <c r="D380" s="129" t="s">
        <v>231</v>
      </c>
      <c r="E380" s="129" t="s">
        <v>13</v>
      </c>
      <c r="F380" s="176" t="n">
        <v>1</v>
      </c>
      <c r="G380" s="129" t="s">
        <v>179</v>
      </c>
      <c r="H380" s="131" t="n">
        <v>6.65</v>
      </c>
      <c r="I380" s="131" t="n">
        <f aca="false">IFERROR(H380/F380,0)</f>
        <v>6.65</v>
      </c>
      <c r="J380" s="129" t="s">
        <v>1179</v>
      </c>
      <c r="K380" s="129"/>
    </row>
    <row r="381" customFormat="false" ht="13.5" hidden="false" customHeight="true" outlineLevel="0" collapsed="false">
      <c r="A381" s="177" t="n">
        <v>46185</v>
      </c>
      <c r="B381" s="124" t="str">
        <f aca="false">TEXT(A381,"mmm/aaaa")</f>
        <v>Sivan/Friday</v>
      </c>
      <c r="C381" s="124" t="s">
        <v>36</v>
      </c>
      <c r="D381" s="124" t="s">
        <v>231</v>
      </c>
      <c r="E381" s="124" t="s">
        <v>13</v>
      </c>
      <c r="F381" s="178" t="n">
        <v>1</v>
      </c>
      <c r="G381" s="124" t="s">
        <v>179</v>
      </c>
      <c r="H381" s="126" t="n">
        <v>6.65</v>
      </c>
      <c r="I381" s="126" t="n">
        <f aca="false">IFERROR(H381/F381,0)</f>
        <v>6.65</v>
      </c>
      <c r="J381" s="124" t="s">
        <v>1179</v>
      </c>
      <c r="K381" s="124"/>
    </row>
    <row r="382" customFormat="false" ht="13.5" hidden="false" customHeight="true" outlineLevel="0" collapsed="false">
      <c r="A382" s="175" t="n">
        <v>46185</v>
      </c>
      <c r="B382" s="129" t="str">
        <f aca="false">TEXT(A382,"mmm/aaaa")</f>
        <v>Sivan/Friday</v>
      </c>
      <c r="C382" s="129" t="s">
        <v>36</v>
      </c>
      <c r="D382" s="129" t="s">
        <v>703</v>
      </c>
      <c r="E382" s="129" t="s">
        <v>17</v>
      </c>
      <c r="F382" s="176" t="n">
        <v>0.314</v>
      </c>
      <c r="G382" s="129" t="s">
        <v>176</v>
      </c>
      <c r="H382" s="131" t="n">
        <v>24.46</v>
      </c>
      <c r="I382" s="131" t="n">
        <f aca="false">IFERROR(H382/F382,0)</f>
        <v>77.8980891719745</v>
      </c>
      <c r="J382" s="129" t="s">
        <v>1179</v>
      </c>
      <c r="K382" s="129"/>
    </row>
    <row r="383" customFormat="false" ht="13.5" hidden="false" customHeight="true" outlineLevel="0" collapsed="false">
      <c r="A383" s="177" t="n">
        <v>46185</v>
      </c>
      <c r="B383" s="124" t="str">
        <f aca="false">TEXT(A383,"mmm/aaaa")</f>
        <v>Sivan/Friday</v>
      </c>
      <c r="C383" s="124" t="s">
        <v>36</v>
      </c>
      <c r="D383" s="124" t="s">
        <v>705</v>
      </c>
      <c r="E383" s="124" t="s">
        <v>17</v>
      </c>
      <c r="F383" s="178" t="n">
        <v>1</v>
      </c>
      <c r="G383" s="124" t="s">
        <v>179</v>
      </c>
      <c r="H383" s="126" t="n">
        <v>16.95</v>
      </c>
      <c r="I383" s="126" t="n">
        <f aca="false">IFERROR(H383/F383,0)</f>
        <v>16.95</v>
      </c>
      <c r="J383" s="124" t="s">
        <v>1179</v>
      </c>
      <c r="K383" s="124"/>
    </row>
    <row r="384" customFormat="false" ht="13.5" hidden="false" customHeight="true" outlineLevel="0" collapsed="false">
      <c r="A384" s="175" t="n">
        <v>46185</v>
      </c>
      <c r="B384" s="129" t="str">
        <f aca="false">TEXT(A384,"mmm/aaaa")</f>
        <v>Sivan/Friday</v>
      </c>
      <c r="C384" s="129" t="s">
        <v>36</v>
      </c>
      <c r="D384" s="129" t="s">
        <v>707</v>
      </c>
      <c r="E384" s="129" t="s">
        <v>18</v>
      </c>
      <c r="F384" s="176" t="n">
        <v>1</v>
      </c>
      <c r="G384" s="129" t="s">
        <v>179</v>
      </c>
      <c r="H384" s="131" t="n">
        <v>8.99</v>
      </c>
      <c r="I384" s="131" t="n">
        <f aca="false">IFERROR(H384/F384,0)</f>
        <v>8.99</v>
      </c>
      <c r="J384" s="129" t="s">
        <v>1179</v>
      </c>
      <c r="K384" s="129"/>
    </row>
    <row r="385" customFormat="false" ht="13.5" hidden="false" customHeight="true" outlineLevel="0" collapsed="false">
      <c r="A385" s="177" t="n">
        <v>46185</v>
      </c>
      <c r="B385" s="124" t="str">
        <f aca="false">TEXT(A385,"mmm/aaaa")</f>
        <v>Sivan/Friday</v>
      </c>
      <c r="C385" s="124" t="s">
        <v>36</v>
      </c>
      <c r="D385" s="124" t="s">
        <v>709</v>
      </c>
      <c r="E385" s="124" t="s">
        <v>13</v>
      </c>
      <c r="F385" s="178" t="n">
        <v>1</v>
      </c>
      <c r="G385" s="124" t="s">
        <v>179</v>
      </c>
      <c r="H385" s="126" t="n">
        <v>16.5</v>
      </c>
      <c r="I385" s="126" t="n">
        <f aca="false">IFERROR(H385/F385,0)</f>
        <v>16.5</v>
      </c>
      <c r="J385" s="124" t="s">
        <v>1179</v>
      </c>
      <c r="K385" s="124"/>
    </row>
    <row r="386" customFormat="false" ht="13.5" hidden="false" customHeight="true" outlineLevel="0" collapsed="false">
      <c r="A386" s="175" t="n">
        <v>46185</v>
      </c>
      <c r="B386" s="129" t="str">
        <f aca="false">TEXT(A386,"mmm/aaaa")</f>
        <v>Sivan/Friday</v>
      </c>
      <c r="C386" s="129" t="s">
        <v>36</v>
      </c>
      <c r="D386" s="129" t="s">
        <v>572</v>
      </c>
      <c r="E386" s="129" t="s">
        <v>18</v>
      </c>
      <c r="F386" s="176" t="n">
        <v>1</v>
      </c>
      <c r="G386" s="129" t="s">
        <v>179</v>
      </c>
      <c r="H386" s="131" t="n">
        <v>4.49</v>
      </c>
      <c r="I386" s="131" t="n">
        <f aca="false">IFERROR(H386/F386,0)</f>
        <v>4.49</v>
      </c>
      <c r="J386" s="129" t="s">
        <v>1179</v>
      </c>
      <c r="K386" s="129"/>
    </row>
    <row r="387" customFormat="false" ht="13.5" hidden="false" customHeight="true" outlineLevel="0" collapsed="false">
      <c r="A387" s="177" t="n">
        <v>46185</v>
      </c>
      <c r="B387" s="124" t="str">
        <f aca="false">TEXT(A387,"mmm/aaaa")</f>
        <v>Sivan/Friday</v>
      </c>
      <c r="C387" s="124" t="s">
        <v>36</v>
      </c>
      <c r="D387" s="124" t="s">
        <v>711</v>
      </c>
      <c r="E387" s="124" t="s">
        <v>18</v>
      </c>
      <c r="F387" s="178" t="n">
        <v>1</v>
      </c>
      <c r="G387" s="124" t="s">
        <v>179</v>
      </c>
      <c r="H387" s="126" t="n">
        <v>17.4</v>
      </c>
      <c r="I387" s="126" t="n">
        <f aca="false">IFERROR(H387/F387,0)</f>
        <v>17.4</v>
      </c>
      <c r="J387" s="124" t="s">
        <v>1179</v>
      </c>
      <c r="K387" s="124"/>
    </row>
    <row r="388" customFormat="false" ht="13.5" hidden="false" customHeight="true" outlineLevel="0" collapsed="false">
      <c r="A388" s="175" t="n">
        <v>46185</v>
      </c>
      <c r="B388" s="129" t="str">
        <f aca="false">TEXT(A388,"mmm/aaaa")</f>
        <v>Sivan/Friday</v>
      </c>
      <c r="C388" s="129" t="s">
        <v>36</v>
      </c>
      <c r="D388" s="129" t="s">
        <v>713</v>
      </c>
      <c r="E388" s="129" t="s">
        <v>19</v>
      </c>
      <c r="F388" s="176" t="n">
        <v>1</v>
      </c>
      <c r="G388" s="129" t="s">
        <v>179</v>
      </c>
      <c r="H388" s="131" t="n">
        <v>3.09</v>
      </c>
      <c r="I388" s="131" t="n">
        <f aca="false">IFERROR(H388/F388,0)</f>
        <v>3.09</v>
      </c>
      <c r="J388" s="129" t="s">
        <v>1179</v>
      </c>
      <c r="K388" s="129"/>
    </row>
    <row r="389" customFormat="false" ht="13.5" hidden="false" customHeight="true" outlineLevel="0" collapsed="false">
      <c r="A389" s="177" t="n">
        <v>46185</v>
      </c>
      <c r="B389" s="124" t="str">
        <f aca="false">TEXT(A389,"mmm/aaaa")</f>
        <v>Sivan/Friday</v>
      </c>
      <c r="C389" s="124" t="s">
        <v>36</v>
      </c>
      <c r="D389" s="124" t="s">
        <v>411</v>
      </c>
      <c r="E389" s="124" t="s">
        <v>19</v>
      </c>
      <c r="F389" s="178" t="n">
        <v>1</v>
      </c>
      <c r="G389" s="124" t="s">
        <v>179</v>
      </c>
      <c r="H389" s="126" t="n">
        <v>4.8</v>
      </c>
      <c r="I389" s="126" t="n">
        <f aca="false">IFERROR(H389/F389,0)</f>
        <v>4.8</v>
      </c>
      <c r="J389" s="124" t="s">
        <v>1179</v>
      </c>
      <c r="K389" s="124"/>
    </row>
    <row r="390" customFormat="false" ht="13.5" hidden="false" customHeight="true" outlineLevel="0" collapsed="false">
      <c r="A390" s="175" t="n">
        <v>46185</v>
      </c>
      <c r="B390" s="129" t="str">
        <f aca="false">TEXT(A390,"mmm/aaaa")</f>
        <v>Sivan/Friday</v>
      </c>
      <c r="C390" s="129" t="s">
        <v>36</v>
      </c>
      <c r="D390" s="129" t="s">
        <v>419</v>
      </c>
      <c r="E390" s="129" t="s">
        <v>19</v>
      </c>
      <c r="F390" s="176" t="n">
        <v>1</v>
      </c>
      <c r="G390" s="129" t="s">
        <v>179</v>
      </c>
      <c r="H390" s="131" t="n">
        <v>3.9</v>
      </c>
      <c r="I390" s="131" t="n">
        <f aca="false">IFERROR(H390/F390,0)</f>
        <v>3.9</v>
      </c>
      <c r="J390" s="129" t="s">
        <v>1179</v>
      </c>
      <c r="K390" s="129"/>
    </row>
    <row r="391" customFormat="false" ht="13.5" hidden="false" customHeight="true" outlineLevel="0" collapsed="false">
      <c r="A391" s="177" t="n">
        <v>46185</v>
      </c>
      <c r="B391" s="124" t="str">
        <f aca="false">TEXT(A391,"mmm/aaaa")</f>
        <v>Sivan/Friday</v>
      </c>
      <c r="C391" s="124" t="s">
        <v>36</v>
      </c>
      <c r="D391" s="124" t="s">
        <v>421</v>
      </c>
      <c r="E391" s="124" t="s">
        <v>18</v>
      </c>
      <c r="F391" s="178" t="n">
        <v>1</v>
      </c>
      <c r="G391" s="124" t="s">
        <v>179</v>
      </c>
      <c r="H391" s="126" t="n">
        <v>12.9</v>
      </c>
      <c r="I391" s="126" t="n">
        <f aca="false">IFERROR(H391/F391,0)</f>
        <v>12.9</v>
      </c>
      <c r="J391" s="124" t="s">
        <v>1179</v>
      </c>
      <c r="K391" s="124"/>
    </row>
    <row r="392" customFormat="false" ht="13.5" hidden="false" customHeight="true" outlineLevel="0" collapsed="false">
      <c r="A392" s="175" t="n">
        <v>46185</v>
      </c>
      <c r="B392" s="129" t="str">
        <f aca="false">TEXT(A392,"mmm/aaaa")</f>
        <v>Sivan/Friday</v>
      </c>
      <c r="C392" s="129" t="s">
        <v>36</v>
      </c>
      <c r="D392" s="129" t="s">
        <v>716</v>
      </c>
      <c r="E392" s="129" t="s">
        <v>14</v>
      </c>
      <c r="F392" s="176" t="n">
        <v>2</v>
      </c>
      <c r="G392" s="129" t="s">
        <v>179</v>
      </c>
      <c r="H392" s="131" t="n">
        <v>15</v>
      </c>
      <c r="I392" s="131" t="n">
        <f aca="false">IFERROR(H392/F392,0)</f>
        <v>7.5</v>
      </c>
      <c r="J392" s="129" t="s">
        <v>1179</v>
      </c>
      <c r="K392" s="129"/>
    </row>
    <row r="393" customFormat="false" ht="13.5" hidden="false" customHeight="true" outlineLevel="0" collapsed="false">
      <c r="A393" s="175" t="n">
        <v>46189</v>
      </c>
      <c r="B393" s="129" t="str">
        <f aca="false">TEXT(A393,"mmm/aaaa")</f>
        <v>Tammuz/Tuesday</v>
      </c>
      <c r="C393" s="129" t="s">
        <v>38</v>
      </c>
      <c r="D393" s="129" t="s">
        <v>481</v>
      </c>
      <c r="E393" s="129" t="s">
        <v>15</v>
      </c>
      <c r="F393" s="176" t="n">
        <v>0.818</v>
      </c>
      <c r="G393" s="129" t="s">
        <v>176</v>
      </c>
      <c r="H393" s="131" t="n">
        <v>9.8</v>
      </c>
      <c r="I393" s="131"/>
      <c r="J393" s="129" t="s">
        <v>1180</v>
      </c>
      <c r="K393" s="129"/>
    </row>
    <row r="394" customFormat="false" ht="13.5" hidden="false" customHeight="true" outlineLevel="0" collapsed="false">
      <c r="A394" s="175" t="n">
        <v>46189</v>
      </c>
      <c r="B394" s="129" t="str">
        <f aca="false">TEXT(A394,"mmm/aaaa")</f>
        <v>Tammuz/Tuesday</v>
      </c>
      <c r="C394" s="129" t="s">
        <v>38</v>
      </c>
      <c r="D394" s="129" t="s">
        <v>483</v>
      </c>
      <c r="E394" s="129" t="s">
        <v>15</v>
      </c>
      <c r="F394" s="176" t="n">
        <v>0.664</v>
      </c>
      <c r="G394" s="129" t="s">
        <v>176</v>
      </c>
      <c r="H394" s="131" t="n">
        <v>2.31</v>
      </c>
      <c r="I394" s="131"/>
      <c r="J394" s="129" t="s">
        <v>1180</v>
      </c>
      <c r="K394" s="129"/>
    </row>
    <row r="395" customFormat="false" ht="13.5" hidden="false" customHeight="true" outlineLevel="0" collapsed="false">
      <c r="A395" s="175" t="n">
        <v>46189</v>
      </c>
      <c r="B395" s="129" t="str">
        <f aca="false">TEXT(A395,"mmm/aaaa")</f>
        <v>Tammuz/Tuesday</v>
      </c>
      <c r="C395" s="129" t="s">
        <v>38</v>
      </c>
      <c r="D395" s="129" t="s">
        <v>286</v>
      </c>
      <c r="E395" s="129" t="s">
        <v>15</v>
      </c>
      <c r="F395" s="176" t="n">
        <v>0.68</v>
      </c>
      <c r="G395" s="129" t="s">
        <v>176</v>
      </c>
      <c r="H395" s="131" t="n">
        <v>7.94</v>
      </c>
      <c r="I395" s="131"/>
      <c r="J395" s="129" t="s">
        <v>1180</v>
      </c>
      <c r="K395" s="129"/>
    </row>
    <row r="396" customFormat="false" ht="13.5" hidden="false" customHeight="true" outlineLevel="0" collapsed="false">
      <c r="A396" s="175" t="n">
        <v>46189</v>
      </c>
      <c r="B396" s="129" t="str">
        <f aca="false">TEXT(A396,"mmm/aaaa")</f>
        <v>Tammuz/Tuesday</v>
      </c>
      <c r="C396" s="129" t="s">
        <v>38</v>
      </c>
      <c r="D396" s="129" t="s">
        <v>752</v>
      </c>
      <c r="E396" s="129" t="s">
        <v>12</v>
      </c>
      <c r="F396" s="176" t="n">
        <v>1</v>
      </c>
      <c r="G396" s="129" t="s">
        <v>179</v>
      </c>
      <c r="H396" s="131" t="n">
        <v>13.5</v>
      </c>
      <c r="I396" s="131"/>
      <c r="J396" s="129" t="s">
        <v>1180</v>
      </c>
      <c r="K396" s="129"/>
    </row>
    <row r="397" customFormat="false" ht="13.5" hidden="false" customHeight="true" outlineLevel="0" collapsed="false">
      <c r="A397" s="175" t="n">
        <v>46189</v>
      </c>
      <c r="B397" s="129" t="str">
        <f aca="false">TEXT(A397,"mmm/aaaa")</f>
        <v>Tammuz/Tuesday</v>
      </c>
      <c r="C397" s="129" t="s">
        <v>38</v>
      </c>
      <c r="D397" s="129" t="s">
        <v>1181</v>
      </c>
      <c r="E397" s="129" t="s">
        <v>12</v>
      </c>
      <c r="F397" s="176" t="n">
        <v>1</v>
      </c>
      <c r="G397" s="129" t="s">
        <v>179</v>
      </c>
      <c r="H397" s="131" t="n">
        <v>16.8</v>
      </c>
      <c r="I397" s="131"/>
      <c r="J397" s="129" t="s">
        <v>1180</v>
      </c>
      <c r="K397" s="129"/>
    </row>
    <row r="398" customFormat="false" ht="13.5" hidden="false" customHeight="true" outlineLevel="0" collapsed="false">
      <c r="A398" s="175" t="n">
        <v>46193</v>
      </c>
      <c r="B398" s="129" t="str">
        <f aca="false">TEXT(A398,"mmm/aaaa")</f>
        <v>Tammuz/Shabbat</v>
      </c>
      <c r="C398" s="129" t="s">
        <v>36</v>
      </c>
      <c r="D398" s="129" t="s">
        <v>423</v>
      </c>
      <c r="E398" s="129" t="s">
        <v>12</v>
      </c>
      <c r="F398" s="176" t="n">
        <v>1</v>
      </c>
      <c r="G398" s="129" t="s">
        <v>179</v>
      </c>
      <c r="H398" s="131" t="n">
        <v>15.79</v>
      </c>
      <c r="I398" s="131" t="n">
        <f aca="false">IFERROR(H398/F398,0)</f>
        <v>15.79</v>
      </c>
      <c r="J398" s="129" t="s">
        <v>1182</v>
      </c>
      <c r="K398" s="129"/>
    </row>
    <row r="399" customFormat="false" ht="13.5" hidden="false" customHeight="true" outlineLevel="0" collapsed="false">
      <c r="A399" s="175" t="n">
        <v>46193</v>
      </c>
      <c r="B399" s="129" t="str">
        <f aca="false">TEXT(A399,"mmm/aaaa")</f>
        <v>Tammuz/Shabbat</v>
      </c>
      <c r="C399" s="129" t="s">
        <v>36</v>
      </c>
      <c r="D399" s="129" t="s">
        <v>231</v>
      </c>
      <c r="E399" s="129" t="s">
        <v>13</v>
      </c>
      <c r="F399" s="176" t="n">
        <v>1</v>
      </c>
      <c r="G399" s="129" t="s">
        <v>179</v>
      </c>
      <c r="H399" s="131" t="n">
        <v>6.65</v>
      </c>
      <c r="I399" s="131" t="n">
        <f aca="false">IFERROR(H399/F399,0)</f>
        <v>6.65</v>
      </c>
      <c r="J399" s="129" t="s">
        <v>1182</v>
      </c>
      <c r="K399" s="129"/>
    </row>
    <row r="400" customFormat="false" ht="13.5" hidden="false" customHeight="true" outlineLevel="0" collapsed="false">
      <c r="A400" s="175" t="n">
        <v>46193</v>
      </c>
      <c r="B400" s="129" t="str">
        <f aca="false">TEXT(A400,"mmm/aaaa")</f>
        <v>Tammuz/Shabbat</v>
      </c>
      <c r="C400" s="129" t="s">
        <v>36</v>
      </c>
      <c r="D400" s="129" t="s">
        <v>231</v>
      </c>
      <c r="E400" s="129" t="s">
        <v>13</v>
      </c>
      <c r="F400" s="176" t="n">
        <v>1</v>
      </c>
      <c r="G400" s="129" t="s">
        <v>179</v>
      </c>
      <c r="H400" s="131" t="n">
        <v>6.65</v>
      </c>
      <c r="I400" s="131" t="n">
        <f aca="false">IFERROR(H400/F400,0)</f>
        <v>6.65</v>
      </c>
      <c r="J400" s="129" t="s">
        <v>1182</v>
      </c>
      <c r="K400" s="129"/>
    </row>
    <row r="401" customFormat="false" ht="13.5" hidden="false" customHeight="true" outlineLevel="0" collapsed="false">
      <c r="A401" s="175" t="n">
        <v>46193</v>
      </c>
      <c r="B401" s="129" t="str">
        <f aca="false">TEXT(A401,"mmm/aaaa")</f>
        <v>Tammuz/Shabbat</v>
      </c>
      <c r="C401" s="129" t="s">
        <v>36</v>
      </c>
      <c r="D401" s="129" t="s">
        <v>227</v>
      </c>
      <c r="E401" s="129" t="s">
        <v>13</v>
      </c>
      <c r="F401" s="176" t="n">
        <v>1</v>
      </c>
      <c r="G401" s="129" t="s">
        <v>179</v>
      </c>
      <c r="H401" s="131" t="n">
        <v>18.2</v>
      </c>
      <c r="I401" s="131" t="n">
        <f aca="false">IFERROR(H401/F401,0)</f>
        <v>18.2</v>
      </c>
      <c r="J401" s="129" t="s">
        <v>1182</v>
      </c>
      <c r="K401" s="129"/>
    </row>
    <row r="402" customFormat="false" ht="13.5" hidden="false" customHeight="true" outlineLevel="0" collapsed="false">
      <c r="A402" s="175" t="n">
        <v>46193</v>
      </c>
      <c r="B402" s="129" t="str">
        <f aca="false">TEXT(A402,"mmm/aaaa")</f>
        <v>Tammuz/Shabbat</v>
      </c>
      <c r="C402" s="129" t="s">
        <v>36</v>
      </c>
      <c r="D402" s="129" t="s">
        <v>252</v>
      </c>
      <c r="E402" s="129" t="s">
        <v>14</v>
      </c>
      <c r="F402" s="176" t="n">
        <v>0.3</v>
      </c>
      <c r="G402" s="129" t="s">
        <v>176</v>
      </c>
      <c r="H402" s="131" t="n">
        <v>10.5</v>
      </c>
      <c r="I402" s="131" t="n">
        <f aca="false">IFERROR(H402/F402,0)</f>
        <v>35</v>
      </c>
      <c r="J402" s="129" t="s">
        <v>1182</v>
      </c>
      <c r="K402" s="129"/>
    </row>
    <row r="403" customFormat="false" ht="13.5" hidden="false" customHeight="true" outlineLevel="0" collapsed="false">
      <c r="A403" s="175" t="n">
        <v>46193</v>
      </c>
      <c r="B403" s="129" t="str">
        <f aca="false">TEXT(A403,"mmm/aaaa")</f>
        <v>Tammuz/Shabbat</v>
      </c>
      <c r="C403" s="129" t="s">
        <v>36</v>
      </c>
      <c r="D403" s="129" t="s">
        <v>721</v>
      </c>
      <c r="E403" s="129" t="s">
        <v>12</v>
      </c>
      <c r="F403" s="176" t="n">
        <v>1</v>
      </c>
      <c r="G403" s="129" t="s">
        <v>179</v>
      </c>
      <c r="H403" s="131" t="n">
        <v>3.15</v>
      </c>
      <c r="I403" s="131" t="n">
        <f aca="false">IFERROR(H403/F403,0)</f>
        <v>3.15</v>
      </c>
      <c r="J403" s="129" t="s">
        <v>1182</v>
      </c>
      <c r="K403" s="129"/>
    </row>
    <row r="404" customFormat="false" ht="13.5" hidden="false" customHeight="true" outlineLevel="0" collapsed="false">
      <c r="A404" s="175" t="n">
        <v>46193</v>
      </c>
      <c r="B404" s="129" t="str">
        <f aca="false">TEXT(A404,"mmm/aaaa")</f>
        <v>Tammuz/Shabbat</v>
      </c>
      <c r="C404" s="129" t="s">
        <v>36</v>
      </c>
      <c r="D404" s="129" t="s">
        <v>239</v>
      </c>
      <c r="E404" s="129" t="s">
        <v>12</v>
      </c>
      <c r="F404" s="176" t="n">
        <v>1</v>
      </c>
      <c r="G404" s="129" t="s">
        <v>179</v>
      </c>
      <c r="H404" s="131" t="n">
        <v>2.9</v>
      </c>
      <c r="I404" s="131" t="n">
        <f aca="false">IFERROR(H404/F404,0)</f>
        <v>2.9</v>
      </c>
      <c r="J404" s="129" t="s">
        <v>1182</v>
      </c>
      <c r="K404" s="129"/>
    </row>
    <row r="405" customFormat="false" ht="13.5" hidden="false" customHeight="true" outlineLevel="0" collapsed="false">
      <c r="A405" s="175" t="n">
        <v>46193</v>
      </c>
      <c r="B405" s="129" t="str">
        <f aca="false">TEXT(A405,"mmm/aaaa")</f>
        <v>Tammuz/Shabbat</v>
      </c>
      <c r="C405" s="129" t="s">
        <v>36</v>
      </c>
      <c r="D405" s="129" t="s">
        <v>612</v>
      </c>
      <c r="E405" s="129" t="s">
        <v>12</v>
      </c>
      <c r="F405" s="176" t="n">
        <v>1</v>
      </c>
      <c r="G405" s="129" t="s">
        <v>179</v>
      </c>
      <c r="H405" s="131" t="n">
        <v>14.99</v>
      </c>
      <c r="I405" s="131" t="n">
        <f aca="false">IFERROR(H405/F405,0)</f>
        <v>14.99</v>
      </c>
      <c r="J405" s="129" t="s">
        <v>1182</v>
      </c>
      <c r="K405" s="129"/>
    </row>
    <row r="406" customFormat="false" ht="13.5" hidden="false" customHeight="true" outlineLevel="0" collapsed="false">
      <c r="A406" s="175" t="n">
        <v>46193</v>
      </c>
      <c r="B406" s="129" t="str">
        <f aca="false">TEXT(A406,"mmm/aaaa")</f>
        <v>Tammuz/Shabbat</v>
      </c>
      <c r="C406" s="129" t="s">
        <v>36</v>
      </c>
      <c r="D406" s="129" t="s">
        <v>380</v>
      </c>
      <c r="E406" s="129" t="s">
        <v>12</v>
      </c>
      <c r="F406" s="176" t="n">
        <v>1</v>
      </c>
      <c r="G406" s="129" t="s">
        <v>179</v>
      </c>
      <c r="H406" s="131" t="n">
        <v>6.2</v>
      </c>
      <c r="I406" s="131" t="n">
        <f aca="false">IFERROR(H406/F406,0)</f>
        <v>6.2</v>
      </c>
      <c r="J406" s="129" t="s">
        <v>1182</v>
      </c>
      <c r="K406" s="129"/>
    </row>
    <row r="407" customFormat="false" ht="13.5" hidden="false" customHeight="true" outlineLevel="0" collapsed="false">
      <c r="A407" s="175" t="n">
        <v>46193</v>
      </c>
      <c r="B407" s="129" t="str">
        <f aca="false">TEXT(A407,"mmm/aaaa")</f>
        <v>Tammuz/Shabbat</v>
      </c>
      <c r="C407" s="129" t="s">
        <v>36</v>
      </c>
      <c r="D407" s="129" t="s">
        <v>241</v>
      </c>
      <c r="E407" s="129" t="s">
        <v>12</v>
      </c>
      <c r="F407" s="176" t="n">
        <v>3</v>
      </c>
      <c r="G407" s="129" t="s">
        <v>179</v>
      </c>
      <c r="H407" s="131" t="n">
        <v>5.07</v>
      </c>
      <c r="I407" s="131" t="n">
        <f aca="false">IFERROR(H407/F407,0)</f>
        <v>1.69</v>
      </c>
      <c r="J407" s="129" t="s">
        <v>1182</v>
      </c>
      <c r="K407" s="129"/>
    </row>
    <row r="408" customFormat="false" ht="13.5" hidden="false" customHeight="true" outlineLevel="0" collapsed="false">
      <c r="A408" s="175" t="n">
        <v>46193</v>
      </c>
      <c r="B408" s="129" t="str">
        <f aca="false">TEXT(A408,"mmm/aaaa")</f>
        <v>Tammuz/Shabbat</v>
      </c>
      <c r="C408" s="129" t="s">
        <v>36</v>
      </c>
      <c r="D408" s="129" t="s">
        <v>547</v>
      </c>
      <c r="E408" s="129" t="s">
        <v>12</v>
      </c>
      <c r="F408" s="176" t="n">
        <v>1</v>
      </c>
      <c r="G408" s="129" t="s">
        <v>179</v>
      </c>
      <c r="H408" s="131" t="n">
        <v>23</v>
      </c>
      <c r="I408" s="131" t="n">
        <f aca="false">IFERROR(H408/F408,0)</f>
        <v>23</v>
      </c>
      <c r="J408" s="129" t="s">
        <v>1182</v>
      </c>
      <c r="K408" s="129"/>
    </row>
    <row r="409" customFormat="false" ht="13.5" hidden="false" customHeight="true" outlineLevel="0" collapsed="false">
      <c r="A409" s="175" t="n">
        <v>46193</v>
      </c>
      <c r="B409" s="129" t="str">
        <f aca="false">TEXT(A409,"mmm/aaaa")</f>
        <v>Tammuz/Shabbat</v>
      </c>
      <c r="C409" s="129" t="s">
        <v>36</v>
      </c>
      <c r="D409" s="129" t="s">
        <v>378</v>
      </c>
      <c r="E409" s="129" t="s">
        <v>12</v>
      </c>
      <c r="F409" s="176" t="n">
        <v>1</v>
      </c>
      <c r="G409" s="129" t="s">
        <v>179</v>
      </c>
      <c r="H409" s="131" t="n">
        <v>10.99</v>
      </c>
      <c r="I409" s="131" t="n">
        <f aca="false">IFERROR(H409/F409,0)</f>
        <v>10.99</v>
      </c>
      <c r="J409" s="129" t="s">
        <v>1182</v>
      </c>
      <c r="K409" s="129"/>
    </row>
    <row r="410" customFormat="false" ht="13.5" hidden="false" customHeight="true" outlineLevel="0" collapsed="false">
      <c r="A410" s="175" t="n">
        <v>46193</v>
      </c>
      <c r="B410" s="129" t="str">
        <f aca="false">TEXT(A410,"mmm/aaaa")</f>
        <v>Tammuz/Shabbat</v>
      </c>
      <c r="C410" s="129" t="s">
        <v>36</v>
      </c>
      <c r="D410" s="129" t="s">
        <v>725</v>
      </c>
      <c r="E410" s="129" t="s">
        <v>12</v>
      </c>
      <c r="F410" s="176" t="n">
        <v>1</v>
      </c>
      <c r="G410" s="129" t="s">
        <v>179</v>
      </c>
      <c r="H410" s="131" t="n">
        <v>4.3</v>
      </c>
      <c r="I410" s="131" t="n">
        <f aca="false">IFERROR(H410/F410,0)</f>
        <v>4.3</v>
      </c>
      <c r="J410" s="129" t="s">
        <v>1182</v>
      </c>
      <c r="K410" s="129"/>
    </row>
    <row r="411" customFormat="false" ht="13.5" hidden="false" customHeight="true" outlineLevel="0" collapsed="false">
      <c r="A411" s="175" t="n">
        <v>46193</v>
      </c>
      <c r="B411" s="129" t="str">
        <f aca="false">TEXT(A411,"mmm/aaaa")</f>
        <v>Tammuz/Shabbat</v>
      </c>
      <c r="C411" s="129" t="s">
        <v>36</v>
      </c>
      <c r="D411" s="129" t="s">
        <v>725</v>
      </c>
      <c r="E411" s="129" t="s">
        <v>12</v>
      </c>
      <c r="F411" s="176" t="n">
        <v>1</v>
      </c>
      <c r="G411" s="129" t="s">
        <v>179</v>
      </c>
      <c r="H411" s="131" t="n">
        <v>4.3</v>
      </c>
      <c r="I411" s="131" t="n">
        <f aca="false">IFERROR(H411/F411,0)</f>
        <v>4.3</v>
      </c>
      <c r="J411" s="129" t="s">
        <v>1182</v>
      </c>
      <c r="K411" s="129"/>
    </row>
    <row r="412" customFormat="false" ht="13.5" hidden="false" customHeight="true" outlineLevel="0" collapsed="false">
      <c r="A412" s="175" t="n">
        <v>46193</v>
      </c>
      <c r="B412" s="129" t="str">
        <f aca="false">TEXT(A412,"mmm/aaaa")</f>
        <v>Tammuz/Shabbat</v>
      </c>
      <c r="C412" s="129" t="s">
        <v>36</v>
      </c>
      <c r="D412" s="129" t="s">
        <v>386</v>
      </c>
      <c r="E412" s="129" t="s">
        <v>13</v>
      </c>
      <c r="F412" s="176" t="n">
        <v>1</v>
      </c>
      <c r="G412" s="129" t="s">
        <v>179</v>
      </c>
      <c r="H412" s="131" t="n">
        <v>2.3</v>
      </c>
      <c r="I412" s="131" t="n">
        <f aca="false">IFERROR(H412/F412,0)</f>
        <v>2.3</v>
      </c>
      <c r="J412" s="129" t="s">
        <v>1182</v>
      </c>
      <c r="K412" s="129"/>
    </row>
    <row r="413" customFormat="false" ht="13.5" hidden="false" customHeight="true" outlineLevel="0" collapsed="false">
      <c r="A413" s="175" t="n">
        <v>46193</v>
      </c>
      <c r="B413" s="129" t="str">
        <f aca="false">TEXT(A413,"mmm/aaaa")</f>
        <v>Tammuz/Shabbat</v>
      </c>
      <c r="C413" s="129" t="s">
        <v>36</v>
      </c>
      <c r="D413" s="129" t="s">
        <v>386</v>
      </c>
      <c r="E413" s="129" t="s">
        <v>13</v>
      </c>
      <c r="F413" s="176" t="n">
        <v>1</v>
      </c>
      <c r="G413" s="129" t="s">
        <v>179</v>
      </c>
      <c r="H413" s="131" t="n">
        <v>2.3</v>
      </c>
      <c r="I413" s="131" t="n">
        <f aca="false">IFERROR(H413/F413,0)</f>
        <v>2.3</v>
      </c>
      <c r="J413" s="129" t="s">
        <v>1182</v>
      </c>
      <c r="K413" s="129"/>
    </row>
    <row r="414" customFormat="false" ht="13.5" hidden="false" customHeight="true" outlineLevel="0" collapsed="false">
      <c r="A414" s="175" t="n">
        <v>46193</v>
      </c>
      <c r="B414" s="129" t="str">
        <f aca="false">TEXT(A414,"mmm/aaaa")</f>
        <v>Tammuz/Shabbat</v>
      </c>
      <c r="C414" s="129" t="s">
        <v>36</v>
      </c>
      <c r="D414" s="129" t="s">
        <v>242</v>
      </c>
      <c r="E414" s="129" t="s">
        <v>12</v>
      </c>
      <c r="F414" s="176" t="n">
        <v>1</v>
      </c>
      <c r="G414" s="129" t="s">
        <v>179</v>
      </c>
      <c r="H414" s="131" t="n">
        <v>3.95</v>
      </c>
      <c r="I414" s="131" t="n">
        <f aca="false">IFERROR(H414/F414,0)</f>
        <v>3.95</v>
      </c>
      <c r="J414" s="129" t="s">
        <v>1182</v>
      </c>
      <c r="K414" s="129"/>
    </row>
    <row r="415" customFormat="false" ht="13.5" hidden="false" customHeight="true" outlineLevel="0" collapsed="false">
      <c r="A415" s="175" t="n">
        <v>46193</v>
      </c>
      <c r="B415" s="129" t="str">
        <f aca="false">TEXT(A415,"mmm/aaaa")</f>
        <v>Tammuz/Shabbat</v>
      </c>
      <c r="C415" s="129" t="s">
        <v>36</v>
      </c>
      <c r="D415" s="129" t="s">
        <v>242</v>
      </c>
      <c r="E415" s="129" t="s">
        <v>12</v>
      </c>
      <c r="F415" s="176" t="n">
        <v>1</v>
      </c>
      <c r="G415" s="129" t="s">
        <v>179</v>
      </c>
      <c r="H415" s="131" t="n">
        <v>3.95</v>
      </c>
      <c r="I415" s="131" t="n">
        <f aca="false">IFERROR(H415/F415,0)</f>
        <v>3.95</v>
      </c>
      <c r="J415" s="129" t="s">
        <v>1182</v>
      </c>
      <c r="K415" s="129"/>
    </row>
    <row r="416" customFormat="false" ht="13.5" hidden="false" customHeight="true" outlineLevel="0" collapsed="false">
      <c r="A416" s="175" t="n">
        <v>46193</v>
      </c>
      <c r="B416" s="129" t="str">
        <f aca="false">TEXT(A416,"mmm/aaaa")</f>
        <v>Tammuz/Shabbat</v>
      </c>
      <c r="C416" s="129" t="s">
        <v>36</v>
      </c>
      <c r="D416" s="129" t="s">
        <v>728</v>
      </c>
      <c r="E416" s="129" t="s">
        <v>16</v>
      </c>
      <c r="F416" s="176" t="n">
        <v>1</v>
      </c>
      <c r="G416" s="129" t="s">
        <v>179</v>
      </c>
      <c r="H416" s="131" t="n">
        <v>13</v>
      </c>
      <c r="I416" s="131" t="n">
        <f aca="false">IFERROR(H416/F416,0)</f>
        <v>13</v>
      </c>
      <c r="J416" s="129" t="s">
        <v>1182</v>
      </c>
      <c r="K416" s="129"/>
    </row>
    <row r="417" customFormat="false" ht="13.5" hidden="false" customHeight="true" outlineLevel="0" collapsed="false">
      <c r="A417" s="175" t="n">
        <v>46191</v>
      </c>
      <c r="B417" s="129" t="str">
        <f aca="false">TEXT(A417,"mmm/aaaa")</f>
        <v>Tammuz/Thursday</v>
      </c>
      <c r="C417" s="129" t="s">
        <v>39</v>
      </c>
      <c r="D417" s="129" t="s">
        <v>1183</v>
      </c>
      <c r="E417" s="129" t="s">
        <v>14</v>
      </c>
      <c r="F417" s="176" t="n">
        <v>0.092</v>
      </c>
      <c r="G417" s="129" t="s">
        <v>176</v>
      </c>
      <c r="H417" s="131" t="n">
        <v>3.3</v>
      </c>
      <c r="I417" s="131" t="n">
        <f aca="false">IFERROR(H417/F417,0)</f>
        <v>35.8695652173913</v>
      </c>
      <c r="J417" s="129" t="s">
        <v>1184</v>
      </c>
      <c r="K417" s="129" t="s">
        <v>486</v>
      </c>
    </row>
    <row r="418" customFormat="false" ht="13.5" hidden="false" customHeight="true" outlineLevel="0" collapsed="false">
      <c r="A418" s="175" t="n">
        <v>46194</v>
      </c>
      <c r="B418" s="129" t="str">
        <f aca="false">TEXT(A418,"mmm/aaaa")</f>
        <v>Tammuz/Sunday</v>
      </c>
      <c r="C418" s="129" t="s">
        <v>39</v>
      </c>
      <c r="D418" s="129" t="s">
        <v>1185</v>
      </c>
      <c r="E418" s="129" t="s">
        <v>12</v>
      </c>
      <c r="F418" s="176" t="n">
        <v>1</v>
      </c>
      <c r="G418" s="129" t="s">
        <v>179</v>
      </c>
      <c r="H418" s="131" t="n">
        <v>5.5</v>
      </c>
      <c r="I418" s="131" t="n">
        <f aca="false">IFERROR(H418/F418,0)</f>
        <v>5.5</v>
      </c>
      <c r="J418" s="129" t="s">
        <v>1186</v>
      </c>
      <c r="K418" s="129" t="s">
        <v>1130</v>
      </c>
    </row>
    <row r="419" customFormat="false" ht="13.5" hidden="false" customHeight="true" outlineLevel="0" collapsed="false">
      <c r="A419" s="175" t="n">
        <v>46194</v>
      </c>
      <c r="B419" s="129" t="str">
        <f aca="false">TEXT(A419,"mmm/aaaa")</f>
        <v>Tammuz/Sunday</v>
      </c>
      <c r="C419" s="129" t="s">
        <v>39</v>
      </c>
      <c r="D419" s="129" t="s">
        <v>1187</v>
      </c>
      <c r="E419" s="129" t="s">
        <v>14</v>
      </c>
      <c r="F419" s="176" t="n">
        <v>0.256</v>
      </c>
      <c r="G419" s="129" t="s">
        <v>176</v>
      </c>
      <c r="H419" s="131" t="n">
        <v>16.38</v>
      </c>
      <c r="I419" s="131" t="n">
        <f aca="false">IFERROR(H419/F419,0)</f>
        <v>63.984375</v>
      </c>
      <c r="J419" s="129" t="s">
        <v>1186</v>
      </c>
      <c r="K419" s="129" t="s">
        <v>1130</v>
      </c>
    </row>
    <row r="420" customFormat="false" ht="13.5" hidden="false" customHeight="true" outlineLevel="0" collapsed="false">
      <c r="A420" s="175" t="n">
        <v>46194</v>
      </c>
      <c r="B420" s="129" t="str">
        <f aca="false">TEXT(A420,"mmm/aaaa")</f>
        <v>Tammuz/Sunday</v>
      </c>
      <c r="C420" s="129" t="s">
        <v>39</v>
      </c>
      <c r="D420" s="129" t="s">
        <v>1188</v>
      </c>
      <c r="E420" s="129" t="s">
        <v>13</v>
      </c>
      <c r="F420" s="176" t="n">
        <v>2</v>
      </c>
      <c r="G420" s="129" t="s">
        <v>179</v>
      </c>
      <c r="H420" s="131" t="n">
        <v>17.98</v>
      </c>
      <c r="I420" s="131" t="n">
        <f aca="false">IFERROR(H420/F420,0)</f>
        <v>8.99</v>
      </c>
      <c r="J420" s="129" t="s">
        <v>1186</v>
      </c>
      <c r="K420" s="129" t="s">
        <v>1130</v>
      </c>
    </row>
    <row r="421" customFormat="false" ht="13.5" hidden="false" customHeight="true" outlineLevel="0" collapsed="false">
      <c r="A421" s="175" t="n">
        <v>46191</v>
      </c>
      <c r="B421" s="179" t="str">
        <f aca="false">TEXT(A421,"mmm/aaaa")</f>
        <v>Tammuz/Thursday</v>
      </c>
      <c r="C421" s="129" t="s">
        <v>39</v>
      </c>
      <c r="D421" s="129" t="s">
        <v>432</v>
      </c>
      <c r="E421" s="129" t="s">
        <v>14</v>
      </c>
      <c r="F421" s="176" t="n">
        <v>0.545</v>
      </c>
      <c r="G421" s="129" t="s">
        <v>176</v>
      </c>
      <c r="H421" s="131" t="n">
        <v>8.17</v>
      </c>
      <c r="I421" s="131" t="n">
        <f aca="false">IFERROR(H421/F421,0)</f>
        <v>14.9908256880734</v>
      </c>
      <c r="J421" s="129" t="s">
        <v>1184</v>
      </c>
      <c r="K421" s="129" t="s">
        <v>486</v>
      </c>
    </row>
    <row r="422" customFormat="false" ht="13.5" hidden="false" customHeight="true" outlineLevel="0" collapsed="false">
      <c r="A422" s="175" t="n">
        <v>46194</v>
      </c>
      <c r="B422" s="179" t="str">
        <f aca="false">TEXT(A422,"mmm/aaaa")</f>
        <v>Tammuz/Sunday</v>
      </c>
      <c r="C422" s="129" t="s">
        <v>40</v>
      </c>
      <c r="D422" s="129" t="s">
        <v>1189</v>
      </c>
      <c r="E422" s="129" t="s">
        <v>24</v>
      </c>
      <c r="F422" s="176" t="n">
        <v>1</v>
      </c>
      <c r="G422" s="129" t="s">
        <v>179</v>
      </c>
      <c r="H422" s="131" t="n">
        <v>16.9</v>
      </c>
      <c r="I422" s="131" t="n">
        <f aca="false">IFERROR(H422/F422,0)</f>
        <v>16.9</v>
      </c>
      <c r="J422" s="129" t="s">
        <v>1052</v>
      </c>
      <c r="K422" s="129" t="s">
        <v>1190</v>
      </c>
    </row>
    <row r="423" customFormat="false" ht="13.5" hidden="false" customHeight="true" outlineLevel="0" collapsed="false">
      <c r="A423" s="175" t="n">
        <v>46200</v>
      </c>
      <c r="B423" s="179" t="str">
        <f aca="false">TEXT(A423,"mmm/aaaa")</f>
        <v>Tammuz/Shabbat</v>
      </c>
      <c r="C423" s="129" t="s">
        <v>38</v>
      </c>
      <c r="D423" s="129" t="s">
        <v>483</v>
      </c>
      <c r="E423" s="129" t="s">
        <v>15</v>
      </c>
      <c r="F423" s="176" t="n">
        <v>0.87</v>
      </c>
      <c r="G423" s="129" t="s">
        <v>176</v>
      </c>
      <c r="H423" s="131" t="n">
        <v>3.03</v>
      </c>
      <c r="I423" s="131" t="n">
        <f aca="false">IFERROR(H423/F423,0)</f>
        <v>3.48275862068966</v>
      </c>
      <c r="J423" s="129" t="s">
        <v>1191</v>
      </c>
      <c r="K423" s="129" t="s">
        <v>173</v>
      </c>
    </row>
    <row r="424" customFormat="false" ht="13.5" hidden="false" customHeight="true" outlineLevel="0" collapsed="false">
      <c r="A424" s="175" t="n">
        <v>46200</v>
      </c>
      <c r="B424" s="179" t="str">
        <f aca="false">TEXT(A424,"mmm/aaaa")</f>
        <v>Tammuz/Shabbat</v>
      </c>
      <c r="C424" s="129" t="s">
        <v>38</v>
      </c>
      <c r="D424" s="129" t="s">
        <v>481</v>
      </c>
      <c r="E424" s="129" t="s">
        <v>15</v>
      </c>
      <c r="F424" s="176" t="n">
        <v>0.668</v>
      </c>
      <c r="G424" s="129" t="s">
        <v>176</v>
      </c>
      <c r="H424" s="131" t="n">
        <v>5.33</v>
      </c>
      <c r="I424" s="131" t="n">
        <f aca="false">IFERROR(H424/F424,0)</f>
        <v>7.97904191616766</v>
      </c>
      <c r="J424" s="129" t="s">
        <v>1191</v>
      </c>
      <c r="K424" s="129" t="s">
        <v>173</v>
      </c>
    </row>
    <row r="425" customFormat="false" ht="13.5" hidden="false" customHeight="true" outlineLevel="0" collapsed="false">
      <c r="A425" s="175" t="n">
        <v>46200</v>
      </c>
      <c r="B425" s="179" t="str">
        <f aca="false">TEXT(A425,"mmm/aaaa")</f>
        <v>Tammuz/Shabbat</v>
      </c>
      <c r="C425" s="129" t="s">
        <v>38</v>
      </c>
      <c r="D425" s="129" t="s">
        <v>746</v>
      </c>
      <c r="E425" s="129" t="s">
        <v>15</v>
      </c>
      <c r="F425" s="176" t="n">
        <v>0.574</v>
      </c>
      <c r="G425" s="129" t="s">
        <v>176</v>
      </c>
      <c r="H425" s="131" t="n">
        <v>4.24</v>
      </c>
      <c r="I425" s="131" t="n">
        <f aca="false">IFERROR(H425/F425,0)</f>
        <v>7.38675958188153</v>
      </c>
      <c r="J425" s="129" t="s">
        <v>1191</v>
      </c>
      <c r="K425" s="129" t="s">
        <v>173</v>
      </c>
    </row>
    <row r="426" customFormat="false" ht="13.5" hidden="false" customHeight="true" outlineLevel="0" collapsed="false">
      <c r="A426" s="175" t="n">
        <v>46200</v>
      </c>
      <c r="B426" s="179" t="str">
        <f aca="false">TEXT(A426,"mmm/aaaa")</f>
        <v>Tammuz/Shabbat</v>
      </c>
      <c r="C426" s="129" t="s">
        <v>38</v>
      </c>
      <c r="D426" s="129" t="s">
        <v>337</v>
      </c>
      <c r="E426" s="129" t="s">
        <v>15</v>
      </c>
      <c r="F426" s="176" t="n">
        <v>0.146</v>
      </c>
      <c r="G426" s="129" t="s">
        <v>176</v>
      </c>
      <c r="H426" s="131" t="n">
        <v>3.5</v>
      </c>
      <c r="I426" s="131" t="n">
        <f aca="false">IFERROR(H426/F426,0)</f>
        <v>23.972602739726</v>
      </c>
      <c r="J426" s="129" t="s">
        <v>1191</v>
      </c>
      <c r="K426" s="129" t="s">
        <v>173</v>
      </c>
    </row>
    <row r="427" customFormat="false" ht="13.5" hidden="false" customHeight="true" outlineLevel="0" collapsed="false">
      <c r="A427" s="175" t="n">
        <v>46200</v>
      </c>
      <c r="B427" s="179" t="str">
        <f aca="false">TEXT(A427,"mmm/aaaa")</f>
        <v>Tammuz/Shabbat</v>
      </c>
      <c r="C427" s="129" t="s">
        <v>38</v>
      </c>
      <c r="D427" s="129" t="s">
        <v>748</v>
      </c>
      <c r="E427" s="129" t="s">
        <v>15</v>
      </c>
      <c r="F427" s="176" t="n">
        <v>0.208</v>
      </c>
      <c r="G427" s="129" t="s">
        <v>176</v>
      </c>
      <c r="H427" s="131" t="n">
        <v>2.7</v>
      </c>
      <c r="I427" s="131" t="n">
        <f aca="false">IFERROR(H427/F427,0)</f>
        <v>12.9807692307692</v>
      </c>
      <c r="J427" s="129" t="s">
        <v>1191</v>
      </c>
      <c r="K427" s="129" t="s">
        <v>173</v>
      </c>
    </row>
    <row r="428" customFormat="false" ht="13.5" hidden="false" customHeight="true" outlineLevel="0" collapsed="false">
      <c r="A428" s="175" t="n">
        <v>46200</v>
      </c>
      <c r="B428" s="179" t="str">
        <f aca="false">TEXT(A428,"mmm/aaaa")</f>
        <v>Tammuz/Shabbat</v>
      </c>
      <c r="C428" s="129" t="s">
        <v>38</v>
      </c>
      <c r="D428" s="129" t="s">
        <v>591</v>
      </c>
      <c r="E428" s="129" t="s">
        <v>15</v>
      </c>
      <c r="F428" s="176" t="n">
        <v>0.702</v>
      </c>
      <c r="G428" s="129" t="s">
        <v>176</v>
      </c>
      <c r="H428" s="131" t="n">
        <v>5.26</v>
      </c>
      <c r="I428" s="131" t="n">
        <f aca="false">IFERROR(H428/F428,0)</f>
        <v>7.49287749287749</v>
      </c>
      <c r="J428" s="129" t="s">
        <v>1191</v>
      </c>
      <c r="K428" s="129" t="s">
        <v>173</v>
      </c>
    </row>
    <row r="429" customFormat="false" ht="13.5" hidden="false" customHeight="true" outlineLevel="0" collapsed="false">
      <c r="A429" s="175" t="n">
        <v>46200</v>
      </c>
      <c r="B429" s="179" t="str">
        <f aca="false">TEXT(A429,"mmm/aaaa")</f>
        <v>Tammuz/Shabbat</v>
      </c>
      <c r="C429" s="129" t="s">
        <v>38</v>
      </c>
      <c r="D429" s="129" t="s">
        <v>750</v>
      </c>
      <c r="E429" s="129" t="s">
        <v>15</v>
      </c>
      <c r="F429" s="176" t="n">
        <v>1</v>
      </c>
      <c r="G429" s="129" t="s">
        <v>179</v>
      </c>
      <c r="H429" s="131" t="n">
        <v>4.9</v>
      </c>
      <c r="I429" s="131" t="n">
        <f aca="false">IFERROR(H429/F429,0)</f>
        <v>4.9</v>
      </c>
      <c r="J429" s="129" t="s">
        <v>1191</v>
      </c>
      <c r="K429" s="129" t="s">
        <v>173</v>
      </c>
    </row>
    <row r="430" customFormat="false" ht="13.5" hidden="false" customHeight="true" outlineLevel="0" collapsed="false">
      <c r="A430" s="175" t="n">
        <v>46200</v>
      </c>
      <c r="B430" s="179" t="str">
        <f aca="false">TEXT(A430,"mmm/aaaa")</f>
        <v>Tammuz/Shabbat</v>
      </c>
      <c r="C430" s="129" t="s">
        <v>38</v>
      </c>
      <c r="D430" s="129" t="s">
        <v>752</v>
      </c>
      <c r="E430" s="129" t="s">
        <v>12</v>
      </c>
      <c r="F430" s="176" t="n">
        <v>1</v>
      </c>
      <c r="G430" s="129" t="s">
        <v>179</v>
      </c>
      <c r="H430" s="131" t="n">
        <v>14.95</v>
      </c>
      <c r="I430" s="131" t="n">
        <f aca="false">IFERROR(H430/F430,0)</f>
        <v>14.95</v>
      </c>
      <c r="J430" s="129" t="s">
        <v>1191</v>
      </c>
      <c r="K430" s="129" t="s">
        <v>173</v>
      </c>
    </row>
    <row r="431" customFormat="false" ht="13.5" hidden="false" customHeight="true" outlineLevel="0" collapsed="false">
      <c r="A431" s="175" t="n">
        <v>46199</v>
      </c>
      <c r="B431" s="179" t="str">
        <f aca="false">TEXT(A431,"mmm/aaaa")</f>
        <v>Tammuz/Friday</v>
      </c>
      <c r="C431" s="129" t="s">
        <v>37</v>
      </c>
      <c r="D431" s="129" t="s">
        <v>737</v>
      </c>
      <c r="E431" s="129" t="s">
        <v>17</v>
      </c>
      <c r="F431" s="176" t="n">
        <v>1</v>
      </c>
      <c r="G431" s="129" t="s">
        <v>179</v>
      </c>
      <c r="H431" s="131" t="n">
        <v>5.9</v>
      </c>
      <c r="I431" s="131" t="n">
        <f aca="false">IFERROR(H431/F431,0)</f>
        <v>5.9</v>
      </c>
      <c r="J431" s="129" t="s">
        <v>1192</v>
      </c>
      <c r="K431" s="129" t="s">
        <v>173</v>
      </c>
    </row>
    <row r="432" customFormat="false" ht="13.5" hidden="false" customHeight="true" outlineLevel="0" collapsed="false">
      <c r="A432" s="175" t="n">
        <v>46199</v>
      </c>
      <c r="B432" s="179" t="str">
        <f aca="false">TEXT(A432,"mmm/aaaa")</f>
        <v>Tammuz/Friday</v>
      </c>
      <c r="C432" s="129" t="s">
        <v>37</v>
      </c>
      <c r="D432" s="129" t="s">
        <v>739</v>
      </c>
      <c r="E432" s="129" t="s">
        <v>12</v>
      </c>
      <c r="F432" s="176" t="n">
        <v>1</v>
      </c>
      <c r="G432" s="129" t="s">
        <v>179</v>
      </c>
      <c r="H432" s="131" t="n">
        <v>9.99</v>
      </c>
      <c r="I432" s="131" t="n">
        <f aca="false">IFERROR(H432/F432,0)</f>
        <v>9.99</v>
      </c>
      <c r="J432" s="129" t="s">
        <v>1192</v>
      </c>
      <c r="K432" s="129" t="s">
        <v>173</v>
      </c>
    </row>
    <row r="433" customFormat="false" ht="13.5" hidden="false" customHeight="true" outlineLevel="0" collapsed="false">
      <c r="A433" s="175" t="n">
        <v>46199</v>
      </c>
      <c r="B433" s="179" t="str">
        <f aca="false">TEXT(A433,"mmm/aaaa")</f>
        <v>Tammuz/Friday</v>
      </c>
      <c r="C433" s="129" t="s">
        <v>37</v>
      </c>
      <c r="D433" s="129" t="s">
        <v>740</v>
      </c>
      <c r="E433" s="129" t="s">
        <v>14</v>
      </c>
      <c r="F433" s="176" t="n">
        <v>0.35</v>
      </c>
      <c r="G433" s="129" t="s">
        <v>176</v>
      </c>
      <c r="H433" s="131" t="n">
        <v>6.27</v>
      </c>
      <c r="I433" s="131" t="n">
        <f aca="false">IFERROR(H433/F433,0)</f>
        <v>17.9142857142857</v>
      </c>
      <c r="J433" s="129" t="s">
        <v>1192</v>
      </c>
      <c r="K433" s="129" t="s">
        <v>173</v>
      </c>
    </row>
    <row r="434" customFormat="false" ht="13.5" hidden="false" customHeight="true" outlineLevel="0" collapsed="false">
      <c r="A434" s="175" t="n">
        <v>46199</v>
      </c>
      <c r="B434" s="179" t="str">
        <f aca="false">TEXT(A434,"mmm/aaaa")</f>
        <v>Tammuz/Friday</v>
      </c>
      <c r="C434" s="129" t="s">
        <v>37</v>
      </c>
      <c r="D434" s="129" t="s">
        <v>742</v>
      </c>
      <c r="E434" s="129" t="s">
        <v>13</v>
      </c>
      <c r="F434" s="176" t="n">
        <v>2</v>
      </c>
      <c r="G434" s="129" t="s">
        <v>179</v>
      </c>
      <c r="H434" s="131" t="n">
        <v>11.98</v>
      </c>
      <c r="I434" s="131" t="n">
        <f aca="false">IFERROR(H434/F434,0)</f>
        <v>5.99</v>
      </c>
      <c r="J434" s="129" t="s">
        <v>1192</v>
      </c>
      <c r="K434" s="129" t="s">
        <v>173</v>
      </c>
    </row>
    <row r="435" customFormat="false" ht="13.5" hidden="false" customHeight="true" outlineLevel="0" collapsed="false">
      <c r="A435" s="175" t="n">
        <v>46197</v>
      </c>
      <c r="B435" s="179" t="str">
        <f aca="false">TEXT(A435,"mmm/aaaa")</f>
        <v>Tammuz/Wednesday</v>
      </c>
      <c r="C435" s="129" t="s">
        <v>37</v>
      </c>
      <c r="D435" s="129" t="s">
        <v>731</v>
      </c>
      <c r="E435" s="129" t="s">
        <v>15</v>
      </c>
      <c r="F435" s="176" t="n">
        <v>1.885</v>
      </c>
      <c r="G435" s="129" t="s">
        <v>176</v>
      </c>
      <c r="H435" s="131" t="n">
        <v>7.5</v>
      </c>
      <c r="I435" s="131" t="n">
        <f aca="false">IFERROR(H435/F435,0)</f>
        <v>3.97877984084881</v>
      </c>
      <c r="J435" s="129" t="s">
        <v>1193</v>
      </c>
      <c r="K435" s="129" t="s">
        <v>173</v>
      </c>
    </row>
    <row r="436" customFormat="false" ht="13.5" hidden="false" customHeight="true" outlineLevel="0" collapsed="false">
      <c r="A436" s="175" t="n">
        <v>46197</v>
      </c>
      <c r="B436" s="179" t="str">
        <f aca="false">TEXT(A436,"mmm/aaaa")</f>
        <v>Tammuz/Wednesday</v>
      </c>
      <c r="C436" s="129" t="s">
        <v>37</v>
      </c>
      <c r="D436" s="129" t="s">
        <v>733</v>
      </c>
      <c r="E436" s="129" t="s">
        <v>15</v>
      </c>
      <c r="F436" s="176" t="n">
        <v>0.865</v>
      </c>
      <c r="G436" s="129" t="s">
        <v>176</v>
      </c>
      <c r="H436" s="131" t="n">
        <v>3.44</v>
      </c>
      <c r="I436" s="131" t="n">
        <f aca="false">IFERROR(H436/F436,0)</f>
        <v>3.97687861271676</v>
      </c>
      <c r="J436" s="129" t="s">
        <v>1193</v>
      </c>
      <c r="K436" s="129" t="s">
        <v>173</v>
      </c>
    </row>
    <row r="437" customFormat="false" ht="13.5" hidden="false" customHeight="true" outlineLevel="0" collapsed="false">
      <c r="A437" s="175" t="n">
        <v>46203</v>
      </c>
      <c r="B437" s="179" t="str">
        <f aca="false">TEXT(A437,"mmm/aaaa")</f>
        <v>Tammuz/Tuesday</v>
      </c>
      <c r="C437" s="129" t="s">
        <v>38</v>
      </c>
      <c r="D437" s="129" t="s">
        <v>286</v>
      </c>
      <c r="E437" s="129" t="s">
        <v>15</v>
      </c>
      <c r="F437" s="176" t="n">
        <v>0.904</v>
      </c>
      <c r="G437" s="129" t="s">
        <v>176</v>
      </c>
      <c r="H437" s="131" t="n">
        <v>10.56</v>
      </c>
      <c r="I437" s="131" t="n">
        <f aca="false">IFERROR(H437/F437,0)</f>
        <v>11.6814159292035</v>
      </c>
      <c r="J437" s="129" t="s">
        <v>1194</v>
      </c>
      <c r="K437" s="129" t="s">
        <v>173</v>
      </c>
    </row>
    <row r="438" customFormat="false" ht="13.5" hidden="false" customHeight="true" outlineLevel="0" collapsed="false">
      <c r="A438" s="175" t="n">
        <v>46203</v>
      </c>
      <c r="B438" s="179" t="str">
        <f aca="false">TEXT(A438,"mmm/aaaa")</f>
        <v>Tammuz/Tuesday</v>
      </c>
      <c r="C438" s="129" t="s">
        <v>38</v>
      </c>
      <c r="D438" s="129" t="s">
        <v>284</v>
      </c>
      <c r="E438" s="129" t="s">
        <v>15</v>
      </c>
      <c r="F438" s="176" t="n">
        <v>1.228</v>
      </c>
      <c r="G438" s="129" t="s">
        <v>176</v>
      </c>
      <c r="H438" s="131" t="n">
        <v>6.12</v>
      </c>
      <c r="I438" s="131" t="n">
        <f aca="false">IFERROR(H438/F438,0)</f>
        <v>4.98371335504886</v>
      </c>
      <c r="J438" s="129" t="s">
        <v>1194</v>
      </c>
      <c r="K438" s="129" t="s">
        <v>173</v>
      </c>
    </row>
    <row r="439" customFormat="false" ht="13.5" hidden="false" customHeight="true" outlineLevel="0" collapsed="false">
      <c r="A439" s="175" t="n">
        <v>46203</v>
      </c>
      <c r="B439" s="179" t="str">
        <f aca="false">TEXT(A439,"mmm/aaaa")</f>
        <v>Tammuz/Tuesday</v>
      </c>
      <c r="C439" s="129" t="s">
        <v>38</v>
      </c>
      <c r="D439" s="129" t="s">
        <v>1181</v>
      </c>
      <c r="E439" s="129" t="s">
        <v>12</v>
      </c>
      <c r="F439" s="176" t="n">
        <v>1</v>
      </c>
      <c r="G439" s="129" t="s">
        <v>179</v>
      </c>
      <c r="H439" s="131" t="n">
        <v>16.8</v>
      </c>
      <c r="I439" s="131" t="n">
        <f aca="false">IFERROR(H439/F439,0)</f>
        <v>16.8</v>
      </c>
      <c r="J439" s="129" t="s">
        <v>1194</v>
      </c>
      <c r="K439" s="129" t="s">
        <v>173</v>
      </c>
    </row>
    <row r="440" customFormat="false" ht="13.5" hidden="false" customHeight="true" outlineLevel="0" collapsed="false">
      <c r="A440" s="175" t="n">
        <v>46200</v>
      </c>
      <c r="B440" s="179" t="str">
        <f aca="false">TEXT(A440,"mmm/aaaa")</f>
        <v>Tammuz/Shabbat</v>
      </c>
      <c r="C440" s="129" t="s">
        <v>37</v>
      </c>
      <c r="D440" s="129" t="s">
        <v>740</v>
      </c>
      <c r="E440" s="129" t="s">
        <v>14</v>
      </c>
      <c r="F440" s="176" t="n">
        <v>0.44</v>
      </c>
      <c r="G440" s="129" t="s">
        <v>176</v>
      </c>
      <c r="H440" s="131" t="n">
        <v>7.88</v>
      </c>
      <c r="I440" s="131" t="n">
        <f aca="false">IFERROR(H440/F440,0)</f>
        <v>17.9090909090909</v>
      </c>
      <c r="J440" s="129" t="s">
        <v>1195</v>
      </c>
      <c r="K440" s="129" t="s">
        <v>173</v>
      </c>
    </row>
    <row r="441" customFormat="false" ht="13.5" hidden="false" customHeight="true" outlineLevel="0" collapsed="false">
      <c r="A441" s="175" t="n">
        <v>46200</v>
      </c>
      <c r="B441" s="179" t="str">
        <f aca="false">TEXT(A441,"mmm/aaaa")</f>
        <v>Tammuz/Shabbat</v>
      </c>
      <c r="C441" s="129" t="s">
        <v>37</v>
      </c>
      <c r="D441" s="129" t="s">
        <v>1196</v>
      </c>
      <c r="E441" s="129" t="s">
        <v>14</v>
      </c>
      <c r="F441" s="176" t="n">
        <v>1</v>
      </c>
      <c r="G441" s="129" t="s">
        <v>179</v>
      </c>
      <c r="H441" s="131" t="n">
        <v>10.9</v>
      </c>
      <c r="I441" s="131" t="n">
        <f aca="false">IFERROR(H441/F441,0)</f>
        <v>10.9</v>
      </c>
      <c r="J441" s="129" t="s">
        <v>1195</v>
      </c>
      <c r="K441" s="129" t="s">
        <v>173</v>
      </c>
    </row>
    <row r="442" customFormat="false" ht="13.5" hidden="false" customHeight="true" outlineLevel="0" collapsed="false">
      <c r="A442" s="175" t="n">
        <v>46200</v>
      </c>
      <c r="B442" s="179" t="str">
        <f aca="false">TEXT(A442,"mmm/aaaa")</f>
        <v>Tammuz/Shabbat</v>
      </c>
      <c r="C442" s="129" t="s">
        <v>37</v>
      </c>
      <c r="D442" s="129" t="s">
        <v>1197</v>
      </c>
      <c r="E442" s="129" t="s">
        <v>12</v>
      </c>
      <c r="F442" s="176" t="n">
        <v>0.116</v>
      </c>
      <c r="G442" s="129" t="s">
        <v>176</v>
      </c>
      <c r="H442" s="131" t="n">
        <v>5.21</v>
      </c>
      <c r="I442" s="131" t="n">
        <f aca="false">IFERROR(H442/F442,0)</f>
        <v>44.9137931034483</v>
      </c>
      <c r="J442" s="129" t="s">
        <v>1195</v>
      </c>
      <c r="K442" s="129" t="s">
        <v>173</v>
      </c>
    </row>
    <row r="443" customFormat="false" ht="13.5" hidden="false" customHeight="true" outlineLevel="0" collapsed="false">
      <c r="A443" s="175" t="n">
        <v>46200</v>
      </c>
      <c r="B443" s="179" t="str">
        <f aca="false">TEXT(A443,"mmm/aaaa")</f>
        <v>Tammuz/Shabbat</v>
      </c>
      <c r="C443" s="129" t="s">
        <v>37</v>
      </c>
      <c r="D443" s="129" t="s">
        <v>760</v>
      </c>
      <c r="E443" s="129" t="s">
        <v>13</v>
      </c>
      <c r="F443" s="176" t="n">
        <v>2</v>
      </c>
      <c r="G443" s="129" t="s">
        <v>179</v>
      </c>
      <c r="H443" s="131" t="n">
        <v>13.38</v>
      </c>
      <c r="I443" s="131" t="n">
        <f aca="false">IFERROR(H443/F443,0)</f>
        <v>6.69</v>
      </c>
      <c r="J443" s="129" t="s">
        <v>1195</v>
      </c>
      <c r="K443" s="129" t="s">
        <v>173</v>
      </c>
    </row>
    <row r="444" customFormat="false" ht="13.5" hidden="false" customHeight="true" outlineLevel="0" collapsed="false">
      <c r="A444" s="175" t="n">
        <v>46204</v>
      </c>
      <c r="B444" s="179" t="str">
        <f aca="false">TEXT(A444,"mmm/aaaa")</f>
        <v>Tammuz/Wednesday</v>
      </c>
      <c r="C444" s="129" t="s">
        <v>37</v>
      </c>
      <c r="D444" s="129" t="s">
        <v>760</v>
      </c>
      <c r="E444" s="129" t="s">
        <v>13</v>
      </c>
      <c r="F444" s="176" t="n">
        <v>1</v>
      </c>
      <c r="G444" s="129" t="s">
        <v>179</v>
      </c>
      <c r="H444" s="131" t="n">
        <v>6.69</v>
      </c>
      <c r="I444" s="131" t="n">
        <f aca="false">IFERROR(H444/F444,0)</f>
        <v>6.69</v>
      </c>
      <c r="J444" s="129" t="s">
        <v>1198</v>
      </c>
      <c r="K444" s="129" t="s">
        <v>173</v>
      </c>
    </row>
    <row r="445" customFormat="false" ht="13.5" hidden="false" customHeight="true" outlineLevel="0" collapsed="false">
      <c r="A445" s="175" t="n">
        <v>46204</v>
      </c>
      <c r="B445" s="179" t="str">
        <f aca="false">TEXT(A445,"mmm/aaaa")</f>
        <v>Tammuz/Wednesday</v>
      </c>
      <c r="C445" s="129" t="s">
        <v>37</v>
      </c>
      <c r="D445" s="129" t="s">
        <v>762</v>
      </c>
      <c r="E445" s="129" t="s">
        <v>13</v>
      </c>
      <c r="F445" s="176" t="n">
        <v>1</v>
      </c>
      <c r="G445" s="129" t="s">
        <v>179</v>
      </c>
      <c r="H445" s="131" t="n">
        <v>9.9</v>
      </c>
      <c r="I445" s="131" t="n">
        <f aca="false">IFERROR(H445/F445,0)</f>
        <v>9.9</v>
      </c>
      <c r="J445" s="129" t="s">
        <v>1198</v>
      </c>
      <c r="K445" s="129" t="s">
        <v>173</v>
      </c>
    </row>
    <row r="446" customFormat="false" ht="13.5" hidden="false" customHeight="true" outlineLevel="0" collapsed="false">
      <c r="A446" s="175" t="n">
        <v>46204</v>
      </c>
      <c r="B446" s="179" t="str">
        <f aca="false">TEXT(A446,"mmm/aaaa")</f>
        <v>Tammuz/Wednesday</v>
      </c>
      <c r="C446" s="129" t="s">
        <v>37</v>
      </c>
      <c r="D446" s="129" t="s">
        <v>764</v>
      </c>
      <c r="E446" s="129" t="s">
        <v>12</v>
      </c>
      <c r="F446" s="176" t="n">
        <v>1</v>
      </c>
      <c r="G446" s="129" t="s">
        <v>179</v>
      </c>
      <c r="H446" s="131" t="n">
        <v>15.9</v>
      </c>
      <c r="I446" s="131" t="n">
        <f aca="false">IFERROR(H446/F446,0)</f>
        <v>15.9</v>
      </c>
      <c r="J446" s="129" t="s">
        <v>1198</v>
      </c>
      <c r="K446" s="129" t="s">
        <v>173</v>
      </c>
    </row>
    <row r="447" customFormat="false" ht="13.5" hidden="false" customHeight="true" outlineLevel="0" collapsed="false">
      <c r="A447" s="175" t="n">
        <v>46204</v>
      </c>
      <c r="B447" s="179" t="str">
        <f aca="false">TEXT(A447,"mmm/aaaa")</f>
        <v>Tammuz/Wednesday</v>
      </c>
      <c r="C447" s="129" t="s">
        <v>37</v>
      </c>
      <c r="D447" s="129" t="s">
        <v>766</v>
      </c>
      <c r="E447" s="129" t="s">
        <v>14</v>
      </c>
      <c r="F447" s="176" t="n">
        <v>0.126</v>
      </c>
      <c r="G447" s="129" t="s">
        <v>176</v>
      </c>
      <c r="H447" s="131" t="n">
        <v>5.41</v>
      </c>
      <c r="I447" s="131" t="n">
        <f aca="false">IFERROR(H447/F447,0)</f>
        <v>42.9365079365079</v>
      </c>
      <c r="J447" s="129" t="s">
        <v>1198</v>
      </c>
      <c r="K447" s="129" t="s">
        <v>173</v>
      </c>
    </row>
    <row r="448" customFormat="false" ht="13.5" hidden="false" customHeight="true" outlineLevel="0" collapsed="false">
      <c r="A448" s="175" t="n">
        <v>46204</v>
      </c>
      <c r="B448" s="179" t="str">
        <f aca="false">TEXT(A448,"mmm/aaaa")</f>
        <v>Tammuz/Wednesday</v>
      </c>
      <c r="C448" s="129" t="s">
        <v>37</v>
      </c>
      <c r="D448" s="129" t="s">
        <v>740</v>
      </c>
      <c r="E448" s="129" t="s">
        <v>14</v>
      </c>
      <c r="F448" s="176" t="n">
        <v>0.355</v>
      </c>
      <c r="G448" s="129" t="s">
        <v>176</v>
      </c>
      <c r="H448" s="131" t="n">
        <v>6.35</v>
      </c>
      <c r="I448" s="131" t="n">
        <f aca="false">IFERROR(H448/F448,0)</f>
        <v>17.887323943662</v>
      </c>
      <c r="J448" s="129" t="s">
        <v>1198</v>
      </c>
      <c r="K448" s="129" t="s">
        <v>173</v>
      </c>
    </row>
    <row r="449" customFormat="false" ht="13.5" hidden="false" customHeight="true" outlineLevel="0" collapsed="false">
      <c r="A449" s="175" t="n">
        <v>46204</v>
      </c>
      <c r="B449" s="179" t="str">
        <f aca="false">TEXT(A449,"mmm/aaaa")</f>
        <v>Tammuz/Wednesday</v>
      </c>
      <c r="C449" s="129" t="s">
        <v>37</v>
      </c>
      <c r="D449" s="129" t="s">
        <v>768</v>
      </c>
      <c r="E449" s="129" t="s">
        <v>12</v>
      </c>
      <c r="F449" s="176" t="n">
        <v>1</v>
      </c>
      <c r="G449" s="129" t="s">
        <v>179</v>
      </c>
      <c r="H449" s="131" t="n">
        <v>2.99</v>
      </c>
      <c r="I449" s="131" t="n">
        <f aca="false">IFERROR(H449/F449,0)</f>
        <v>2.99</v>
      </c>
      <c r="J449" s="129" t="s">
        <v>1198</v>
      </c>
      <c r="K449" s="129" t="s">
        <v>173</v>
      </c>
    </row>
    <row r="450" customFormat="false" ht="13.5" hidden="false" customHeight="true" outlineLevel="0" collapsed="false">
      <c r="A450" s="137" t="n">
        <v>46204</v>
      </c>
      <c r="B450" s="180" t="str">
        <f aca="false">TEXT(A450,"mmm/aaaa")</f>
        <v>Tammuz/Wednesday</v>
      </c>
      <c r="C450" s="67" t="s">
        <v>37</v>
      </c>
      <c r="D450" s="67" t="s">
        <v>1199</v>
      </c>
      <c r="E450" s="67" t="s">
        <v>12</v>
      </c>
      <c r="F450" s="138" t="n">
        <v>1</v>
      </c>
      <c r="G450" s="67" t="s">
        <v>179</v>
      </c>
      <c r="H450" s="139" t="n">
        <v>7.99</v>
      </c>
      <c r="I450" s="139" t="n">
        <f aca="false">IFERROR(H450/F450,0)</f>
        <v>7.99</v>
      </c>
      <c r="J450" s="67" t="s">
        <v>1200</v>
      </c>
      <c r="K450" s="67" t="s">
        <v>173</v>
      </c>
    </row>
    <row r="451" customFormat="false" ht="13.5" hidden="false" customHeight="true" outlineLevel="0" collapsed="false">
      <c r="A451" s="137" t="n">
        <v>46204</v>
      </c>
      <c r="B451" s="180" t="str">
        <f aca="false">TEXT(A451,"mmm/aaaa")</f>
        <v>Tammuz/Wednesday</v>
      </c>
      <c r="C451" s="67" t="s">
        <v>37</v>
      </c>
      <c r="D451" s="67" t="s">
        <v>976</v>
      </c>
      <c r="E451" s="67" t="s">
        <v>12</v>
      </c>
      <c r="F451" s="138" t="n">
        <v>2</v>
      </c>
      <c r="G451" s="67" t="s">
        <v>179</v>
      </c>
      <c r="H451" s="139" t="n">
        <v>19.8</v>
      </c>
      <c r="I451" s="139" t="n">
        <f aca="false">IFERROR(H451/F451,0)</f>
        <v>9.9</v>
      </c>
      <c r="J451" s="67" t="s">
        <v>1200</v>
      </c>
      <c r="K451" s="67" t="s">
        <v>173</v>
      </c>
    </row>
    <row r="452" customFormat="false" ht="13.5" hidden="false" customHeight="true" outlineLevel="0" collapsed="false">
      <c r="A452" s="137" t="n">
        <v>46205</v>
      </c>
      <c r="B452" s="180" t="str">
        <f aca="false">TEXT(A452,"mmm/aaaa")</f>
        <v>Tammuz/Thursday</v>
      </c>
      <c r="C452" s="67" t="s">
        <v>39</v>
      </c>
      <c r="D452" s="67" t="s">
        <v>772</v>
      </c>
      <c r="E452" s="67" t="s">
        <v>14</v>
      </c>
      <c r="F452" s="138" t="n">
        <v>0.12</v>
      </c>
      <c r="G452" s="67" t="s">
        <v>176</v>
      </c>
      <c r="H452" s="139" t="n">
        <v>3.35</v>
      </c>
      <c r="I452" s="139" t="n">
        <f aca="false">IFERROR(H452/F452,0)</f>
        <v>27.9166666666667</v>
      </c>
      <c r="J452" s="67" t="s">
        <v>1201</v>
      </c>
      <c r="K452" s="67" t="s">
        <v>173</v>
      </c>
    </row>
    <row r="453" customFormat="false" ht="13.5" hidden="false" customHeight="true" outlineLevel="0" collapsed="false">
      <c r="A453" s="137" t="n">
        <v>46205</v>
      </c>
      <c r="B453" s="180" t="str">
        <f aca="false">TEXT(A453,"mmm/aaaa")</f>
        <v>Tammuz/Thursday</v>
      </c>
      <c r="C453" s="67" t="s">
        <v>39</v>
      </c>
      <c r="D453" s="67" t="s">
        <v>774</v>
      </c>
      <c r="E453" s="67" t="s">
        <v>14</v>
      </c>
      <c r="F453" s="138" t="n">
        <v>0.112</v>
      </c>
      <c r="G453" s="67" t="s">
        <v>176</v>
      </c>
      <c r="H453" s="139" t="n">
        <v>4.7</v>
      </c>
      <c r="I453" s="139" t="n">
        <f aca="false">IFERROR(H453/F453,0)</f>
        <v>41.9642857142857</v>
      </c>
      <c r="J453" s="67" t="s">
        <v>1201</v>
      </c>
      <c r="K453" s="67" t="s">
        <v>173</v>
      </c>
    </row>
    <row r="454" customFormat="false" ht="13.5" hidden="false" customHeight="true" outlineLevel="0" collapsed="false">
      <c r="A454" s="137" t="n">
        <v>46205</v>
      </c>
      <c r="B454" s="180" t="str">
        <f aca="false">TEXT(A454,"mmm/aaaa")</f>
        <v>Tammuz/Thursday</v>
      </c>
      <c r="C454" s="67" t="s">
        <v>39</v>
      </c>
      <c r="D454" s="67" t="s">
        <v>432</v>
      </c>
      <c r="E454" s="67" t="s">
        <v>14</v>
      </c>
      <c r="F454" s="138" t="n">
        <v>0.412</v>
      </c>
      <c r="G454" s="67" t="s">
        <v>176</v>
      </c>
      <c r="H454" s="139" t="n">
        <v>6.18</v>
      </c>
      <c r="I454" s="139" t="n">
        <f aca="false">IFERROR(H454/F454,0)</f>
        <v>15</v>
      </c>
      <c r="J454" s="67" t="s">
        <v>1201</v>
      </c>
      <c r="K454" s="67" t="s">
        <v>173</v>
      </c>
    </row>
    <row r="455" customFormat="false" ht="13.5" hidden="false" customHeight="true" outlineLevel="0" collapsed="false">
      <c r="A455" s="137" t="n">
        <v>46205</v>
      </c>
      <c r="B455" s="180" t="str">
        <f aca="false">TEXT(A455,"mmm/aaaa")</f>
        <v>Tammuz/Thursday</v>
      </c>
      <c r="C455" s="67" t="s">
        <v>39</v>
      </c>
      <c r="D455" s="67" t="s">
        <v>776</v>
      </c>
      <c r="E455" s="67" t="s">
        <v>13</v>
      </c>
      <c r="F455" s="138" t="n">
        <v>1</v>
      </c>
      <c r="G455" s="67" t="s">
        <v>179</v>
      </c>
      <c r="H455" s="139" t="n">
        <v>6.5</v>
      </c>
      <c r="I455" s="139" t="n">
        <f aca="false">IFERROR(H455/F455,0)</f>
        <v>6.5</v>
      </c>
      <c r="J455" s="67" t="s">
        <v>1201</v>
      </c>
      <c r="K455" s="67" t="s">
        <v>173</v>
      </c>
    </row>
    <row r="456" customFormat="false" ht="13.5" hidden="false" customHeight="true" outlineLevel="0" collapsed="false">
      <c r="A456" s="137" t="n">
        <v>46207</v>
      </c>
      <c r="B456" s="180" t="str">
        <f aca="false">TEXT(A456,"mmm/aaaa")</f>
        <v>Tammuz/Shabbat</v>
      </c>
      <c r="C456" s="67" t="s">
        <v>36</v>
      </c>
      <c r="D456" s="67" t="s">
        <v>598</v>
      </c>
      <c r="E456" s="67" t="s">
        <v>16</v>
      </c>
      <c r="F456" s="138" t="n">
        <v>1</v>
      </c>
      <c r="G456" s="67" t="s">
        <v>179</v>
      </c>
      <c r="H456" s="139" t="n">
        <v>6.99</v>
      </c>
      <c r="I456" s="139" t="n">
        <f aca="false">IFERROR(H456/F456,0)</f>
        <v>6.99</v>
      </c>
      <c r="J456" s="67" t="s">
        <v>1202</v>
      </c>
      <c r="K456" s="67" t="s">
        <v>173</v>
      </c>
    </row>
    <row r="457" customFormat="false" ht="13.5" hidden="false" customHeight="true" outlineLevel="0" collapsed="false">
      <c r="A457" s="137" t="n">
        <v>46207</v>
      </c>
      <c r="B457" s="180" t="str">
        <f aca="false">TEXT(A457,"mmm/aaaa")</f>
        <v>Tammuz/Shabbat</v>
      </c>
      <c r="C457" s="67" t="s">
        <v>36</v>
      </c>
      <c r="D457" s="67" t="s">
        <v>606</v>
      </c>
      <c r="E457" s="67" t="s">
        <v>16</v>
      </c>
      <c r="F457" s="138" t="n">
        <v>4</v>
      </c>
      <c r="G457" s="67" t="s">
        <v>179</v>
      </c>
      <c r="H457" s="139" t="n">
        <v>13.8</v>
      </c>
      <c r="I457" s="139" t="n">
        <f aca="false">IFERROR(H457/F457,0)</f>
        <v>3.45</v>
      </c>
      <c r="J457" s="67" t="s">
        <v>1202</v>
      </c>
      <c r="K457" s="67" t="s">
        <v>173</v>
      </c>
    </row>
    <row r="458" customFormat="false" ht="13.5" hidden="false" customHeight="true" outlineLevel="0" collapsed="false">
      <c r="A458" s="137" t="n">
        <v>46207</v>
      </c>
      <c r="B458" s="180" t="str">
        <f aca="false">TEXT(A458,"mmm/aaaa")</f>
        <v>Tammuz/Shabbat</v>
      </c>
      <c r="C458" s="67" t="s">
        <v>36</v>
      </c>
      <c r="D458" s="67" t="s">
        <v>647</v>
      </c>
      <c r="E458" s="67" t="s">
        <v>13</v>
      </c>
      <c r="F458" s="138" t="n">
        <v>2</v>
      </c>
      <c r="G458" s="67" t="s">
        <v>179</v>
      </c>
      <c r="H458" s="139" t="n">
        <v>11</v>
      </c>
      <c r="I458" s="139" t="n">
        <f aca="false">IFERROR(H458/F458,0)</f>
        <v>5.5</v>
      </c>
      <c r="J458" s="67" t="s">
        <v>1202</v>
      </c>
      <c r="K458" s="67" t="s">
        <v>173</v>
      </c>
    </row>
    <row r="459" customFormat="false" ht="13.5" hidden="false" customHeight="true" outlineLevel="0" collapsed="false">
      <c r="A459" s="137" t="n">
        <v>46207</v>
      </c>
      <c r="B459" s="180" t="str">
        <f aca="false">TEXT(A459,"mmm/aaaa")</f>
        <v>Tammuz/Shabbat</v>
      </c>
      <c r="C459" s="67" t="s">
        <v>36</v>
      </c>
      <c r="D459" s="67" t="s">
        <v>1203</v>
      </c>
      <c r="E459" s="67" t="s">
        <v>13</v>
      </c>
      <c r="F459" s="138" t="n">
        <v>1.406</v>
      </c>
      <c r="G459" s="67" t="s">
        <v>176</v>
      </c>
      <c r="H459" s="139" t="n">
        <v>56.1</v>
      </c>
      <c r="I459" s="139" t="n">
        <f aca="false">IFERROR(H459/F459,0)</f>
        <v>39.900426742532</v>
      </c>
      <c r="J459" s="67" t="s">
        <v>1202</v>
      </c>
      <c r="K459" s="67" t="s">
        <v>173</v>
      </c>
    </row>
    <row r="460" customFormat="false" ht="13.5" hidden="false" customHeight="true" outlineLevel="0" collapsed="false">
      <c r="A460" s="137" t="n">
        <v>46207</v>
      </c>
      <c r="B460" s="180" t="str">
        <f aca="false">TEXT(A460,"mmm/aaaa")</f>
        <v>Tammuz/Shabbat</v>
      </c>
      <c r="C460" s="67" t="s">
        <v>36</v>
      </c>
      <c r="D460" s="67" t="s">
        <v>780</v>
      </c>
      <c r="E460" s="67" t="s">
        <v>17</v>
      </c>
      <c r="F460" s="138" t="n">
        <v>1</v>
      </c>
      <c r="G460" s="67" t="s">
        <v>179</v>
      </c>
      <c r="H460" s="139" t="n">
        <v>6.95</v>
      </c>
      <c r="I460" s="139" t="n">
        <f aca="false">IFERROR(H460/F460,0)</f>
        <v>6.95</v>
      </c>
      <c r="J460" s="67" t="s">
        <v>1202</v>
      </c>
      <c r="K460" s="67" t="s">
        <v>173</v>
      </c>
    </row>
    <row r="461" customFormat="false" ht="13.5" hidden="false" customHeight="true" outlineLevel="0" collapsed="false">
      <c r="A461" s="137" t="n">
        <v>46207</v>
      </c>
      <c r="B461" s="180" t="str">
        <f aca="false">TEXT(A461,"mmm/aaaa")</f>
        <v>Tammuz/Shabbat</v>
      </c>
      <c r="C461" s="67" t="s">
        <v>36</v>
      </c>
      <c r="D461" s="67" t="s">
        <v>440</v>
      </c>
      <c r="E461" s="67" t="s">
        <v>16</v>
      </c>
      <c r="F461" s="138" t="n">
        <v>8</v>
      </c>
      <c r="G461" s="67" t="s">
        <v>179</v>
      </c>
      <c r="H461" s="139" t="n">
        <v>13.2</v>
      </c>
      <c r="I461" s="139" t="n">
        <f aca="false">IFERROR(H461/F461,0)</f>
        <v>1.65</v>
      </c>
      <c r="J461" s="67" t="s">
        <v>1202</v>
      </c>
      <c r="K461" s="67" t="s">
        <v>173</v>
      </c>
    </row>
    <row r="462" customFormat="false" ht="13.5" hidden="false" customHeight="true" outlineLevel="0" collapsed="false">
      <c r="A462" s="137" t="n">
        <v>46207</v>
      </c>
      <c r="B462" s="180" t="str">
        <f aca="false">TEXT(A462,"mmm/aaaa")</f>
        <v>Tammuz/Shabbat</v>
      </c>
      <c r="C462" s="67" t="s">
        <v>36</v>
      </c>
      <c r="D462" s="67" t="s">
        <v>782</v>
      </c>
      <c r="E462" s="67" t="s">
        <v>17</v>
      </c>
      <c r="F462" s="138" t="n">
        <v>0.312</v>
      </c>
      <c r="G462" s="67" t="s">
        <v>176</v>
      </c>
      <c r="H462" s="139" t="n">
        <v>8.08</v>
      </c>
      <c r="I462" s="139" t="n">
        <f aca="false">IFERROR(H462/F462,0)</f>
        <v>25.8974358974359</v>
      </c>
      <c r="J462" s="67" t="s">
        <v>1202</v>
      </c>
      <c r="K462" s="67" t="s">
        <v>173</v>
      </c>
    </row>
    <row r="463" customFormat="false" ht="13.5" hidden="false" customHeight="true" outlineLevel="0" collapsed="false">
      <c r="A463" s="137" t="n">
        <v>46207</v>
      </c>
      <c r="B463" s="180" t="str">
        <f aca="false">TEXT(A463,"mmm/aaaa")</f>
        <v>Tammuz/Shabbat</v>
      </c>
      <c r="C463" s="67" t="s">
        <v>36</v>
      </c>
      <c r="D463" s="67" t="s">
        <v>602</v>
      </c>
      <c r="E463" s="67" t="s">
        <v>13</v>
      </c>
      <c r="F463" s="138" t="n">
        <v>3</v>
      </c>
      <c r="G463" s="67" t="s">
        <v>179</v>
      </c>
      <c r="H463" s="139" t="n">
        <v>15.87</v>
      </c>
      <c r="I463" s="139" t="n">
        <f aca="false">IFERROR(H463/F463,0)</f>
        <v>5.29</v>
      </c>
      <c r="J463" s="67" t="s">
        <v>1202</v>
      </c>
      <c r="K463" s="67" t="s">
        <v>173</v>
      </c>
    </row>
    <row r="464" customFormat="false" ht="13.5" hidden="false" customHeight="true" outlineLevel="0" collapsed="false">
      <c r="A464" s="137" t="n">
        <v>46207</v>
      </c>
      <c r="B464" s="180" t="str">
        <f aca="false">TEXT(A464,"mmm/aaaa")</f>
        <v>Tammuz/Shabbat</v>
      </c>
      <c r="C464" s="67" t="s">
        <v>36</v>
      </c>
      <c r="D464" s="67" t="s">
        <v>1204</v>
      </c>
      <c r="E464" s="67" t="s">
        <v>13</v>
      </c>
      <c r="F464" s="138" t="n">
        <v>1</v>
      </c>
      <c r="G464" s="67" t="s">
        <v>179</v>
      </c>
      <c r="H464" s="139" t="n">
        <v>17.99</v>
      </c>
      <c r="I464" s="139" t="n">
        <f aca="false">IFERROR(H464/F464,0)</f>
        <v>17.99</v>
      </c>
      <c r="J464" s="67" t="s">
        <v>1202</v>
      </c>
      <c r="K464" s="67" t="s">
        <v>173</v>
      </c>
    </row>
    <row r="465" customFormat="false" ht="13.5" hidden="false" customHeight="true" outlineLevel="0" collapsed="false">
      <c r="A465" s="137" t="n">
        <v>46207</v>
      </c>
      <c r="B465" s="180" t="str">
        <f aca="false">TEXT(A465,"mmm/aaaa")</f>
        <v>Tammuz/Shabbat</v>
      </c>
      <c r="C465" s="67" t="s">
        <v>36</v>
      </c>
      <c r="D465" s="67" t="s">
        <v>786</v>
      </c>
      <c r="E465" s="67" t="s">
        <v>12</v>
      </c>
      <c r="F465" s="138" t="n">
        <v>2</v>
      </c>
      <c r="G465" s="67" t="s">
        <v>179</v>
      </c>
      <c r="H465" s="139" t="n">
        <v>15.6</v>
      </c>
      <c r="I465" s="139" t="n">
        <f aca="false">IFERROR(H465/F465,0)</f>
        <v>7.8</v>
      </c>
      <c r="J465" s="67" t="s">
        <v>1202</v>
      </c>
      <c r="K465" s="67" t="s">
        <v>173</v>
      </c>
    </row>
    <row r="466" customFormat="false" ht="13.5" hidden="false" customHeight="true" outlineLevel="0" collapsed="false">
      <c r="A466" s="137" t="n">
        <v>46207</v>
      </c>
      <c r="B466" s="180" t="str">
        <f aca="false">TEXT(A466,"mmm/aaaa")</f>
        <v>Tammuz/Shabbat</v>
      </c>
      <c r="C466" s="67" t="s">
        <v>36</v>
      </c>
      <c r="D466" s="67" t="s">
        <v>261</v>
      </c>
      <c r="E466" s="67" t="s">
        <v>12</v>
      </c>
      <c r="F466" s="138" t="n">
        <v>1</v>
      </c>
      <c r="G466" s="67" t="s">
        <v>179</v>
      </c>
      <c r="H466" s="139" t="n">
        <v>10.2</v>
      </c>
      <c r="I466" s="139" t="n">
        <f aca="false">IFERROR(H466/F466,0)</f>
        <v>10.2</v>
      </c>
      <c r="J466" s="67" t="s">
        <v>1202</v>
      </c>
      <c r="K466" s="67" t="s">
        <v>173</v>
      </c>
    </row>
    <row r="467" customFormat="false" ht="13.5" hidden="false" customHeight="true" outlineLevel="0" collapsed="false">
      <c r="A467" s="137" t="n">
        <v>46207</v>
      </c>
      <c r="B467" s="180" t="str">
        <f aca="false">TEXT(A467,"mmm/aaaa")</f>
        <v>Tammuz/Shabbat</v>
      </c>
      <c r="C467" s="67" t="s">
        <v>36</v>
      </c>
      <c r="D467" s="67" t="s">
        <v>788</v>
      </c>
      <c r="E467" s="67" t="s">
        <v>12</v>
      </c>
      <c r="F467" s="138" t="n">
        <v>1</v>
      </c>
      <c r="G467" s="67" t="s">
        <v>179</v>
      </c>
      <c r="H467" s="139" t="n">
        <v>9.5</v>
      </c>
      <c r="I467" s="139" t="n">
        <f aca="false">IFERROR(H467/F467,0)</f>
        <v>9.5</v>
      </c>
      <c r="J467" s="67" t="s">
        <v>1202</v>
      </c>
      <c r="K467" s="67" t="s">
        <v>173</v>
      </c>
    </row>
    <row r="468" customFormat="false" ht="13.5" hidden="false" customHeight="true" outlineLevel="0" collapsed="false">
      <c r="A468" s="137" t="n">
        <v>46207</v>
      </c>
      <c r="B468" s="180" t="str">
        <f aca="false">TEXT(A468,"mmm/aaaa")</f>
        <v>Tammuz/Shabbat</v>
      </c>
      <c r="C468" s="67" t="s">
        <v>36</v>
      </c>
      <c r="D468" s="67" t="s">
        <v>790</v>
      </c>
      <c r="E468" s="67" t="s">
        <v>12</v>
      </c>
      <c r="F468" s="138" t="n">
        <v>1</v>
      </c>
      <c r="G468" s="67" t="s">
        <v>179</v>
      </c>
      <c r="H468" s="139" t="n">
        <v>9.2</v>
      </c>
      <c r="I468" s="139" t="n">
        <f aca="false">IFERROR(H468/F468,0)</f>
        <v>9.2</v>
      </c>
      <c r="J468" s="67" t="s">
        <v>1202</v>
      </c>
      <c r="K468" s="67" t="s">
        <v>173</v>
      </c>
    </row>
    <row r="469" customFormat="false" ht="13.5" hidden="false" customHeight="true" outlineLevel="0" collapsed="false">
      <c r="A469" s="137" t="n">
        <v>46207</v>
      </c>
      <c r="B469" s="180" t="str">
        <f aca="false">TEXT(A469,"mmm/aaaa")</f>
        <v>Tammuz/Shabbat</v>
      </c>
      <c r="C469" s="67" t="s">
        <v>36</v>
      </c>
      <c r="D469" s="67" t="s">
        <v>792</v>
      </c>
      <c r="E469" s="67" t="s">
        <v>12</v>
      </c>
      <c r="F469" s="138" t="n">
        <v>1</v>
      </c>
      <c r="G469" s="67" t="s">
        <v>179</v>
      </c>
      <c r="H469" s="139" t="n">
        <v>5.99</v>
      </c>
      <c r="I469" s="139" t="n">
        <f aca="false">IFERROR(H469/F469,0)</f>
        <v>5.99</v>
      </c>
      <c r="J469" s="67" t="s">
        <v>1202</v>
      </c>
      <c r="K469" s="67" t="s">
        <v>173</v>
      </c>
    </row>
    <row r="470" customFormat="false" ht="13.5" hidden="false" customHeight="true" outlineLevel="0" collapsed="false">
      <c r="A470" s="137" t="n">
        <v>46207</v>
      </c>
      <c r="B470" s="180" t="str">
        <f aca="false">TEXT(A470,"mmm/aaaa")</f>
        <v>Tammuz/Shabbat</v>
      </c>
      <c r="C470" s="67" t="s">
        <v>36</v>
      </c>
      <c r="D470" s="67" t="s">
        <v>380</v>
      </c>
      <c r="E470" s="67" t="s">
        <v>12</v>
      </c>
      <c r="F470" s="138" t="n">
        <v>1</v>
      </c>
      <c r="G470" s="67" t="s">
        <v>179</v>
      </c>
      <c r="H470" s="139" t="n">
        <v>6.2</v>
      </c>
      <c r="I470" s="139" t="n">
        <f aca="false">IFERROR(H470/F470,0)</f>
        <v>6.2</v>
      </c>
      <c r="J470" s="67" t="s">
        <v>1202</v>
      </c>
      <c r="K470" s="67" t="s">
        <v>173</v>
      </c>
    </row>
    <row r="471" customFormat="false" ht="13.5" hidden="false" customHeight="true" outlineLevel="0" collapsed="false">
      <c r="A471" s="137" t="n">
        <v>46207</v>
      </c>
      <c r="B471" s="180" t="str">
        <f aca="false">TEXT(A471,"mmm/aaaa")</f>
        <v>Tammuz/Shabbat</v>
      </c>
      <c r="C471" s="67" t="s">
        <v>36</v>
      </c>
      <c r="D471" s="67" t="s">
        <v>382</v>
      </c>
      <c r="E471" s="67" t="s">
        <v>12</v>
      </c>
      <c r="F471" s="138" t="n">
        <v>1</v>
      </c>
      <c r="G471" s="67" t="s">
        <v>179</v>
      </c>
      <c r="H471" s="139" t="n">
        <v>7.7</v>
      </c>
      <c r="I471" s="139" t="n">
        <f aca="false">IFERROR(H471/F471,0)</f>
        <v>7.7</v>
      </c>
      <c r="J471" s="67" t="s">
        <v>1202</v>
      </c>
      <c r="K471" s="67" t="s">
        <v>173</v>
      </c>
    </row>
    <row r="472" customFormat="false" ht="13.5" hidden="false" customHeight="true" outlineLevel="0" collapsed="false">
      <c r="A472" s="137" t="n">
        <v>46207</v>
      </c>
      <c r="B472" s="180" t="str">
        <f aca="false">TEXT(A472,"mmm/aaaa")</f>
        <v>Tammuz/Shabbat</v>
      </c>
      <c r="C472" s="67" t="s">
        <v>36</v>
      </c>
      <c r="D472" s="67" t="s">
        <v>1205</v>
      </c>
      <c r="E472" s="67" t="s">
        <v>12</v>
      </c>
      <c r="F472" s="138" t="n">
        <v>4</v>
      </c>
      <c r="G472" s="67" t="s">
        <v>179</v>
      </c>
      <c r="H472" s="139" t="n">
        <v>7.56</v>
      </c>
      <c r="I472" s="139" t="n">
        <f aca="false">IFERROR(H472/F472,0)</f>
        <v>1.89</v>
      </c>
      <c r="J472" s="67" t="s">
        <v>1202</v>
      </c>
      <c r="K472" s="67" t="s">
        <v>173</v>
      </c>
    </row>
    <row r="473" customFormat="false" ht="13.5" hidden="false" customHeight="true" outlineLevel="0" collapsed="false">
      <c r="A473" s="137" t="n">
        <v>46207</v>
      </c>
      <c r="B473" s="180" t="str">
        <f aca="false">TEXT(A473,"mmm/aaaa")</f>
        <v>Tammuz/Shabbat</v>
      </c>
      <c r="C473" s="67" t="s">
        <v>36</v>
      </c>
      <c r="D473" s="67" t="s">
        <v>242</v>
      </c>
      <c r="E473" s="67" t="s">
        <v>12</v>
      </c>
      <c r="F473" s="138" t="n">
        <v>3</v>
      </c>
      <c r="G473" s="67" t="s">
        <v>179</v>
      </c>
      <c r="H473" s="139" t="n">
        <v>11.85</v>
      </c>
      <c r="I473" s="139" t="n">
        <f aca="false">IFERROR(H473/F473,0)</f>
        <v>3.95</v>
      </c>
      <c r="J473" s="67" t="s">
        <v>1202</v>
      </c>
      <c r="K473" s="67" t="s">
        <v>173</v>
      </c>
    </row>
    <row r="474" customFormat="false" ht="13.5" hidden="false" customHeight="true" outlineLevel="0" collapsed="false">
      <c r="A474" s="137" t="n">
        <v>46207</v>
      </c>
      <c r="B474" s="180" t="str">
        <f aca="false">TEXT(A474,"mmm/aaaa")</f>
        <v>Tammuz/Shabbat</v>
      </c>
      <c r="C474" s="67" t="s">
        <v>36</v>
      </c>
      <c r="D474" s="67" t="s">
        <v>241</v>
      </c>
      <c r="E474" s="67" t="s">
        <v>12</v>
      </c>
      <c r="F474" s="138" t="n">
        <v>2</v>
      </c>
      <c r="G474" s="67" t="s">
        <v>179</v>
      </c>
      <c r="H474" s="139" t="n">
        <v>3.78</v>
      </c>
      <c r="I474" s="139" t="n">
        <f aca="false">IFERROR(H474/F474,0)</f>
        <v>1.89</v>
      </c>
      <c r="J474" s="67" t="s">
        <v>1202</v>
      </c>
      <c r="K474" s="67" t="s">
        <v>173</v>
      </c>
    </row>
    <row r="475" customFormat="false" ht="13.5" hidden="false" customHeight="true" outlineLevel="0" collapsed="false">
      <c r="A475" s="137" t="n">
        <v>46207</v>
      </c>
      <c r="B475" s="180" t="str">
        <f aca="false">TEXT(A475,"mmm/aaaa")</f>
        <v>Tammuz/Shabbat</v>
      </c>
      <c r="C475" s="67" t="s">
        <v>36</v>
      </c>
      <c r="D475" s="67" t="s">
        <v>1206</v>
      </c>
      <c r="E475" s="67" t="s">
        <v>12</v>
      </c>
      <c r="F475" s="138" t="n">
        <v>1</v>
      </c>
      <c r="G475" s="67" t="s">
        <v>179</v>
      </c>
      <c r="H475" s="139" t="n">
        <v>4.6</v>
      </c>
      <c r="I475" s="139" t="n">
        <f aca="false">IFERROR(H475/F475,0)</f>
        <v>4.6</v>
      </c>
      <c r="J475" s="67" t="s">
        <v>1202</v>
      </c>
      <c r="K475" s="67" t="s">
        <v>173</v>
      </c>
    </row>
    <row r="476" customFormat="false" ht="13.5" hidden="false" customHeight="true" outlineLevel="0" collapsed="false">
      <c r="A476" s="137" t="n">
        <v>46207</v>
      </c>
      <c r="B476" s="180" t="str">
        <f aca="false">TEXT(A476,"mmm/aaaa")</f>
        <v>Tammuz/Shabbat</v>
      </c>
      <c r="C476" s="67" t="s">
        <v>36</v>
      </c>
      <c r="D476" s="67" t="s">
        <v>801</v>
      </c>
      <c r="E476" s="67" t="s">
        <v>12</v>
      </c>
      <c r="F476" s="138" t="n">
        <v>1</v>
      </c>
      <c r="G476" s="67" t="s">
        <v>179</v>
      </c>
      <c r="H476" s="139" t="n">
        <v>2.6</v>
      </c>
      <c r="I476" s="139" t="n">
        <f aca="false">IFERROR(H476/F476,0)</f>
        <v>2.6</v>
      </c>
      <c r="J476" s="67" t="s">
        <v>1202</v>
      </c>
      <c r="K476" s="67" t="s">
        <v>173</v>
      </c>
    </row>
    <row r="477" customFormat="false" ht="13.5" hidden="false" customHeight="true" outlineLevel="0" collapsed="false">
      <c r="A477" s="137" t="n">
        <v>46207</v>
      </c>
      <c r="B477" s="180" t="str">
        <f aca="false">TEXT(A477,"mmm/aaaa")</f>
        <v>Tammuz/Shabbat</v>
      </c>
      <c r="C477" s="67" t="s">
        <v>36</v>
      </c>
      <c r="D477" s="67" t="s">
        <v>268</v>
      </c>
      <c r="E477" s="67" t="s">
        <v>12</v>
      </c>
      <c r="F477" s="138" t="n">
        <v>1</v>
      </c>
      <c r="G477" s="67" t="s">
        <v>179</v>
      </c>
      <c r="H477" s="139" t="n">
        <v>16.5</v>
      </c>
      <c r="I477" s="139" t="n">
        <f aca="false">IFERROR(H477/F477,0)</f>
        <v>16.5</v>
      </c>
      <c r="J477" s="67" t="s">
        <v>1202</v>
      </c>
      <c r="K477" s="67" t="s">
        <v>173</v>
      </c>
    </row>
    <row r="478" customFormat="false" ht="13.5" hidden="false" customHeight="true" outlineLevel="0" collapsed="false">
      <c r="A478" s="137" t="n">
        <v>46207</v>
      </c>
      <c r="B478" s="180" t="str">
        <f aca="false">TEXT(A478,"mmm/aaaa")</f>
        <v>Tammuz/Shabbat</v>
      </c>
      <c r="C478" s="67" t="s">
        <v>36</v>
      </c>
      <c r="D478" s="67" t="s">
        <v>804</v>
      </c>
      <c r="E478" s="67" t="s">
        <v>12</v>
      </c>
      <c r="F478" s="138" t="n">
        <v>1</v>
      </c>
      <c r="G478" s="67" t="s">
        <v>179</v>
      </c>
      <c r="H478" s="139" t="n">
        <v>5.99</v>
      </c>
      <c r="I478" s="139" t="n">
        <f aca="false">IFERROR(H478/F478,0)</f>
        <v>5.99</v>
      </c>
      <c r="J478" s="67" t="s">
        <v>1202</v>
      </c>
      <c r="K478" s="67" t="s">
        <v>173</v>
      </c>
    </row>
    <row r="479" customFormat="false" ht="13.5" hidden="false" customHeight="true" outlineLevel="0" collapsed="false">
      <c r="A479" s="137" t="n">
        <v>46207</v>
      </c>
      <c r="B479" s="180" t="str">
        <f aca="false">TEXT(A479,"mmm/aaaa")</f>
        <v>Tammuz/Shabbat</v>
      </c>
      <c r="C479" s="67" t="s">
        <v>36</v>
      </c>
      <c r="D479" s="67" t="s">
        <v>446</v>
      </c>
      <c r="E479" s="67" t="s">
        <v>12</v>
      </c>
      <c r="F479" s="138" t="n">
        <v>2</v>
      </c>
      <c r="G479" s="67" t="s">
        <v>179</v>
      </c>
      <c r="H479" s="139" t="n">
        <v>21</v>
      </c>
      <c r="I479" s="139" t="n">
        <f aca="false">IFERROR(H479/F479,0)</f>
        <v>10.5</v>
      </c>
      <c r="J479" s="67" t="s">
        <v>1202</v>
      </c>
      <c r="K479" s="67" t="s">
        <v>173</v>
      </c>
    </row>
    <row r="480" customFormat="false" ht="13.5" hidden="false" customHeight="true" outlineLevel="0" collapsed="false">
      <c r="A480" s="137" t="n">
        <v>46207</v>
      </c>
      <c r="B480" s="180" t="str">
        <f aca="false">TEXT(A480,"mmm/aaaa")</f>
        <v>Tammuz/Shabbat</v>
      </c>
      <c r="C480" s="67" t="s">
        <v>36</v>
      </c>
      <c r="D480" s="67" t="s">
        <v>805</v>
      </c>
      <c r="E480" s="67" t="s">
        <v>12</v>
      </c>
      <c r="F480" s="138" t="n">
        <v>1</v>
      </c>
      <c r="G480" s="67" t="s">
        <v>179</v>
      </c>
      <c r="H480" s="139" t="n">
        <v>3.9</v>
      </c>
      <c r="I480" s="139" t="n">
        <f aca="false">IFERROR(H480/F480,0)</f>
        <v>3.9</v>
      </c>
      <c r="J480" s="67" t="s">
        <v>1202</v>
      </c>
      <c r="K480" s="67" t="s">
        <v>173</v>
      </c>
    </row>
    <row r="481" customFormat="false" ht="13.5" hidden="false" customHeight="true" outlineLevel="0" collapsed="false">
      <c r="A481" s="137" t="n">
        <v>46207</v>
      </c>
      <c r="B481" s="180" t="str">
        <f aca="false">TEXT(A481,"mmm/aaaa")</f>
        <v>Tammuz/Shabbat</v>
      </c>
      <c r="C481" s="67" t="s">
        <v>36</v>
      </c>
      <c r="D481" s="67" t="s">
        <v>1207</v>
      </c>
      <c r="E481" s="67" t="s">
        <v>12</v>
      </c>
      <c r="F481" s="138" t="n">
        <v>1</v>
      </c>
      <c r="G481" s="67" t="s">
        <v>179</v>
      </c>
      <c r="H481" s="139" t="n">
        <v>3.1</v>
      </c>
      <c r="I481" s="139" t="n">
        <f aca="false">IFERROR(H481/F481,0)</f>
        <v>3.1</v>
      </c>
      <c r="J481" s="67" t="s">
        <v>1202</v>
      </c>
      <c r="K481" s="67" t="s">
        <v>173</v>
      </c>
    </row>
    <row r="482" customFormat="false" ht="13.5" hidden="false" customHeight="true" outlineLevel="0" collapsed="false">
      <c r="A482" s="137" t="n">
        <v>46207</v>
      </c>
      <c r="B482" s="180" t="str">
        <f aca="false">TEXT(A482,"mmm/aaaa")</f>
        <v>Tammuz/Shabbat</v>
      </c>
      <c r="C482" s="67" t="s">
        <v>36</v>
      </c>
      <c r="D482" s="67" t="s">
        <v>809</v>
      </c>
      <c r="E482" s="67" t="s">
        <v>12</v>
      </c>
      <c r="F482" s="138" t="n">
        <v>1</v>
      </c>
      <c r="G482" s="67" t="s">
        <v>179</v>
      </c>
      <c r="H482" s="139" t="n">
        <v>4.5</v>
      </c>
      <c r="I482" s="139" t="n">
        <f aca="false">IFERROR(H482/F482,0)</f>
        <v>4.5</v>
      </c>
      <c r="J482" s="67" t="s">
        <v>1202</v>
      </c>
      <c r="K482" s="67" t="s">
        <v>173</v>
      </c>
    </row>
    <row r="483" customFormat="false" ht="13.5" hidden="false" customHeight="true" outlineLevel="0" collapsed="false">
      <c r="A483" s="137" t="n">
        <v>46207</v>
      </c>
      <c r="B483" s="180" t="str">
        <f aca="false">TEXT(A483,"mmm/aaaa")</f>
        <v>Tammuz/Shabbat</v>
      </c>
      <c r="C483" s="67" t="s">
        <v>36</v>
      </c>
      <c r="D483" s="67" t="s">
        <v>1208</v>
      </c>
      <c r="E483" s="67" t="s">
        <v>12</v>
      </c>
      <c r="F483" s="138" t="n">
        <v>1</v>
      </c>
      <c r="G483" s="67" t="s">
        <v>179</v>
      </c>
      <c r="H483" s="139" t="n">
        <v>28.3</v>
      </c>
      <c r="I483" s="139" t="n">
        <f aca="false">IFERROR(H483/F483,0)</f>
        <v>28.3</v>
      </c>
      <c r="J483" s="67" t="s">
        <v>1202</v>
      </c>
      <c r="K483" s="67" t="s">
        <v>173</v>
      </c>
    </row>
    <row r="484" customFormat="false" ht="13.5" hidden="false" customHeight="true" outlineLevel="0" collapsed="false">
      <c r="A484" s="137" t="n">
        <v>46207</v>
      </c>
      <c r="B484" s="180" t="str">
        <f aca="false">TEXT(A484,"mmm/aaaa")</f>
        <v>Tammuz/Shabbat</v>
      </c>
      <c r="C484" s="67" t="s">
        <v>36</v>
      </c>
      <c r="D484" s="67" t="s">
        <v>1209</v>
      </c>
      <c r="E484" s="67" t="s">
        <v>12</v>
      </c>
      <c r="F484" s="138" t="n">
        <v>1</v>
      </c>
      <c r="G484" s="67" t="s">
        <v>179</v>
      </c>
      <c r="H484" s="139" t="n">
        <v>5.75</v>
      </c>
      <c r="I484" s="139" t="n">
        <f aca="false">IFERROR(H484/F484,0)</f>
        <v>5.75</v>
      </c>
      <c r="J484" s="67" t="s">
        <v>1202</v>
      </c>
      <c r="K484" s="67" t="s">
        <v>173</v>
      </c>
    </row>
    <row r="485" customFormat="false" ht="13.5" hidden="false" customHeight="true" outlineLevel="0" collapsed="false">
      <c r="A485" s="137" t="n">
        <v>46207</v>
      </c>
      <c r="B485" s="180" t="str">
        <f aca="false">TEXT(A485,"mmm/aaaa")</f>
        <v>Tammuz/Shabbat</v>
      </c>
      <c r="C485" s="67" t="s">
        <v>36</v>
      </c>
      <c r="D485" s="67" t="s">
        <v>254</v>
      </c>
      <c r="E485" s="67" t="s">
        <v>12</v>
      </c>
      <c r="F485" s="138" t="n">
        <v>1</v>
      </c>
      <c r="G485" s="67" t="s">
        <v>179</v>
      </c>
      <c r="H485" s="139" t="n">
        <v>7.6</v>
      </c>
      <c r="I485" s="139" t="n">
        <f aca="false">IFERROR(H485/F485,0)</f>
        <v>7.6</v>
      </c>
      <c r="J485" s="67" t="s">
        <v>1202</v>
      </c>
      <c r="K485" s="67" t="s">
        <v>173</v>
      </c>
    </row>
    <row r="486" customFormat="false" ht="13.5" hidden="false" customHeight="true" outlineLevel="0" collapsed="false">
      <c r="A486" s="137" t="n">
        <v>46207</v>
      </c>
      <c r="B486" s="180" t="str">
        <f aca="false">TEXT(A486,"mmm/aaaa")</f>
        <v>Tammuz/Shabbat</v>
      </c>
      <c r="C486" s="67" t="s">
        <v>36</v>
      </c>
      <c r="D486" s="67" t="s">
        <v>812</v>
      </c>
      <c r="E486" s="67" t="s">
        <v>12</v>
      </c>
      <c r="F486" s="138" t="n">
        <v>1</v>
      </c>
      <c r="G486" s="67" t="s">
        <v>179</v>
      </c>
      <c r="H486" s="139" t="n">
        <v>2.4</v>
      </c>
      <c r="I486" s="139" t="n">
        <f aca="false">IFERROR(H486/F486,0)</f>
        <v>2.4</v>
      </c>
      <c r="J486" s="67" t="s">
        <v>1202</v>
      </c>
      <c r="K486" s="67" t="s">
        <v>173</v>
      </c>
    </row>
    <row r="487" customFormat="false" ht="13.5" hidden="false" customHeight="true" outlineLevel="0" collapsed="false">
      <c r="A487" s="137" t="n">
        <v>46207</v>
      </c>
      <c r="B487" s="180" t="str">
        <f aca="false">TEXT(A487,"mmm/aaaa")</f>
        <v>Tammuz/Shabbat</v>
      </c>
      <c r="C487" s="67" t="s">
        <v>36</v>
      </c>
      <c r="D487" s="67" t="s">
        <v>364</v>
      </c>
      <c r="E487" s="67" t="s">
        <v>12</v>
      </c>
      <c r="F487" s="138" t="n">
        <v>1</v>
      </c>
      <c r="G487" s="67" t="s">
        <v>179</v>
      </c>
      <c r="H487" s="139" t="n">
        <v>8.5</v>
      </c>
      <c r="I487" s="139" t="n">
        <f aca="false">IFERROR(H487/F487,0)</f>
        <v>8.5</v>
      </c>
      <c r="J487" s="67" t="s">
        <v>1202</v>
      </c>
      <c r="K487" s="67" t="s">
        <v>173</v>
      </c>
    </row>
    <row r="488" customFormat="false" ht="13.5" hidden="false" customHeight="true" outlineLevel="0" collapsed="false">
      <c r="A488" s="137" t="n">
        <v>46207</v>
      </c>
      <c r="B488" s="180" t="str">
        <f aca="false">TEXT(A488,"mmm/aaaa")</f>
        <v>Tammuz/Shabbat</v>
      </c>
      <c r="C488" s="67" t="s">
        <v>36</v>
      </c>
      <c r="D488" s="67" t="s">
        <v>814</v>
      </c>
      <c r="E488" s="67" t="s">
        <v>12</v>
      </c>
      <c r="F488" s="138" t="n">
        <v>1</v>
      </c>
      <c r="G488" s="67" t="s">
        <v>179</v>
      </c>
      <c r="H488" s="139" t="n">
        <v>5.99</v>
      </c>
      <c r="I488" s="139" t="n">
        <f aca="false">IFERROR(H488/F488,0)</f>
        <v>5.99</v>
      </c>
      <c r="J488" s="67" t="s">
        <v>1202</v>
      </c>
      <c r="K488" s="67" t="s">
        <v>173</v>
      </c>
    </row>
    <row r="489" customFormat="false" ht="13.5" hidden="false" customHeight="true" outlineLevel="0" collapsed="false">
      <c r="A489" s="137" t="n">
        <v>46207</v>
      </c>
      <c r="B489" s="180" t="str">
        <f aca="false">TEXT(A489,"mmm/aaaa")</f>
        <v>Tammuz/Shabbat</v>
      </c>
      <c r="C489" s="67" t="s">
        <v>36</v>
      </c>
      <c r="D489" s="67" t="s">
        <v>549</v>
      </c>
      <c r="E489" s="67" t="s">
        <v>12</v>
      </c>
      <c r="F489" s="138" t="n">
        <v>2</v>
      </c>
      <c r="G489" s="67" t="s">
        <v>179</v>
      </c>
      <c r="H489" s="139" t="n">
        <v>8.5</v>
      </c>
      <c r="I489" s="139" t="n">
        <f aca="false">IFERROR(H489/F489,0)</f>
        <v>4.25</v>
      </c>
      <c r="J489" s="67" t="s">
        <v>1202</v>
      </c>
      <c r="K489" s="67" t="s">
        <v>173</v>
      </c>
    </row>
    <row r="490" customFormat="false" ht="13.5" hidden="false" customHeight="true" outlineLevel="0" collapsed="false">
      <c r="A490" s="137" t="n">
        <v>46207</v>
      </c>
      <c r="B490" s="180" t="str">
        <f aca="false">TEXT(A490,"mmm/aaaa")</f>
        <v>Tammuz/Shabbat</v>
      </c>
      <c r="C490" s="67" t="s">
        <v>36</v>
      </c>
      <c r="D490" s="67" t="s">
        <v>1210</v>
      </c>
      <c r="E490" s="67" t="s">
        <v>13</v>
      </c>
      <c r="F490" s="138" t="n">
        <v>3</v>
      </c>
      <c r="G490" s="67" t="s">
        <v>179</v>
      </c>
      <c r="H490" s="139" t="n">
        <v>6.75</v>
      </c>
      <c r="I490" s="139" t="n">
        <f aca="false">IFERROR(H490/F490,0)</f>
        <v>2.25</v>
      </c>
      <c r="J490" s="67" t="s">
        <v>1202</v>
      </c>
      <c r="K490" s="67" t="s">
        <v>173</v>
      </c>
    </row>
    <row r="491" customFormat="false" ht="13.5" hidden="false" customHeight="true" outlineLevel="0" collapsed="false">
      <c r="A491" s="137" t="n">
        <v>46207</v>
      </c>
      <c r="B491" s="180" t="str">
        <f aca="false">TEXT(A491,"mmm/aaaa")</f>
        <v>Tammuz/Shabbat</v>
      </c>
      <c r="C491" s="67" t="s">
        <v>36</v>
      </c>
      <c r="D491" s="67" t="s">
        <v>818</v>
      </c>
      <c r="E491" s="67" t="s">
        <v>14</v>
      </c>
      <c r="F491" s="138" t="n">
        <v>1</v>
      </c>
      <c r="G491" s="67" t="s">
        <v>179</v>
      </c>
      <c r="H491" s="139" t="n">
        <v>7.29</v>
      </c>
      <c r="I491" s="139" t="n">
        <f aca="false">IFERROR(H491/F491,0)</f>
        <v>7.29</v>
      </c>
      <c r="J491" s="67" t="s">
        <v>1202</v>
      </c>
      <c r="K491" s="67" t="s">
        <v>173</v>
      </c>
    </row>
    <row r="492" customFormat="false" ht="13.5" hidden="false" customHeight="true" outlineLevel="0" collapsed="false">
      <c r="A492" s="137" t="n">
        <v>46207</v>
      </c>
      <c r="B492" s="180" t="str">
        <f aca="false">TEXT(A492,"mmm/aaaa")</f>
        <v>Tammuz/Shabbat</v>
      </c>
      <c r="C492" s="67" t="s">
        <v>36</v>
      </c>
      <c r="D492" s="67" t="s">
        <v>1211</v>
      </c>
      <c r="E492" s="67" t="s">
        <v>12</v>
      </c>
      <c r="F492" s="138" t="n">
        <v>1</v>
      </c>
      <c r="G492" s="67" t="s">
        <v>179</v>
      </c>
      <c r="H492" s="139" t="n">
        <v>29.4</v>
      </c>
      <c r="I492" s="139" t="n">
        <f aca="false">IFERROR(H492/F492,0)</f>
        <v>29.4</v>
      </c>
      <c r="J492" s="67" t="s">
        <v>1202</v>
      </c>
      <c r="K492" s="67" t="s">
        <v>173</v>
      </c>
    </row>
    <row r="493" customFormat="false" ht="13.5" hidden="false" customHeight="true" outlineLevel="0" collapsed="false">
      <c r="A493" s="137" t="n">
        <v>46207</v>
      </c>
      <c r="B493" s="180" t="str">
        <f aca="false">TEXT(A493,"mmm/aaaa")</f>
        <v>Tammuz/Shabbat</v>
      </c>
      <c r="C493" s="67" t="s">
        <v>36</v>
      </c>
      <c r="D493" s="67" t="s">
        <v>822</v>
      </c>
      <c r="E493" s="67" t="s">
        <v>12</v>
      </c>
      <c r="F493" s="138" t="n">
        <v>0.21</v>
      </c>
      <c r="G493" s="67" t="s">
        <v>176</v>
      </c>
      <c r="H493" s="139" t="n">
        <v>8.19</v>
      </c>
      <c r="I493" s="139" t="n">
        <f aca="false">IFERROR(H493/F493,0)</f>
        <v>39</v>
      </c>
      <c r="J493" s="67" t="s">
        <v>1202</v>
      </c>
      <c r="K493" s="67" t="s">
        <v>173</v>
      </c>
    </row>
    <row r="494" customFormat="false" ht="13.5" hidden="false" customHeight="true" outlineLevel="0" collapsed="false">
      <c r="A494" s="137" t="n">
        <v>46207</v>
      </c>
      <c r="B494" s="180" t="str">
        <f aca="false">TEXT(A494,"mmm/aaaa")</f>
        <v>Tammuz/Shabbat</v>
      </c>
      <c r="C494" s="67" t="s">
        <v>36</v>
      </c>
      <c r="D494" s="67" t="s">
        <v>1212</v>
      </c>
      <c r="E494" s="67" t="s">
        <v>12</v>
      </c>
      <c r="F494" s="138" t="n">
        <v>1</v>
      </c>
      <c r="G494" s="67" t="s">
        <v>179</v>
      </c>
      <c r="H494" s="139" t="n">
        <v>5.99</v>
      </c>
      <c r="I494" s="139" t="n">
        <f aca="false">IFERROR(H494/F494,0)</f>
        <v>5.99</v>
      </c>
      <c r="J494" s="67" t="s">
        <v>1202</v>
      </c>
      <c r="K494" s="67" t="s">
        <v>173</v>
      </c>
    </row>
    <row r="495" customFormat="false" ht="13.5" hidden="false" customHeight="true" outlineLevel="0" collapsed="false">
      <c r="A495" s="137" t="n">
        <v>46207</v>
      </c>
      <c r="B495" s="180" t="str">
        <f aca="false">TEXT(A495,"mmm/aaaa")</f>
        <v>Tammuz/Shabbat</v>
      </c>
      <c r="C495" s="67" t="s">
        <v>36</v>
      </c>
      <c r="D495" s="67" t="s">
        <v>1213</v>
      </c>
      <c r="E495" s="67" t="s">
        <v>12</v>
      </c>
      <c r="F495" s="138" t="n">
        <v>2</v>
      </c>
      <c r="G495" s="67" t="s">
        <v>179</v>
      </c>
      <c r="H495" s="139" t="n">
        <v>10.98</v>
      </c>
      <c r="I495" s="139" t="n">
        <f aca="false">IFERROR(H495/F495,0)</f>
        <v>5.49</v>
      </c>
      <c r="J495" s="67" t="s">
        <v>1202</v>
      </c>
      <c r="K495" s="67" t="s">
        <v>173</v>
      </c>
    </row>
    <row r="496" customFormat="false" ht="13.5" hidden="false" customHeight="true" outlineLevel="0" collapsed="false">
      <c r="A496" s="137" t="n">
        <v>46207</v>
      </c>
      <c r="B496" s="180" t="str">
        <f aca="false">TEXT(A496,"mmm/aaaa")</f>
        <v>Tammuz/Shabbat</v>
      </c>
      <c r="C496" s="67" t="s">
        <v>36</v>
      </c>
      <c r="D496" s="67" t="s">
        <v>252</v>
      </c>
      <c r="E496" s="67" t="s">
        <v>14</v>
      </c>
      <c r="F496" s="138" t="n">
        <v>0.46</v>
      </c>
      <c r="G496" s="67" t="s">
        <v>176</v>
      </c>
      <c r="H496" s="139" t="n">
        <v>20.7</v>
      </c>
      <c r="I496" s="139" t="n">
        <f aca="false">IFERROR(H496/F496,0)</f>
        <v>45</v>
      </c>
      <c r="J496" s="67" t="s">
        <v>1202</v>
      </c>
      <c r="K496" s="67" t="s">
        <v>173</v>
      </c>
    </row>
    <row r="497" customFormat="false" ht="13.5" hidden="false" customHeight="true" outlineLevel="0" collapsed="false">
      <c r="A497" s="137" t="n">
        <v>46207</v>
      </c>
      <c r="B497" s="180" t="str">
        <f aca="false">TEXT(A497,"mmm/aaaa")</f>
        <v>Tammuz/Shabbat</v>
      </c>
      <c r="C497" s="67" t="s">
        <v>36</v>
      </c>
      <c r="D497" s="67" t="s">
        <v>264</v>
      </c>
      <c r="E497" s="67" t="s">
        <v>14</v>
      </c>
      <c r="F497" s="138" t="n">
        <v>0.554</v>
      </c>
      <c r="G497" s="67" t="s">
        <v>176</v>
      </c>
      <c r="H497" s="139" t="n">
        <v>8.25</v>
      </c>
      <c r="I497" s="139" t="n">
        <f aca="false">IFERROR(H497/F497,0)</f>
        <v>14.8916967509025</v>
      </c>
      <c r="J497" s="67" t="s">
        <v>1202</v>
      </c>
      <c r="K497" s="67" t="s">
        <v>173</v>
      </c>
    </row>
    <row r="498" customFormat="false" ht="13.5" hidden="false" customHeight="true" outlineLevel="0" collapsed="false">
      <c r="A498" s="137" t="n">
        <v>46207</v>
      </c>
      <c r="B498" s="180" t="str">
        <f aca="false">TEXT(A498,"mmm/aaaa")</f>
        <v>Tammuz/Shabbat</v>
      </c>
      <c r="C498" s="67" t="s">
        <v>36</v>
      </c>
      <c r="D498" s="67" t="s">
        <v>620</v>
      </c>
      <c r="E498" s="67" t="s">
        <v>12</v>
      </c>
      <c r="F498" s="138" t="n">
        <v>4</v>
      </c>
      <c r="G498" s="67" t="s">
        <v>179</v>
      </c>
      <c r="H498" s="139" t="n">
        <v>6.76</v>
      </c>
      <c r="I498" s="139" t="n">
        <f aca="false">IFERROR(H498/F498,0)</f>
        <v>1.69</v>
      </c>
      <c r="J498" s="67" t="s">
        <v>1202</v>
      </c>
      <c r="K498" s="67" t="s">
        <v>173</v>
      </c>
    </row>
    <row r="499" customFormat="false" ht="13.5" hidden="false" customHeight="true" outlineLevel="0" collapsed="false">
      <c r="A499" s="137" t="n">
        <v>46207</v>
      </c>
      <c r="B499" s="180" t="str">
        <f aca="false">TEXT(A499,"mmm/aaaa")</f>
        <v>Tammuz/Shabbat</v>
      </c>
      <c r="C499" s="67" t="s">
        <v>36</v>
      </c>
      <c r="D499" s="67" t="s">
        <v>826</v>
      </c>
      <c r="E499" s="67" t="s">
        <v>19</v>
      </c>
      <c r="F499" s="138" t="n">
        <v>1</v>
      </c>
      <c r="G499" s="67" t="s">
        <v>179</v>
      </c>
      <c r="H499" s="139" t="n">
        <v>10.5</v>
      </c>
      <c r="I499" s="139" t="n">
        <f aca="false">IFERROR(H499/F499,0)</f>
        <v>10.5</v>
      </c>
      <c r="J499" s="67" t="s">
        <v>1202</v>
      </c>
      <c r="K499" s="67" t="s">
        <v>173</v>
      </c>
    </row>
    <row r="500" customFormat="false" ht="13.5" hidden="false" customHeight="true" outlineLevel="0" collapsed="false">
      <c r="A500" s="137" t="n">
        <v>46207</v>
      </c>
      <c r="B500" s="180" t="str">
        <f aca="false">TEXT(A500,"mmm/aaaa")</f>
        <v>Tammuz/Shabbat</v>
      </c>
      <c r="C500" s="67" t="s">
        <v>36</v>
      </c>
      <c r="D500" s="67" t="s">
        <v>1214</v>
      </c>
      <c r="E500" s="67" t="s">
        <v>18</v>
      </c>
      <c r="F500" s="138" t="n">
        <v>1</v>
      </c>
      <c r="G500" s="67" t="s">
        <v>179</v>
      </c>
      <c r="H500" s="139" t="n">
        <v>8.5</v>
      </c>
      <c r="I500" s="139" t="n">
        <f aca="false">IFERROR(H500/F500,0)</f>
        <v>8.5</v>
      </c>
      <c r="J500" s="67" t="s">
        <v>1202</v>
      </c>
      <c r="K500" s="67" t="s">
        <v>173</v>
      </c>
    </row>
    <row r="501" customFormat="false" ht="13.5" hidden="false" customHeight="true" outlineLevel="0" collapsed="false">
      <c r="A501" s="137" t="n">
        <v>46207</v>
      </c>
      <c r="B501" s="180" t="str">
        <f aca="false">TEXT(A501,"mmm/aaaa")</f>
        <v>Tammuz/Shabbat</v>
      </c>
      <c r="C501" s="67" t="s">
        <v>36</v>
      </c>
      <c r="D501" s="67" t="s">
        <v>1215</v>
      </c>
      <c r="E501" s="67" t="s">
        <v>19</v>
      </c>
      <c r="F501" s="138" t="n">
        <v>1</v>
      </c>
      <c r="G501" s="67" t="s">
        <v>179</v>
      </c>
      <c r="H501" s="139" t="n">
        <v>2.85</v>
      </c>
      <c r="I501" s="139" t="n">
        <f aca="false">IFERROR(H501/F501,0)</f>
        <v>2.85</v>
      </c>
      <c r="J501" s="67" t="s">
        <v>1202</v>
      </c>
      <c r="K501" s="67" t="s">
        <v>173</v>
      </c>
    </row>
    <row r="502" customFormat="false" ht="13.5" hidden="false" customHeight="true" outlineLevel="0" collapsed="false">
      <c r="A502" s="137" t="n">
        <v>46207</v>
      </c>
      <c r="B502" s="180" t="str">
        <f aca="false">TEXT(A502,"mmm/aaaa")</f>
        <v>Tammuz/Shabbat</v>
      </c>
      <c r="C502" s="67" t="s">
        <v>36</v>
      </c>
      <c r="D502" s="67" t="s">
        <v>1216</v>
      </c>
      <c r="E502" s="67" t="s">
        <v>18</v>
      </c>
      <c r="F502" s="138" t="n">
        <v>1</v>
      </c>
      <c r="G502" s="67" t="s">
        <v>179</v>
      </c>
      <c r="H502" s="139" t="n">
        <v>2.65</v>
      </c>
      <c r="I502" s="139" t="n">
        <f aca="false">IFERROR(H502/F502,0)</f>
        <v>2.65</v>
      </c>
      <c r="J502" s="67" t="s">
        <v>1202</v>
      </c>
      <c r="K502" s="67" t="s">
        <v>173</v>
      </c>
    </row>
    <row r="503" customFormat="false" ht="13.5" hidden="false" customHeight="true" outlineLevel="0" collapsed="false">
      <c r="A503" s="137" t="n">
        <v>46207</v>
      </c>
      <c r="B503" s="180" t="str">
        <f aca="false">TEXT(A503,"mmm/aaaa")</f>
        <v>Tammuz/Shabbat</v>
      </c>
      <c r="C503" s="67" t="s">
        <v>36</v>
      </c>
      <c r="D503" s="67" t="s">
        <v>834</v>
      </c>
      <c r="E503" s="67" t="s">
        <v>18</v>
      </c>
      <c r="F503" s="138" t="n">
        <v>1</v>
      </c>
      <c r="G503" s="67" t="s">
        <v>179</v>
      </c>
      <c r="H503" s="139" t="n">
        <v>3.59</v>
      </c>
      <c r="I503" s="139" t="n">
        <f aca="false">IFERROR(H503/F503,0)</f>
        <v>3.59</v>
      </c>
      <c r="J503" s="67" t="s">
        <v>1202</v>
      </c>
      <c r="K503" s="67" t="s">
        <v>173</v>
      </c>
    </row>
    <row r="504" customFormat="false" ht="13.5" hidden="false" customHeight="true" outlineLevel="0" collapsed="false">
      <c r="A504" s="137" t="n">
        <v>46207</v>
      </c>
      <c r="B504" s="180" t="str">
        <f aca="false">TEXT(A504,"mmm/aaaa")</f>
        <v>Tammuz/Shabbat</v>
      </c>
      <c r="C504" s="67" t="s">
        <v>36</v>
      </c>
      <c r="D504" s="67" t="s">
        <v>568</v>
      </c>
      <c r="E504" s="67" t="s">
        <v>19</v>
      </c>
      <c r="F504" s="138" t="n">
        <v>1</v>
      </c>
      <c r="G504" s="67" t="s">
        <v>179</v>
      </c>
      <c r="H504" s="139" t="n">
        <v>3.99</v>
      </c>
      <c r="I504" s="139" t="n">
        <f aca="false">IFERROR(H504/F504,0)</f>
        <v>3.99</v>
      </c>
      <c r="J504" s="67" t="s">
        <v>1202</v>
      </c>
      <c r="K504" s="67" t="s">
        <v>173</v>
      </c>
    </row>
    <row r="505" customFormat="false" ht="13.5" hidden="false" customHeight="true" outlineLevel="0" collapsed="false">
      <c r="A505" s="137" t="n">
        <v>46207</v>
      </c>
      <c r="B505" s="180" t="str">
        <f aca="false">TEXT(A505,"mmm/aaaa")</f>
        <v>Tammuz/Shabbat</v>
      </c>
      <c r="C505" s="67" t="s">
        <v>38</v>
      </c>
      <c r="D505" s="67" t="s">
        <v>284</v>
      </c>
      <c r="E505" s="67" t="s">
        <v>15</v>
      </c>
      <c r="F505" s="138" t="n">
        <v>1.396</v>
      </c>
      <c r="G505" s="67" t="s">
        <v>176</v>
      </c>
      <c r="H505" s="139" t="n">
        <v>8.21</v>
      </c>
      <c r="I505" s="139" t="n">
        <f aca="false">IFERROR(H505/F505,0)</f>
        <v>5.8810888252149</v>
      </c>
      <c r="J505" s="67" t="s">
        <v>1217</v>
      </c>
      <c r="K505" s="67" t="s">
        <v>173</v>
      </c>
    </row>
    <row r="506" customFormat="false" ht="13.5" hidden="false" customHeight="true" outlineLevel="0" collapsed="false">
      <c r="A506" s="137" t="n">
        <v>46207</v>
      </c>
      <c r="B506" s="180" t="str">
        <f aca="false">TEXT(A506,"mmm/aaaa")</f>
        <v>Tammuz/Shabbat</v>
      </c>
      <c r="C506" s="67" t="s">
        <v>38</v>
      </c>
      <c r="D506" s="67" t="s">
        <v>286</v>
      </c>
      <c r="E506" s="67" t="s">
        <v>15</v>
      </c>
      <c r="F506" s="138" t="n">
        <v>0.9</v>
      </c>
      <c r="G506" s="67" t="s">
        <v>176</v>
      </c>
      <c r="H506" s="139" t="n">
        <v>10.51</v>
      </c>
      <c r="I506" s="139" t="n">
        <f aca="false">IFERROR(H506/F506,0)</f>
        <v>11.6777777777778</v>
      </c>
      <c r="J506" s="67" t="s">
        <v>1217</v>
      </c>
      <c r="K506" s="67" t="s">
        <v>173</v>
      </c>
    </row>
    <row r="507" customFormat="false" ht="13.5" hidden="false" customHeight="true" outlineLevel="0" collapsed="false">
      <c r="A507" s="137" t="n">
        <v>46207</v>
      </c>
      <c r="B507" s="180" t="str">
        <f aca="false">TEXT(A507,"mmm/aaaa")</f>
        <v>Tammuz/Shabbat</v>
      </c>
      <c r="C507" s="67" t="s">
        <v>38</v>
      </c>
      <c r="D507" s="67" t="s">
        <v>595</v>
      </c>
      <c r="E507" s="67" t="s">
        <v>15</v>
      </c>
      <c r="F507" s="138" t="n">
        <v>1</v>
      </c>
      <c r="G507" s="67" t="s">
        <v>179</v>
      </c>
      <c r="H507" s="139" t="n">
        <v>6</v>
      </c>
      <c r="I507" s="139" t="n">
        <f aca="false">IFERROR(H507/F507,0)</f>
        <v>6</v>
      </c>
      <c r="J507" s="67" t="s">
        <v>1217</v>
      </c>
      <c r="K507" s="67" t="s">
        <v>173</v>
      </c>
    </row>
    <row r="508" customFormat="false" ht="13.5" hidden="false" customHeight="true" outlineLevel="0" collapsed="false">
      <c r="A508" s="137" t="n">
        <v>46208</v>
      </c>
      <c r="B508" s="180" t="str">
        <f aca="false">TEXT(A508,"mmm/aaaa")</f>
        <v>Tammuz/Sunday</v>
      </c>
      <c r="C508" s="67" t="s">
        <v>36</v>
      </c>
      <c r="D508" s="67" t="s">
        <v>446</v>
      </c>
      <c r="E508" s="67" t="s">
        <v>12</v>
      </c>
      <c r="F508" s="138" t="n">
        <v>2</v>
      </c>
      <c r="G508" s="67" t="s">
        <v>179</v>
      </c>
      <c r="H508" s="139" t="n">
        <v>21</v>
      </c>
      <c r="I508" s="139" t="n">
        <f aca="false">IFERROR(H508/F508,0)</f>
        <v>10.5</v>
      </c>
      <c r="J508" s="67" t="s">
        <v>1218</v>
      </c>
      <c r="K508" s="67" t="s">
        <v>173</v>
      </c>
    </row>
    <row r="509" customFormat="false" ht="13.5" hidden="false" customHeight="true" outlineLevel="0" collapsed="false">
      <c r="A509" s="137" t="n">
        <v>46208</v>
      </c>
      <c r="B509" s="180" t="str">
        <f aca="false">TEXT(A509,"mmm/aaaa")</f>
        <v>Tammuz/Sunday</v>
      </c>
      <c r="C509" s="67" t="s">
        <v>36</v>
      </c>
      <c r="D509" s="67" t="s">
        <v>842</v>
      </c>
      <c r="E509" s="67" t="s">
        <v>12</v>
      </c>
      <c r="F509" s="138" t="n">
        <v>1</v>
      </c>
      <c r="G509" s="67" t="s">
        <v>179</v>
      </c>
      <c r="H509" s="139" t="n">
        <v>7.9</v>
      </c>
      <c r="I509" s="139" t="n">
        <f aca="false">IFERROR(H509/F509,0)</f>
        <v>7.9</v>
      </c>
      <c r="J509" s="67" t="s">
        <v>1218</v>
      </c>
      <c r="K509" s="67" t="s">
        <v>173</v>
      </c>
    </row>
    <row r="510" customFormat="false" ht="13.5" hidden="false" customHeight="true" outlineLevel="0" collapsed="false">
      <c r="A510" s="137" t="n">
        <v>46208</v>
      </c>
      <c r="B510" s="180" t="str">
        <f aca="false">TEXT(A510,"mmm/aaaa")</f>
        <v>Tammuz/Sunday</v>
      </c>
      <c r="C510" s="67" t="s">
        <v>36</v>
      </c>
      <c r="D510" s="67" t="s">
        <v>323</v>
      </c>
      <c r="E510" s="67" t="s">
        <v>12</v>
      </c>
      <c r="F510" s="138" t="n">
        <v>0.382</v>
      </c>
      <c r="G510" s="67" t="s">
        <v>176</v>
      </c>
      <c r="H510" s="139" t="n">
        <v>12.99</v>
      </c>
      <c r="I510" s="139" t="n">
        <f aca="false">IFERROR(H510/F510,0)</f>
        <v>34.0052356020942</v>
      </c>
      <c r="J510" s="67" t="s">
        <v>1218</v>
      </c>
      <c r="K510" s="67" t="s">
        <v>173</v>
      </c>
    </row>
    <row r="511" customFormat="false" ht="13.5" hidden="false" customHeight="true" outlineLevel="0" collapsed="false">
      <c r="A511" s="137" t="n">
        <v>46208</v>
      </c>
      <c r="B511" s="180" t="str">
        <f aca="false">TEXT(A511,"mmm/aaaa")</f>
        <v>Tammuz/Sunday</v>
      </c>
      <c r="C511" s="67" t="s">
        <v>36</v>
      </c>
      <c r="D511" s="67" t="s">
        <v>844</v>
      </c>
      <c r="E511" s="67" t="s">
        <v>14</v>
      </c>
      <c r="F511" s="138" t="n">
        <v>0.238</v>
      </c>
      <c r="G511" s="67" t="s">
        <v>176</v>
      </c>
      <c r="H511" s="139" t="n">
        <v>23.56</v>
      </c>
      <c r="I511" s="139" t="n">
        <f aca="false">IFERROR(H511/F511,0)</f>
        <v>98.9915966386555</v>
      </c>
      <c r="J511" s="67" t="s">
        <v>1218</v>
      </c>
      <c r="K511" s="67" t="s">
        <v>173</v>
      </c>
    </row>
    <row r="512" customFormat="false" ht="13.5" hidden="false" customHeight="true" outlineLevel="0" collapsed="false">
      <c r="A512" s="137" t="n">
        <v>46208</v>
      </c>
      <c r="B512" s="180" t="str">
        <f aca="false">TEXT(A512,"mmm/aaaa")</f>
        <v>Tammuz/Sunday</v>
      </c>
      <c r="C512" s="67" t="s">
        <v>36</v>
      </c>
      <c r="D512" s="67" t="s">
        <v>419</v>
      </c>
      <c r="E512" s="67" t="s">
        <v>19</v>
      </c>
      <c r="F512" s="138" t="n">
        <v>1</v>
      </c>
      <c r="G512" s="67" t="s">
        <v>179</v>
      </c>
      <c r="H512" s="139" t="n">
        <v>3.4</v>
      </c>
      <c r="I512" s="139" t="n">
        <f aca="false">IFERROR(H512/F512,0)</f>
        <v>3.4</v>
      </c>
      <c r="J512" s="67" t="s">
        <v>1218</v>
      </c>
      <c r="K512" s="67" t="s">
        <v>173</v>
      </c>
    </row>
    <row r="513" customFormat="false" ht="13.5" hidden="false" customHeight="true" outlineLevel="0" collapsed="false">
      <c r="A513" s="137" t="n">
        <v>46208</v>
      </c>
      <c r="B513" s="180" t="str">
        <f aca="false">TEXT(A513,"mmm/aaaa")</f>
        <v>Tammuz/Sunday</v>
      </c>
      <c r="C513" s="67" t="s">
        <v>36</v>
      </c>
      <c r="D513" s="67" t="s">
        <v>647</v>
      </c>
      <c r="E513" s="67" t="s">
        <v>13</v>
      </c>
      <c r="F513" s="138" t="n">
        <v>1</v>
      </c>
      <c r="G513" s="67" t="s">
        <v>179</v>
      </c>
      <c r="H513" s="139" t="n">
        <v>5.5</v>
      </c>
      <c r="I513" s="139" t="n">
        <f aca="false">IFERROR(H513/F513,0)</f>
        <v>5.5</v>
      </c>
      <c r="J513" s="67" t="s">
        <v>1218</v>
      </c>
      <c r="K513" s="67" t="s">
        <v>173</v>
      </c>
    </row>
    <row r="514" customFormat="false" ht="13.5" hidden="false" customHeight="true" outlineLevel="0" collapsed="false">
      <c r="A514" s="137" t="n">
        <v>46209</v>
      </c>
      <c r="B514" s="180" t="n">
        <v>46204</v>
      </c>
      <c r="C514" s="67" t="s">
        <v>38</v>
      </c>
      <c r="D514" s="67" t="s">
        <v>475</v>
      </c>
      <c r="E514" s="67" t="s">
        <v>15</v>
      </c>
      <c r="F514" s="138" t="n">
        <v>0.886</v>
      </c>
      <c r="G514" s="67" t="s">
        <v>176</v>
      </c>
      <c r="H514" s="139" t="n">
        <v>2.55</v>
      </c>
      <c r="I514" s="139" t="n">
        <f aca="false">IFERROR(H514/F514,0)</f>
        <v>2.87810383747178</v>
      </c>
      <c r="J514" s="67" t="s">
        <v>1219</v>
      </c>
      <c r="K514" s="67" t="s">
        <v>173</v>
      </c>
    </row>
    <row r="515" customFormat="false" ht="13.5" hidden="false" customHeight="true" outlineLevel="0" collapsed="false">
      <c r="A515" s="137" t="n">
        <v>46209</v>
      </c>
      <c r="B515" s="180" t="n">
        <v>46204</v>
      </c>
      <c r="C515" s="67" t="s">
        <v>38</v>
      </c>
      <c r="D515" s="67" t="s">
        <v>284</v>
      </c>
      <c r="E515" s="67" t="s">
        <v>15</v>
      </c>
      <c r="F515" s="138" t="n">
        <v>1.28</v>
      </c>
      <c r="G515" s="67" t="s">
        <v>176</v>
      </c>
      <c r="H515" s="139" t="n">
        <v>7.53</v>
      </c>
      <c r="I515" s="139" t="n">
        <f aca="false">IFERROR(H515/F515,0)</f>
        <v>5.8828125</v>
      </c>
      <c r="J515" s="67" t="s">
        <v>1219</v>
      </c>
      <c r="K515" s="67" t="s">
        <v>173</v>
      </c>
    </row>
    <row r="516" customFormat="false" ht="13.5" hidden="false" customHeight="true" outlineLevel="0" collapsed="false">
      <c r="A516" s="137" t="n">
        <v>46209</v>
      </c>
      <c r="B516" s="180" t="n">
        <v>46204</v>
      </c>
      <c r="C516" s="67" t="s">
        <v>37</v>
      </c>
      <c r="D516" s="67" t="s">
        <v>740</v>
      </c>
      <c r="E516" s="67" t="s">
        <v>14</v>
      </c>
      <c r="F516" s="138" t="n">
        <v>0.325</v>
      </c>
      <c r="G516" s="67" t="s">
        <v>176</v>
      </c>
      <c r="H516" s="139" t="n">
        <v>5.82</v>
      </c>
      <c r="I516" s="139" t="n">
        <f aca="false">IFERROR(H516/F516,0)</f>
        <v>17.9076923076923</v>
      </c>
      <c r="J516" s="67" t="s">
        <v>1220</v>
      </c>
      <c r="K516" s="67" t="s">
        <v>173</v>
      </c>
    </row>
    <row r="517" customFormat="false" ht="13.5" hidden="false" customHeight="true" outlineLevel="0" collapsed="false">
      <c r="A517" s="137" t="n">
        <v>46209</v>
      </c>
      <c r="B517" s="180" t="n">
        <v>46204</v>
      </c>
      <c r="C517" s="67" t="s">
        <v>37</v>
      </c>
      <c r="D517" s="67" t="s">
        <v>850</v>
      </c>
      <c r="E517" s="67" t="s">
        <v>14</v>
      </c>
      <c r="F517" s="138" t="n">
        <v>2</v>
      </c>
      <c r="G517" s="67" t="s">
        <v>179</v>
      </c>
      <c r="H517" s="139" t="n">
        <v>15.8</v>
      </c>
      <c r="I517" s="139" t="n">
        <f aca="false">IFERROR(H517/F517,0)</f>
        <v>7.9</v>
      </c>
      <c r="J517" s="67" t="s">
        <v>1220</v>
      </c>
      <c r="K517" s="67" t="s">
        <v>173</v>
      </c>
    </row>
    <row r="518" customFormat="false" ht="13.5" hidden="false" customHeight="true" outlineLevel="0" collapsed="false">
      <c r="A518" s="137" t="n">
        <v>46209</v>
      </c>
      <c r="B518" s="180" t="n">
        <v>46204</v>
      </c>
      <c r="C518" s="67" t="s">
        <v>37</v>
      </c>
      <c r="D518" s="67" t="s">
        <v>760</v>
      </c>
      <c r="E518" s="67" t="s">
        <v>13</v>
      </c>
      <c r="F518" s="138" t="n">
        <v>2</v>
      </c>
      <c r="G518" s="67" t="s">
        <v>179</v>
      </c>
      <c r="H518" s="139" t="n">
        <v>13.38</v>
      </c>
      <c r="I518" s="139" t="n">
        <f aca="false">IFERROR(H518/F518,0)</f>
        <v>6.69</v>
      </c>
      <c r="J518" s="67" t="s">
        <v>1220</v>
      </c>
      <c r="K518" s="67" t="s">
        <v>173</v>
      </c>
    </row>
    <row r="519" customFormat="false" ht="13.5" hidden="false" customHeight="true" outlineLevel="0" collapsed="false">
      <c r="A519" s="137" t="n">
        <v>46210</v>
      </c>
      <c r="B519" s="180" t="n">
        <v>46204</v>
      </c>
      <c r="C519" s="67" t="s">
        <v>36</v>
      </c>
      <c r="D519" s="67" t="s">
        <v>854</v>
      </c>
      <c r="E519" s="67" t="s">
        <v>16</v>
      </c>
      <c r="F519" s="138" t="n">
        <v>1</v>
      </c>
      <c r="G519" s="67" t="s">
        <v>179</v>
      </c>
      <c r="H519" s="139" t="n">
        <v>4.49</v>
      </c>
      <c r="I519" s="139" t="n">
        <f aca="false">IFERROR(H519/F519,0)</f>
        <v>4.49</v>
      </c>
      <c r="J519" s="67" t="s">
        <v>1221</v>
      </c>
      <c r="K519" s="67" t="s">
        <v>173</v>
      </c>
    </row>
    <row r="520" customFormat="false" ht="13.5" hidden="false" customHeight="true" outlineLevel="0" collapsed="false">
      <c r="A520" s="137" t="n">
        <v>46210</v>
      </c>
      <c r="B520" s="180" t="n">
        <v>46204</v>
      </c>
      <c r="C520" s="67" t="s">
        <v>36</v>
      </c>
      <c r="D520" s="67" t="s">
        <v>325</v>
      </c>
      <c r="E520" s="67" t="s">
        <v>13</v>
      </c>
      <c r="F520" s="138" t="n">
        <v>1</v>
      </c>
      <c r="G520" s="67" t="s">
        <v>179</v>
      </c>
      <c r="H520" s="139" t="n">
        <v>8.5</v>
      </c>
      <c r="I520" s="139" t="n">
        <f aca="false">IFERROR(H520/F520,0)</f>
        <v>8.5</v>
      </c>
      <c r="J520" s="67" t="s">
        <v>1221</v>
      </c>
      <c r="K520" s="67" t="s">
        <v>173</v>
      </c>
    </row>
    <row r="521" customFormat="false" ht="13.5" hidden="false" customHeight="true" outlineLevel="0" collapsed="false">
      <c r="A521" s="137" t="n">
        <v>46210</v>
      </c>
      <c r="B521" s="180" t="n">
        <v>46204</v>
      </c>
      <c r="C521" s="67" t="s">
        <v>36</v>
      </c>
      <c r="D521" s="67" t="s">
        <v>856</v>
      </c>
      <c r="E521" s="67" t="s">
        <v>13</v>
      </c>
      <c r="F521" s="138" t="n">
        <v>1</v>
      </c>
      <c r="G521" s="67" t="s">
        <v>179</v>
      </c>
      <c r="H521" s="139" t="n">
        <v>7.9</v>
      </c>
      <c r="I521" s="139" t="n">
        <f aca="false">IFERROR(H521/F521,0)</f>
        <v>7.9</v>
      </c>
      <c r="J521" s="67" t="s">
        <v>1221</v>
      </c>
      <c r="K521" s="67" t="s">
        <v>173</v>
      </c>
    </row>
    <row r="522" customFormat="false" ht="13.5" hidden="false" customHeight="true" outlineLevel="0" collapsed="false">
      <c r="A522" s="137" t="n">
        <v>46210</v>
      </c>
      <c r="B522" s="180" t="n">
        <v>46204</v>
      </c>
      <c r="C522" s="67" t="s">
        <v>36</v>
      </c>
      <c r="D522" s="67" t="s">
        <v>606</v>
      </c>
      <c r="E522" s="67" t="s">
        <v>16</v>
      </c>
      <c r="F522" s="138" t="n">
        <v>3</v>
      </c>
      <c r="G522" s="67" t="s">
        <v>179</v>
      </c>
      <c r="H522" s="139" t="n">
        <v>10.35</v>
      </c>
      <c r="I522" s="139" t="n">
        <f aca="false">IFERROR(H522/F522,0)</f>
        <v>3.45</v>
      </c>
      <c r="J522" s="67" t="s">
        <v>1221</v>
      </c>
      <c r="K522" s="67" t="s">
        <v>173</v>
      </c>
    </row>
    <row r="523" customFormat="false" ht="13.5" hidden="false" customHeight="true" outlineLevel="0" collapsed="false">
      <c r="A523" s="137" t="n">
        <v>46210</v>
      </c>
      <c r="B523" s="180" t="n">
        <v>46204</v>
      </c>
      <c r="C523" s="67" t="s">
        <v>36</v>
      </c>
      <c r="D523" s="67" t="s">
        <v>858</v>
      </c>
      <c r="E523" s="67" t="s">
        <v>12</v>
      </c>
      <c r="F523" s="138" t="n">
        <v>1</v>
      </c>
      <c r="G523" s="67" t="s">
        <v>179</v>
      </c>
      <c r="H523" s="139" t="n">
        <v>6.99</v>
      </c>
      <c r="I523" s="139" t="n">
        <f aca="false">IFERROR(H523/F523,0)</f>
        <v>6.99</v>
      </c>
      <c r="J523" s="67" t="s">
        <v>1221</v>
      </c>
      <c r="K523" s="67" t="s">
        <v>173</v>
      </c>
    </row>
    <row r="524" customFormat="false" ht="13.5" hidden="false" customHeight="true" outlineLevel="0" collapsed="false">
      <c r="A524" s="137" t="n">
        <v>46210</v>
      </c>
      <c r="B524" s="180" t="n">
        <v>46204</v>
      </c>
      <c r="C524" s="67" t="s">
        <v>36</v>
      </c>
      <c r="D524" s="67" t="s">
        <v>647</v>
      </c>
      <c r="E524" s="67" t="s">
        <v>13</v>
      </c>
      <c r="F524" s="138" t="n">
        <v>1</v>
      </c>
      <c r="G524" s="67" t="s">
        <v>179</v>
      </c>
      <c r="H524" s="139" t="n">
        <v>5.5</v>
      </c>
      <c r="I524" s="139" t="n">
        <f aca="false">IFERROR(H524/F524,0)</f>
        <v>5.5</v>
      </c>
      <c r="J524" s="67" t="s">
        <v>1221</v>
      </c>
      <c r="K524" s="67" t="s">
        <v>173</v>
      </c>
    </row>
    <row r="525" customFormat="false" ht="13.5" hidden="false" customHeight="true" outlineLevel="0" collapsed="false">
      <c r="A525" s="137" t="n">
        <v>46210</v>
      </c>
      <c r="B525" s="180" t="n">
        <v>46204</v>
      </c>
      <c r="C525" s="67" t="s">
        <v>36</v>
      </c>
      <c r="D525" s="67" t="s">
        <v>860</v>
      </c>
      <c r="E525" s="67" t="s">
        <v>12</v>
      </c>
      <c r="F525" s="138" t="n">
        <v>1</v>
      </c>
      <c r="G525" s="67" t="s">
        <v>179</v>
      </c>
      <c r="H525" s="139" t="n">
        <v>13.5</v>
      </c>
      <c r="I525" s="139" t="n">
        <f aca="false">IFERROR(H525/F525,0)</f>
        <v>13.5</v>
      </c>
      <c r="J525" s="67" t="s">
        <v>1221</v>
      </c>
      <c r="K525" s="67" t="s">
        <v>173</v>
      </c>
    </row>
    <row r="526" customFormat="false" ht="13.5" hidden="false" customHeight="true" outlineLevel="0" collapsed="false">
      <c r="A526" s="137" t="n">
        <v>46210</v>
      </c>
      <c r="B526" s="180" t="n">
        <v>46204</v>
      </c>
      <c r="C526" s="67" t="s">
        <v>36</v>
      </c>
      <c r="D526" s="67" t="s">
        <v>862</v>
      </c>
      <c r="E526" s="67" t="s">
        <v>12</v>
      </c>
      <c r="F526" s="138" t="n">
        <v>1</v>
      </c>
      <c r="G526" s="67" t="s">
        <v>179</v>
      </c>
      <c r="H526" s="139" t="n">
        <v>7.65</v>
      </c>
      <c r="I526" s="139" t="n">
        <f aca="false">IFERROR(H526/F526,0)</f>
        <v>7.65</v>
      </c>
      <c r="J526" s="67" t="s">
        <v>1221</v>
      </c>
      <c r="K526" s="67" t="s">
        <v>173</v>
      </c>
    </row>
    <row r="527" customFormat="false" ht="13.5" hidden="false" customHeight="true" outlineLevel="0" collapsed="false">
      <c r="A527" s="137" t="n">
        <v>46210</v>
      </c>
      <c r="B527" s="180" t="n">
        <v>46204</v>
      </c>
      <c r="C527" s="67" t="s">
        <v>36</v>
      </c>
      <c r="D527" s="67" t="s">
        <v>862</v>
      </c>
      <c r="E527" s="67" t="s">
        <v>12</v>
      </c>
      <c r="F527" s="138" t="n">
        <v>1</v>
      </c>
      <c r="G527" s="67" t="s">
        <v>179</v>
      </c>
      <c r="H527" s="139" t="n">
        <v>7.65</v>
      </c>
      <c r="I527" s="139" t="n">
        <f aca="false">IFERROR(H527/F527,0)</f>
        <v>7.65</v>
      </c>
      <c r="J527" s="67" t="s">
        <v>1221</v>
      </c>
      <c r="K527" s="67" t="s">
        <v>173</v>
      </c>
    </row>
    <row r="528" customFormat="false" ht="13.5" hidden="false" customHeight="true" outlineLevel="0" collapsed="false">
      <c r="A528" s="137" t="n">
        <v>46210</v>
      </c>
      <c r="B528" s="180" t="n">
        <v>46204</v>
      </c>
      <c r="C528" s="67" t="s">
        <v>36</v>
      </c>
      <c r="D528" s="67" t="s">
        <v>862</v>
      </c>
      <c r="E528" s="67" t="s">
        <v>12</v>
      </c>
      <c r="F528" s="138" t="n">
        <v>1</v>
      </c>
      <c r="G528" s="67" t="s">
        <v>179</v>
      </c>
      <c r="H528" s="139" t="n">
        <v>7.65</v>
      </c>
      <c r="I528" s="139" t="n">
        <f aca="false">IFERROR(H528/F528,0)</f>
        <v>7.65</v>
      </c>
      <c r="J528" s="67" t="s">
        <v>1221</v>
      </c>
      <c r="K528" s="67" t="s">
        <v>173</v>
      </c>
    </row>
    <row r="529" customFormat="false" ht="13.5" hidden="false" customHeight="true" outlineLevel="0" collapsed="false">
      <c r="A529" s="137" t="n">
        <v>46210</v>
      </c>
      <c r="B529" s="180" t="n">
        <v>46204</v>
      </c>
      <c r="C529" s="67" t="s">
        <v>36</v>
      </c>
      <c r="D529" s="67" t="s">
        <v>725</v>
      </c>
      <c r="E529" s="67" t="s">
        <v>12</v>
      </c>
      <c r="F529" s="138" t="n">
        <v>1</v>
      </c>
      <c r="G529" s="67" t="s">
        <v>179</v>
      </c>
      <c r="H529" s="139" t="n">
        <v>4.99</v>
      </c>
      <c r="I529" s="139" t="n">
        <f aca="false">IFERROR(H529/F529,0)</f>
        <v>4.99</v>
      </c>
      <c r="J529" s="67" t="s">
        <v>1221</v>
      </c>
      <c r="K529" s="67" t="s">
        <v>173</v>
      </c>
    </row>
    <row r="530" customFormat="false" ht="13.5" hidden="false" customHeight="true" outlineLevel="0" collapsed="false">
      <c r="A530" s="137" t="n">
        <v>46210</v>
      </c>
      <c r="B530" s="180" t="str">
        <f aca="false">TEXT(A530,"mmm/aaaa")</f>
        <v>Tammuz/Tuesday</v>
      </c>
      <c r="C530" s="67" t="s">
        <v>36</v>
      </c>
      <c r="D530" s="67" t="s">
        <v>610</v>
      </c>
      <c r="E530" s="67" t="s">
        <v>12</v>
      </c>
      <c r="F530" s="138" t="n">
        <v>1</v>
      </c>
      <c r="G530" s="67" t="s">
        <v>179</v>
      </c>
      <c r="H530" s="139" t="n">
        <v>7.8</v>
      </c>
      <c r="I530" s="139" t="n">
        <f aca="false">IFERROR(H530/F530,0)</f>
        <v>7.8</v>
      </c>
      <c r="J530" s="67" t="s">
        <v>1221</v>
      </c>
      <c r="K530" s="67" t="s">
        <v>173</v>
      </c>
    </row>
    <row r="531" customFormat="false" ht="13.5" hidden="false" customHeight="true" outlineLevel="0" collapsed="false">
      <c r="A531" s="137" t="n">
        <v>46210</v>
      </c>
      <c r="B531" s="180" t="str">
        <f aca="false">TEXT(A531,"mmm/aaaa")</f>
        <v>Tammuz/Tuesday</v>
      </c>
      <c r="C531" s="67" t="s">
        <v>36</v>
      </c>
      <c r="D531" s="67" t="s">
        <v>617</v>
      </c>
      <c r="E531" s="67" t="s">
        <v>12</v>
      </c>
      <c r="F531" s="138" t="n">
        <v>1</v>
      </c>
      <c r="G531" s="67" t="s">
        <v>179</v>
      </c>
      <c r="H531" s="139" t="n">
        <v>28.3</v>
      </c>
      <c r="I531" s="139" t="n">
        <f aca="false">IFERROR(H531/F531,0)</f>
        <v>28.3</v>
      </c>
      <c r="J531" s="67" t="s">
        <v>1221</v>
      </c>
      <c r="K531" s="67" t="s">
        <v>173</v>
      </c>
    </row>
    <row r="532" customFormat="false" ht="13.5" hidden="false" customHeight="true" outlineLevel="0" collapsed="false">
      <c r="A532" s="137" t="n">
        <v>46210</v>
      </c>
      <c r="B532" s="180" t="str">
        <f aca="false">TEXT(A532,"mmm/aaaa")</f>
        <v>Tammuz/Tuesday</v>
      </c>
      <c r="C532" s="67" t="s">
        <v>36</v>
      </c>
      <c r="D532" s="67" t="s">
        <v>635</v>
      </c>
      <c r="E532" s="67" t="s">
        <v>12</v>
      </c>
      <c r="F532" s="138" t="n">
        <v>1</v>
      </c>
      <c r="G532" s="67" t="s">
        <v>179</v>
      </c>
      <c r="H532" s="139" t="n">
        <v>10.5</v>
      </c>
      <c r="I532" s="139" t="n">
        <f aca="false">IFERROR(H532/F532,0)</f>
        <v>10.5</v>
      </c>
      <c r="J532" s="67" t="s">
        <v>1221</v>
      </c>
      <c r="K532" s="67" t="s">
        <v>173</v>
      </c>
    </row>
    <row r="533" customFormat="false" ht="13.5" hidden="false" customHeight="true" outlineLevel="0" collapsed="false">
      <c r="A533" s="137" t="n">
        <v>46210</v>
      </c>
      <c r="B533" s="180" t="str">
        <f aca="false">TEXT(A533,"mmm/aaaa")</f>
        <v>Tammuz/Tuesday</v>
      </c>
      <c r="C533" s="67" t="s">
        <v>36</v>
      </c>
      <c r="D533" s="67" t="s">
        <v>620</v>
      </c>
      <c r="E533" s="67" t="s">
        <v>14</v>
      </c>
      <c r="F533" s="138" t="n">
        <v>6</v>
      </c>
      <c r="G533" s="67" t="s">
        <v>179</v>
      </c>
      <c r="H533" s="139" t="n">
        <v>10.14</v>
      </c>
      <c r="I533" s="139" t="n">
        <f aca="false">IFERROR(H533/F533,0)</f>
        <v>1.69</v>
      </c>
      <c r="J533" s="67" t="s">
        <v>1221</v>
      </c>
      <c r="K533" s="67" t="s">
        <v>173</v>
      </c>
    </row>
    <row r="534" customFormat="false" ht="13.5" hidden="false" customHeight="true" outlineLevel="0" collapsed="false">
      <c r="A534" s="137" t="n">
        <v>46210</v>
      </c>
      <c r="B534" s="180" t="str">
        <f aca="false">TEXT(A534,"mmm/aaaa")</f>
        <v>Tammuz/Tuesday</v>
      </c>
      <c r="C534" s="67" t="s">
        <v>36</v>
      </c>
      <c r="D534" s="67" t="s">
        <v>252</v>
      </c>
      <c r="E534" s="67" t="s">
        <v>14</v>
      </c>
      <c r="F534" s="138" t="n">
        <v>0.258</v>
      </c>
      <c r="G534" s="67" t="s">
        <v>176</v>
      </c>
      <c r="H534" s="139" t="n">
        <v>9.03</v>
      </c>
      <c r="I534" s="139" t="n">
        <f aca="false">IFERROR(H534/F534,0)</f>
        <v>35</v>
      </c>
      <c r="J534" s="67" t="s">
        <v>1221</v>
      </c>
      <c r="K534" s="67" t="s">
        <v>173</v>
      </c>
    </row>
    <row r="535" customFormat="false" ht="13.5" hidden="false" customHeight="true" outlineLevel="0" collapsed="false">
      <c r="A535" s="137" t="n">
        <v>46210</v>
      </c>
      <c r="B535" s="180" t="str">
        <f aca="false">TEXT(A535,"mmm/aaaa")</f>
        <v>Tammuz/Tuesday</v>
      </c>
      <c r="C535" s="67" t="s">
        <v>36</v>
      </c>
      <c r="D535" s="67" t="s">
        <v>867</v>
      </c>
      <c r="E535" s="67" t="s">
        <v>12</v>
      </c>
      <c r="F535" s="138" t="n">
        <v>1</v>
      </c>
      <c r="G535" s="67" t="s">
        <v>176</v>
      </c>
      <c r="H535" s="139" t="n">
        <v>8.9</v>
      </c>
      <c r="I535" s="139" t="n">
        <f aca="false">IFERROR(H535/F535,0)</f>
        <v>8.9</v>
      </c>
      <c r="J535" s="67" t="s">
        <v>1221</v>
      </c>
      <c r="K535" s="67" t="s">
        <v>173</v>
      </c>
    </row>
    <row r="536" customFormat="false" ht="13.5" hidden="false" customHeight="true" outlineLevel="0" collapsed="false">
      <c r="A536" s="137" t="n">
        <v>46210</v>
      </c>
      <c r="B536" s="180" t="str">
        <f aca="false">TEXT(A536,"mmm/aaaa")</f>
        <v>Tammuz/Tuesday</v>
      </c>
      <c r="C536" s="67" t="s">
        <v>36</v>
      </c>
      <c r="D536" s="67" t="s">
        <v>398</v>
      </c>
      <c r="E536" s="67" t="s">
        <v>14</v>
      </c>
      <c r="F536" s="138" t="n">
        <v>0.412</v>
      </c>
      <c r="G536" s="67" t="s">
        <v>176</v>
      </c>
      <c r="H536" s="139" t="n">
        <v>6.14</v>
      </c>
      <c r="I536" s="139" t="n">
        <f aca="false">IFERROR(H536/F536,0)</f>
        <v>14.9029126213592</v>
      </c>
      <c r="J536" s="67" t="s">
        <v>1221</v>
      </c>
      <c r="K536" s="67" t="s">
        <v>173</v>
      </c>
    </row>
    <row r="537" customFormat="false" ht="13.5" hidden="false" customHeight="true" outlineLevel="0" collapsed="false">
      <c r="A537" s="137" t="n">
        <v>46210</v>
      </c>
      <c r="B537" s="180" t="str">
        <f aca="false">TEXT(A537,"mmm/aaaa")</f>
        <v>Tammuz/Tuesday</v>
      </c>
      <c r="C537" s="67" t="s">
        <v>36</v>
      </c>
      <c r="D537" s="67" t="s">
        <v>869</v>
      </c>
      <c r="E537" s="67" t="s">
        <v>14</v>
      </c>
      <c r="F537" s="138" t="n">
        <v>0.132</v>
      </c>
      <c r="G537" s="67" t="s">
        <v>176</v>
      </c>
      <c r="H537" s="139" t="n">
        <v>6.47</v>
      </c>
      <c r="I537" s="139" t="n">
        <f aca="false">IFERROR(H537/F537,0)</f>
        <v>49.0151515151515</v>
      </c>
      <c r="J537" s="67" t="s">
        <v>1221</v>
      </c>
      <c r="K537" s="67" t="s">
        <v>173</v>
      </c>
    </row>
    <row r="538" customFormat="false" ht="13.5" hidden="false" customHeight="true" outlineLevel="0" collapsed="false">
      <c r="A538" s="137" t="n">
        <v>46210</v>
      </c>
      <c r="B538" s="180" t="str">
        <f aca="false">TEXT(A538,"mmm/aaaa")</f>
        <v>Tammuz/Tuesday</v>
      </c>
      <c r="C538" s="67" t="s">
        <v>36</v>
      </c>
      <c r="D538" s="67" t="s">
        <v>440</v>
      </c>
      <c r="E538" s="67" t="s">
        <v>16</v>
      </c>
      <c r="F538" s="138" t="n">
        <v>12</v>
      </c>
      <c r="G538" s="67" t="s">
        <v>179</v>
      </c>
      <c r="H538" s="139" t="n">
        <v>19.8</v>
      </c>
      <c r="I538" s="139" t="n">
        <f aca="false">IFERROR(H538/F538,0)</f>
        <v>1.65</v>
      </c>
      <c r="J538" s="67" t="s">
        <v>1221</v>
      </c>
      <c r="K538" s="67" t="s">
        <v>173</v>
      </c>
    </row>
    <row r="539" customFormat="false" ht="13.5" hidden="false" customHeight="true" outlineLevel="0" collapsed="false">
      <c r="A539" s="137" t="n">
        <v>46212</v>
      </c>
      <c r="B539" s="180" t="str">
        <f aca="false">TEXT(A539,"mmm/aaaa")</f>
        <v>Tammuz/Thursday</v>
      </c>
      <c r="C539" s="67" t="s">
        <v>36</v>
      </c>
      <c r="D539" s="67" t="s">
        <v>421</v>
      </c>
      <c r="E539" s="67" t="s">
        <v>18</v>
      </c>
      <c r="F539" s="138" t="n">
        <v>1</v>
      </c>
      <c r="G539" s="67" t="s">
        <v>179</v>
      </c>
      <c r="H539" s="139" t="n">
        <v>12.99</v>
      </c>
      <c r="I539" s="139" t="n">
        <f aca="false">IFERROR(H539/F539,0)</f>
        <v>12.99</v>
      </c>
      <c r="J539" s="67" t="s">
        <v>1222</v>
      </c>
      <c r="K539" s="67" t="s">
        <v>173</v>
      </c>
    </row>
    <row r="540" customFormat="false" ht="13.5" hidden="false" customHeight="true" outlineLevel="0" collapsed="false">
      <c r="A540" s="137" t="n">
        <v>46212</v>
      </c>
      <c r="B540" s="180" t="str">
        <f aca="false">TEXT(A540,"mmm/aaaa")</f>
        <v>Tammuz/Thursday</v>
      </c>
      <c r="C540" s="67" t="s">
        <v>36</v>
      </c>
      <c r="D540" s="67" t="s">
        <v>873</v>
      </c>
      <c r="E540" s="67" t="s">
        <v>12</v>
      </c>
      <c r="F540" s="138" t="n">
        <v>1</v>
      </c>
      <c r="G540" s="67" t="s">
        <v>179</v>
      </c>
      <c r="H540" s="139" t="n">
        <v>3.65</v>
      </c>
      <c r="I540" s="139" t="n">
        <f aca="false">IFERROR(H540/F540,0)</f>
        <v>3.65</v>
      </c>
      <c r="J540" s="67" t="s">
        <v>1222</v>
      </c>
      <c r="K540" s="67" t="s">
        <v>173</v>
      </c>
    </row>
    <row r="541" customFormat="false" ht="13.5" hidden="false" customHeight="true" outlineLevel="0" collapsed="false">
      <c r="A541" s="137" t="n">
        <v>46212</v>
      </c>
      <c r="B541" s="180" t="str">
        <f aca="false">TEXT(A541,"mmm/aaaa")</f>
        <v>Tammuz/Thursday</v>
      </c>
      <c r="C541" s="67" t="s">
        <v>36</v>
      </c>
      <c r="D541" s="67" t="s">
        <v>252</v>
      </c>
      <c r="E541" s="67" t="s">
        <v>14</v>
      </c>
      <c r="F541" s="138" t="n">
        <v>0.208</v>
      </c>
      <c r="G541" s="67" t="s">
        <v>176</v>
      </c>
      <c r="H541" s="139" t="n">
        <v>9.36</v>
      </c>
      <c r="I541" s="139" t="n">
        <f aca="false">IFERROR(H541/F541,0)</f>
        <v>45</v>
      </c>
      <c r="J541" s="67" t="s">
        <v>1222</v>
      </c>
      <c r="K541" s="67" t="s">
        <v>173</v>
      </c>
    </row>
    <row r="542" customFormat="false" ht="13.5" hidden="false" customHeight="true" outlineLevel="0" collapsed="false">
      <c r="A542" s="137" t="n">
        <v>46212</v>
      </c>
      <c r="B542" s="180" t="str">
        <f aca="false">TEXT(A542,"mmm/aaaa")</f>
        <v>Tammuz/Thursday</v>
      </c>
      <c r="C542" s="67" t="s">
        <v>36</v>
      </c>
      <c r="D542" s="67" t="s">
        <v>860</v>
      </c>
      <c r="E542" s="67" t="s">
        <v>12</v>
      </c>
      <c r="F542" s="138" t="n">
        <v>1</v>
      </c>
      <c r="G542" s="67" t="s">
        <v>179</v>
      </c>
      <c r="H542" s="139" t="n">
        <v>13.5</v>
      </c>
      <c r="I542" s="139" t="n">
        <f aca="false">IFERROR(H542/F542,0)</f>
        <v>13.5</v>
      </c>
      <c r="J542" s="67" t="s">
        <v>1222</v>
      </c>
      <c r="K542" s="67" t="s">
        <v>173</v>
      </c>
    </row>
    <row r="543" customFormat="false" ht="13.5" hidden="false" customHeight="true" outlineLevel="0" collapsed="false">
      <c r="A543" s="137" t="n">
        <v>46212</v>
      </c>
      <c r="B543" s="180" t="str">
        <f aca="false">TEXT(A543,"mmm/aaaa")</f>
        <v>Tammuz/Thursday</v>
      </c>
      <c r="C543" s="67" t="s">
        <v>36</v>
      </c>
      <c r="D543" s="67" t="s">
        <v>635</v>
      </c>
      <c r="E543" s="67" t="s">
        <v>12</v>
      </c>
      <c r="F543" s="138" t="n">
        <v>2</v>
      </c>
      <c r="G543" s="67" t="s">
        <v>179</v>
      </c>
      <c r="H543" s="139" t="n">
        <v>21</v>
      </c>
      <c r="I543" s="139" t="n">
        <f aca="false">IFERROR(H543/F543,0)</f>
        <v>10.5</v>
      </c>
      <c r="J543" s="67" t="s">
        <v>1222</v>
      </c>
      <c r="K543" s="67" t="s">
        <v>173</v>
      </c>
    </row>
    <row r="544" customFormat="false" ht="13.5" hidden="false" customHeight="true" outlineLevel="0" collapsed="false">
      <c r="A544" s="137" t="n">
        <v>46212</v>
      </c>
      <c r="B544" s="180" t="str">
        <f aca="false">TEXT(A544,"mmm/aaaa")</f>
        <v>Tammuz/Thursday</v>
      </c>
      <c r="C544" s="67" t="s">
        <v>36</v>
      </c>
      <c r="D544" s="67" t="s">
        <v>261</v>
      </c>
      <c r="E544" s="67" t="s">
        <v>12</v>
      </c>
      <c r="F544" s="138" t="n">
        <v>1</v>
      </c>
      <c r="G544" s="67" t="s">
        <v>179</v>
      </c>
      <c r="H544" s="139" t="n">
        <v>10.2</v>
      </c>
      <c r="I544" s="139" t="n">
        <f aca="false">IFERROR(H544/F544,0)</f>
        <v>10.2</v>
      </c>
      <c r="J544" s="67" t="s">
        <v>1222</v>
      </c>
      <c r="K544" s="67" t="s">
        <v>173</v>
      </c>
    </row>
    <row r="545" customFormat="false" ht="13.5" hidden="false" customHeight="true" outlineLevel="0" collapsed="false">
      <c r="A545" s="137" t="n">
        <v>46212</v>
      </c>
      <c r="B545" s="180" t="str">
        <f aca="false">TEXT(A545,"mmm/aaaa")</f>
        <v>Tammuz/Thursday</v>
      </c>
      <c r="C545" s="67" t="s">
        <v>36</v>
      </c>
      <c r="D545" s="67" t="s">
        <v>818</v>
      </c>
      <c r="E545" s="67" t="s">
        <v>14</v>
      </c>
      <c r="F545" s="138" t="n">
        <v>1</v>
      </c>
      <c r="G545" s="67" t="s">
        <v>179</v>
      </c>
      <c r="H545" s="139" t="n">
        <v>8.59</v>
      </c>
      <c r="I545" s="139" t="n">
        <f aca="false">IFERROR(H545/F545,0)</f>
        <v>8.59</v>
      </c>
      <c r="J545" s="67" t="s">
        <v>1222</v>
      </c>
      <c r="K545" s="67" t="s">
        <v>173</v>
      </c>
    </row>
    <row r="546" customFormat="false" ht="13.5" hidden="false" customHeight="true" outlineLevel="0" collapsed="false">
      <c r="A546" s="137" t="n">
        <v>46212</v>
      </c>
      <c r="B546" s="180" t="str">
        <f aca="false">TEXT(A546,"mmm/aaaa")</f>
        <v>Tammuz/Thursday</v>
      </c>
      <c r="C546" s="67" t="s">
        <v>36</v>
      </c>
      <c r="D546" s="67" t="s">
        <v>398</v>
      </c>
      <c r="E546" s="67" t="s">
        <v>14</v>
      </c>
      <c r="F546" s="138" t="n">
        <v>0.428</v>
      </c>
      <c r="G546" s="67" t="s">
        <v>176</v>
      </c>
      <c r="H546" s="139" t="n">
        <v>6.38</v>
      </c>
      <c r="I546" s="139" t="n">
        <f aca="false">IFERROR(H546/F546,0)</f>
        <v>14.9065420560748</v>
      </c>
      <c r="J546" s="67" t="s">
        <v>1222</v>
      </c>
      <c r="K546" s="67" t="s">
        <v>173</v>
      </c>
    </row>
    <row r="547" customFormat="false" ht="13.5" hidden="false" customHeight="true" outlineLevel="0" collapsed="false">
      <c r="A547" s="137" t="n">
        <v>46212</v>
      </c>
      <c r="B547" s="180" t="str">
        <f aca="false">TEXT(A547,"mmm/aaaa")</f>
        <v>Tammuz/Thursday</v>
      </c>
      <c r="C547" s="67" t="s">
        <v>36</v>
      </c>
      <c r="D547" s="67" t="s">
        <v>875</v>
      </c>
      <c r="E547" s="67" t="s">
        <v>12</v>
      </c>
      <c r="F547" s="138" t="n">
        <v>2</v>
      </c>
      <c r="G547" s="67" t="s">
        <v>179</v>
      </c>
      <c r="H547" s="139" t="n">
        <v>4.58</v>
      </c>
      <c r="I547" s="139" t="n">
        <f aca="false">IFERROR(H547/F547,0)</f>
        <v>2.29</v>
      </c>
      <c r="J547" s="67" t="s">
        <v>1222</v>
      </c>
      <c r="K547" s="67" t="s">
        <v>173</v>
      </c>
    </row>
    <row r="548" customFormat="false" ht="13.5" hidden="false" customHeight="true" outlineLevel="0" collapsed="false">
      <c r="A548" s="137" t="n">
        <v>46212</v>
      </c>
      <c r="B548" s="180" t="str">
        <f aca="false">TEXT(A548,"mmm/aaaa")</f>
        <v>Tammuz/Thursday</v>
      </c>
      <c r="C548" s="67" t="s">
        <v>36</v>
      </c>
      <c r="D548" s="67" t="s">
        <v>875</v>
      </c>
      <c r="E548" s="67" t="s">
        <v>12</v>
      </c>
      <c r="F548" s="138" t="n">
        <v>2</v>
      </c>
      <c r="G548" s="67" t="s">
        <v>179</v>
      </c>
      <c r="H548" s="139" t="n">
        <v>4.58</v>
      </c>
      <c r="I548" s="139" t="n">
        <f aca="false">IFERROR(H548/F548,0)</f>
        <v>2.29</v>
      </c>
      <c r="J548" s="67" t="s">
        <v>1222</v>
      </c>
      <c r="K548" s="67" t="s">
        <v>173</v>
      </c>
    </row>
    <row r="549" customFormat="false" ht="13.5" hidden="false" customHeight="true" outlineLevel="0" collapsed="false">
      <c r="A549" s="137" t="n">
        <v>46212</v>
      </c>
      <c r="B549" s="180" t="str">
        <f aca="false">TEXT(A549,"mmm/aaaa")</f>
        <v>Tammuz/Thursday</v>
      </c>
      <c r="C549" s="67" t="s">
        <v>36</v>
      </c>
      <c r="D549" s="67" t="s">
        <v>610</v>
      </c>
      <c r="E549" s="67" t="s">
        <v>12</v>
      </c>
      <c r="F549" s="138" t="n">
        <v>2</v>
      </c>
      <c r="G549" s="67" t="s">
        <v>179</v>
      </c>
      <c r="H549" s="139" t="n">
        <v>23.9</v>
      </c>
      <c r="I549" s="139" t="n">
        <f aca="false">IFERROR(H549/F549,0)</f>
        <v>11.95</v>
      </c>
      <c r="J549" s="67" t="s">
        <v>1222</v>
      </c>
      <c r="K549" s="67" t="s">
        <v>173</v>
      </c>
    </row>
    <row r="550" customFormat="false" ht="13.5" hidden="false" customHeight="true" outlineLevel="0" collapsed="false">
      <c r="A550" s="137" t="n">
        <v>46212</v>
      </c>
      <c r="B550" s="180" t="str">
        <f aca="false">TEXT(A550,"mmm/aaaa")</f>
        <v>Tammuz/Thursday</v>
      </c>
      <c r="C550" s="67" t="s">
        <v>36</v>
      </c>
      <c r="D550" s="67" t="s">
        <v>353</v>
      </c>
      <c r="E550" s="67" t="s">
        <v>12</v>
      </c>
      <c r="F550" s="138" t="n">
        <v>1</v>
      </c>
      <c r="G550" s="67" t="s">
        <v>179</v>
      </c>
      <c r="H550" s="139" t="n">
        <v>10.4</v>
      </c>
      <c r="I550" s="139" t="n">
        <f aca="false">IFERROR(H550/F550,0)</f>
        <v>10.4</v>
      </c>
      <c r="J550" s="67" t="s">
        <v>1222</v>
      </c>
      <c r="K550" s="67" t="s">
        <v>173</v>
      </c>
    </row>
    <row r="551" customFormat="false" ht="13.5" hidden="false" customHeight="true" outlineLevel="0" collapsed="false">
      <c r="A551" s="137" t="n">
        <v>46212</v>
      </c>
      <c r="B551" s="180" t="str">
        <f aca="false">TEXT(A551,"mmm/aaaa")</f>
        <v>Tammuz/Thursday</v>
      </c>
      <c r="C551" s="67" t="s">
        <v>36</v>
      </c>
      <c r="D551" s="67" t="s">
        <v>858</v>
      </c>
      <c r="E551" s="67" t="s">
        <v>12</v>
      </c>
      <c r="F551" s="138" t="n">
        <v>1</v>
      </c>
      <c r="G551" s="67" t="s">
        <v>179</v>
      </c>
      <c r="H551" s="139" t="n">
        <v>6.99</v>
      </c>
      <c r="I551" s="139" t="n">
        <f aca="false">IFERROR(H551/F551,0)</f>
        <v>6.99</v>
      </c>
      <c r="J551" s="67" t="s">
        <v>1222</v>
      </c>
      <c r="K551" s="67" t="s">
        <v>173</v>
      </c>
    </row>
    <row r="552" customFormat="false" ht="13.5" hidden="false" customHeight="true" outlineLevel="0" collapsed="false">
      <c r="A552" s="137" t="n">
        <v>46212</v>
      </c>
      <c r="B552" s="180" t="str">
        <f aca="false">TEXT(A552,"mmm/aaaa")</f>
        <v>Tammuz/Thursday</v>
      </c>
      <c r="C552" s="67" t="s">
        <v>36</v>
      </c>
      <c r="D552" s="67" t="s">
        <v>862</v>
      </c>
      <c r="E552" s="67" t="s">
        <v>12</v>
      </c>
      <c r="F552" s="138" t="n">
        <v>2</v>
      </c>
      <c r="G552" s="67" t="s">
        <v>179</v>
      </c>
      <c r="H552" s="139" t="n">
        <v>15.3</v>
      </c>
      <c r="I552" s="139" t="n">
        <f aca="false">IFERROR(H552/F552,0)</f>
        <v>7.65</v>
      </c>
      <c r="J552" s="67" t="s">
        <v>1222</v>
      </c>
      <c r="K552" s="67" t="s">
        <v>173</v>
      </c>
    </row>
    <row r="553" customFormat="false" ht="13.5" hidden="false" customHeight="true" outlineLevel="0" collapsed="false">
      <c r="A553" s="137" t="n">
        <v>46212</v>
      </c>
      <c r="B553" s="180" t="str">
        <f aca="false">TEXT(A553,"mmm/aaaa")</f>
        <v>Tammuz/Thursday</v>
      </c>
      <c r="C553" s="67" t="s">
        <v>36</v>
      </c>
      <c r="D553" s="67" t="s">
        <v>862</v>
      </c>
      <c r="E553" s="67" t="s">
        <v>12</v>
      </c>
      <c r="F553" s="138" t="n">
        <v>2</v>
      </c>
      <c r="G553" s="67" t="s">
        <v>179</v>
      </c>
      <c r="H553" s="139" t="n">
        <v>15.3</v>
      </c>
      <c r="I553" s="139" t="n">
        <f aca="false">IFERROR(H553/F553,0)</f>
        <v>7.65</v>
      </c>
      <c r="J553" s="67" t="s">
        <v>1222</v>
      </c>
      <c r="K553" s="67" t="s">
        <v>173</v>
      </c>
    </row>
    <row r="554" customFormat="false" ht="13.5" hidden="false" customHeight="true" outlineLevel="0" collapsed="false">
      <c r="A554" s="137" t="n">
        <v>46212</v>
      </c>
      <c r="B554" s="180" t="str">
        <f aca="false">TEXT(A554,"mmm/aaaa")</f>
        <v>Tammuz/Thursday</v>
      </c>
      <c r="C554" s="67" t="s">
        <v>36</v>
      </c>
      <c r="D554" s="67" t="s">
        <v>880</v>
      </c>
      <c r="E554" s="67" t="s">
        <v>16</v>
      </c>
      <c r="F554" s="138" t="n">
        <v>1</v>
      </c>
      <c r="G554" s="67" t="s">
        <v>179</v>
      </c>
      <c r="H554" s="139" t="n">
        <v>8.3</v>
      </c>
      <c r="I554" s="139" t="n">
        <f aca="false">IFERROR(H554/F554,0)</f>
        <v>8.3</v>
      </c>
      <c r="J554" s="67" t="s">
        <v>1222</v>
      </c>
      <c r="K554" s="67" t="s">
        <v>173</v>
      </c>
    </row>
    <row r="555" customFormat="false" ht="13.5" hidden="false" customHeight="true" outlineLevel="0" collapsed="false">
      <c r="A555" s="137" t="n">
        <v>46212</v>
      </c>
      <c r="B555" s="180" t="str">
        <f aca="false">TEXT(A555,"mmm/aaaa")</f>
        <v>Tammuz/Thursday</v>
      </c>
      <c r="C555" s="67" t="s">
        <v>36</v>
      </c>
      <c r="D555" s="67" t="s">
        <v>882</v>
      </c>
      <c r="E555" s="67" t="s">
        <v>17</v>
      </c>
      <c r="F555" s="138" t="n">
        <v>0.518</v>
      </c>
      <c r="G555" s="67" t="s">
        <v>176</v>
      </c>
      <c r="H555" s="139" t="n">
        <v>16.84</v>
      </c>
      <c r="I555" s="139" t="n">
        <f aca="false">IFERROR(H555/F555,0)</f>
        <v>32.5096525096525</v>
      </c>
      <c r="J555" s="67" t="s">
        <v>1222</v>
      </c>
      <c r="K555" s="67" t="s">
        <v>173</v>
      </c>
    </row>
    <row r="556" customFormat="false" ht="13.5" hidden="false" customHeight="true" outlineLevel="0" collapsed="false">
      <c r="A556" s="137" t="n">
        <v>46212</v>
      </c>
      <c r="B556" s="180" t="str">
        <f aca="false">TEXT(A556,"mmm/aaaa")</f>
        <v>Tammuz/Thursday</v>
      </c>
      <c r="C556" s="67" t="s">
        <v>36</v>
      </c>
      <c r="D556" s="67" t="s">
        <v>884</v>
      </c>
      <c r="E556" s="67" t="s">
        <v>13</v>
      </c>
      <c r="F556" s="138" t="n">
        <v>1</v>
      </c>
      <c r="G556" s="67" t="s">
        <v>179</v>
      </c>
      <c r="H556" s="139" t="n">
        <v>7.85</v>
      </c>
      <c r="I556" s="139" t="n">
        <f aca="false">IFERROR(H556/F556,0)</f>
        <v>7.85</v>
      </c>
      <c r="J556" s="67" t="s">
        <v>1222</v>
      </c>
      <c r="K556" s="67" t="s">
        <v>173</v>
      </c>
    </row>
    <row r="557" customFormat="false" ht="13.5" hidden="false" customHeight="true" outlineLevel="0" collapsed="false">
      <c r="A557" s="137" t="n">
        <v>46212</v>
      </c>
      <c r="B557" s="180" t="str">
        <f aca="false">TEXT(A557,"mmm/aaaa")</f>
        <v>Tammuz/Thursday</v>
      </c>
      <c r="C557" s="67" t="s">
        <v>36</v>
      </c>
      <c r="D557" s="67" t="s">
        <v>606</v>
      </c>
      <c r="E557" s="67" t="s">
        <v>16</v>
      </c>
      <c r="F557" s="138" t="n">
        <v>2</v>
      </c>
      <c r="G557" s="67" t="s">
        <v>179</v>
      </c>
      <c r="H557" s="139" t="n">
        <v>6.9</v>
      </c>
      <c r="I557" s="139" t="n">
        <f aca="false">IFERROR(H557/F557,0)</f>
        <v>3.45</v>
      </c>
      <c r="J557" s="67" t="s">
        <v>1222</v>
      </c>
      <c r="K557" s="67" t="s">
        <v>173</v>
      </c>
    </row>
    <row r="558" customFormat="false" ht="13.5" hidden="false" customHeight="true" outlineLevel="0" collapsed="false">
      <c r="A558" s="137" t="n">
        <v>46212</v>
      </c>
      <c r="B558" s="180" t="str">
        <f aca="false">TEXT(A558,"mmm/aaaa")</f>
        <v>Tammuz/Thursday</v>
      </c>
      <c r="C558" s="67" t="s">
        <v>36</v>
      </c>
      <c r="D558" s="67" t="s">
        <v>886</v>
      </c>
      <c r="E558" s="67" t="s">
        <v>12</v>
      </c>
      <c r="F558" s="138" t="n">
        <v>1</v>
      </c>
      <c r="G558" s="67" t="s">
        <v>179</v>
      </c>
      <c r="H558" s="139" t="n">
        <v>26</v>
      </c>
      <c r="I558" s="139" t="n">
        <f aca="false">IFERROR(H558/F558,0)</f>
        <v>26</v>
      </c>
      <c r="J558" s="67" t="s">
        <v>1222</v>
      </c>
      <c r="K558" s="67" t="s">
        <v>173</v>
      </c>
    </row>
    <row r="559" customFormat="false" ht="13.5" hidden="false" customHeight="true" outlineLevel="0" collapsed="false">
      <c r="A559" s="137" t="n">
        <v>46212</v>
      </c>
      <c r="B559" s="180" t="str">
        <f aca="false">TEXT(A559,"mmm/aaaa")</f>
        <v>Tammuz/Thursday</v>
      </c>
      <c r="C559" s="67" t="s">
        <v>36</v>
      </c>
      <c r="D559" s="67" t="s">
        <v>888</v>
      </c>
      <c r="E559" s="67" t="s">
        <v>13</v>
      </c>
      <c r="F559" s="138" t="n">
        <v>1</v>
      </c>
      <c r="G559" s="67" t="s">
        <v>179</v>
      </c>
      <c r="H559" s="139" t="n">
        <v>9</v>
      </c>
      <c r="I559" s="139" t="n">
        <f aca="false">IFERROR(H559/F559,0)</f>
        <v>9</v>
      </c>
      <c r="J559" s="67" t="s">
        <v>1222</v>
      </c>
      <c r="K559" s="67" t="s">
        <v>173</v>
      </c>
    </row>
    <row r="560" customFormat="false" ht="13.5" hidden="false" customHeight="true" outlineLevel="0" collapsed="false">
      <c r="A560" s="137" t="n">
        <v>46212</v>
      </c>
      <c r="B560" s="180" t="str">
        <f aca="false">TEXT(A560,"mmm/aaaa")</f>
        <v>Tammuz/Thursday</v>
      </c>
      <c r="C560" s="67" t="s">
        <v>36</v>
      </c>
      <c r="D560" s="67" t="s">
        <v>884</v>
      </c>
      <c r="E560" s="67" t="s">
        <v>13</v>
      </c>
      <c r="F560" s="138" t="n">
        <v>1</v>
      </c>
      <c r="G560" s="67" t="s">
        <v>179</v>
      </c>
      <c r="H560" s="139" t="n">
        <v>7.85</v>
      </c>
      <c r="I560" s="139" t="n">
        <f aca="false">IFERROR(H560/F560,0)</f>
        <v>7.85</v>
      </c>
      <c r="J560" s="67" t="s">
        <v>1222</v>
      </c>
      <c r="K560" s="67" t="s">
        <v>173</v>
      </c>
    </row>
    <row r="561" customFormat="false" ht="13.5" hidden="false" customHeight="true" outlineLevel="0" collapsed="false">
      <c r="A561" s="137" t="n">
        <v>46212</v>
      </c>
      <c r="B561" s="180" t="str">
        <f aca="false">TEXT(A561,"mmm/aaaa")</f>
        <v>Tammuz/Thursday</v>
      </c>
      <c r="C561" s="67" t="s">
        <v>36</v>
      </c>
      <c r="D561" s="67" t="s">
        <v>284</v>
      </c>
      <c r="E561" s="67" t="s">
        <v>15</v>
      </c>
      <c r="F561" s="138" t="n">
        <v>1.597</v>
      </c>
      <c r="G561" s="67" t="s">
        <v>176</v>
      </c>
      <c r="H561" s="139" t="n">
        <v>11.16</v>
      </c>
      <c r="I561" s="139" t="n">
        <f aca="false">IFERROR(H561/F561,0)</f>
        <v>6.98810269254853</v>
      </c>
      <c r="J561" s="67" t="s">
        <v>1222</v>
      </c>
      <c r="K561" s="67" t="s">
        <v>173</v>
      </c>
    </row>
    <row r="562" customFormat="false" ht="13.5" hidden="false" customHeight="true" outlineLevel="0" collapsed="false">
      <c r="A562" s="137" t="n">
        <v>46212</v>
      </c>
      <c r="B562" s="180" t="str">
        <f aca="false">TEXT(A562,"mmm/aaaa")</f>
        <v>Tammuz/Thursday</v>
      </c>
      <c r="C562" s="67" t="s">
        <v>36</v>
      </c>
      <c r="D562" s="67" t="s">
        <v>892</v>
      </c>
      <c r="E562" s="67" t="s">
        <v>15</v>
      </c>
      <c r="F562" s="138" t="n">
        <v>1</v>
      </c>
      <c r="G562" s="67" t="s">
        <v>179</v>
      </c>
      <c r="H562" s="139" t="n">
        <v>5.2</v>
      </c>
      <c r="I562" s="139" t="n">
        <f aca="false">IFERROR(H562/F562,0)</f>
        <v>5.2</v>
      </c>
      <c r="J562" s="67" t="s">
        <v>1222</v>
      </c>
      <c r="K562" s="67" t="s">
        <v>173</v>
      </c>
    </row>
    <row r="563" customFormat="false" ht="13.5" hidden="false" customHeight="true" outlineLevel="0" collapsed="false">
      <c r="A563" s="137" t="n">
        <v>46215</v>
      </c>
      <c r="B563" s="67" t="str">
        <f aca="false">TEXT(A563,"mmm/aaaa")</f>
        <v>Tammuz/Sunday</v>
      </c>
      <c r="C563" s="67" t="s">
        <v>36</v>
      </c>
      <c r="D563" s="67" t="s">
        <v>440</v>
      </c>
      <c r="E563" s="67" t="s">
        <v>16</v>
      </c>
      <c r="F563" s="138" t="n">
        <v>12</v>
      </c>
      <c r="G563" s="67" t="s">
        <v>179</v>
      </c>
      <c r="H563" s="139" t="n">
        <v>19.8</v>
      </c>
      <c r="I563" s="139" t="n">
        <f aca="false">IFERROR(H563/F563,0)</f>
        <v>1.65</v>
      </c>
      <c r="J563" s="67" t="s">
        <v>1223</v>
      </c>
      <c r="K563" s="67" t="s">
        <v>173</v>
      </c>
    </row>
    <row r="564" customFormat="false" ht="13.5" hidden="false" customHeight="true" outlineLevel="0" collapsed="false">
      <c r="A564" s="137" t="n">
        <v>46215</v>
      </c>
      <c r="B564" s="67" t="str">
        <f aca="false">TEXT(A564,"mmm/aaaa")</f>
        <v>Tammuz/Sunday</v>
      </c>
      <c r="C564" s="67" t="s">
        <v>36</v>
      </c>
      <c r="D564" s="67" t="s">
        <v>896</v>
      </c>
      <c r="E564" s="67" t="s">
        <v>13</v>
      </c>
      <c r="F564" s="138" t="n">
        <v>1</v>
      </c>
      <c r="G564" s="67" t="s">
        <v>179</v>
      </c>
      <c r="H564" s="139" t="n">
        <v>5.59</v>
      </c>
      <c r="I564" s="139" t="n">
        <f aca="false">IFERROR(H564/F564,0)</f>
        <v>5.59</v>
      </c>
      <c r="J564" s="67" t="s">
        <v>1223</v>
      </c>
      <c r="K564" s="67" t="s">
        <v>173</v>
      </c>
    </row>
    <row r="565" customFormat="false" ht="13.5" hidden="false" customHeight="true" outlineLevel="0" collapsed="false">
      <c r="A565" s="137" t="n">
        <v>46215</v>
      </c>
      <c r="B565" s="67" t="str">
        <f aca="false">TEXT(A565,"mmm/aaaa")</f>
        <v>Tammuz/Sunday</v>
      </c>
      <c r="C565" s="67" t="s">
        <v>36</v>
      </c>
      <c r="D565" s="67" t="s">
        <v>898</v>
      </c>
      <c r="E565" s="67" t="s">
        <v>12</v>
      </c>
      <c r="F565" s="138" t="n">
        <v>1</v>
      </c>
      <c r="G565" s="67" t="s">
        <v>179</v>
      </c>
      <c r="H565" s="139" t="n">
        <v>9.35</v>
      </c>
      <c r="I565" s="139" t="n">
        <f aca="false">IFERROR(H565/F565,0)</f>
        <v>9.35</v>
      </c>
      <c r="J565" s="67" t="s">
        <v>1223</v>
      </c>
      <c r="K565" s="67" t="s">
        <v>173</v>
      </c>
    </row>
    <row r="566" customFormat="false" ht="13.5" hidden="false" customHeight="true" outlineLevel="0" collapsed="false">
      <c r="A566" s="137" t="n">
        <v>46215</v>
      </c>
      <c r="B566" s="67" t="str">
        <f aca="false">TEXT(A566,"mmm/aaaa")</f>
        <v>Tammuz/Sunday</v>
      </c>
      <c r="C566" s="67" t="s">
        <v>36</v>
      </c>
      <c r="D566" s="67" t="s">
        <v>574</v>
      </c>
      <c r="E566" s="67" t="s">
        <v>13</v>
      </c>
      <c r="F566" s="138" t="n">
        <v>1</v>
      </c>
      <c r="G566" s="67" t="s">
        <v>179</v>
      </c>
      <c r="H566" s="139" t="n">
        <v>6.65</v>
      </c>
      <c r="I566" s="139" t="n">
        <f aca="false">IFERROR(H566/F566,0)</f>
        <v>6.65</v>
      </c>
      <c r="J566" s="67" t="s">
        <v>1223</v>
      </c>
      <c r="K566" s="67" t="s">
        <v>173</v>
      </c>
    </row>
    <row r="567" customFormat="false" ht="13.5" hidden="false" customHeight="true" outlineLevel="0" collapsed="false">
      <c r="A567" s="137" t="n">
        <v>46215</v>
      </c>
      <c r="B567" s="67" t="str">
        <f aca="false">TEXT(A567,"mmm/aaaa")</f>
        <v>Tammuz/Sunday</v>
      </c>
      <c r="C567" s="67" t="s">
        <v>36</v>
      </c>
      <c r="D567" s="67" t="s">
        <v>884</v>
      </c>
      <c r="E567" s="67" t="s">
        <v>13</v>
      </c>
      <c r="F567" s="138" t="n">
        <v>1</v>
      </c>
      <c r="G567" s="67" t="s">
        <v>179</v>
      </c>
      <c r="H567" s="139" t="n">
        <v>7.85</v>
      </c>
      <c r="I567" s="139" t="n">
        <f aca="false">IFERROR(H567/F567,0)</f>
        <v>7.85</v>
      </c>
      <c r="J567" s="67" t="s">
        <v>1223</v>
      </c>
      <c r="K567" s="67" t="s">
        <v>173</v>
      </c>
    </row>
    <row r="568" customFormat="false" ht="13.5" hidden="false" customHeight="true" outlineLevel="0" collapsed="false">
      <c r="A568" s="137" t="n">
        <v>46215</v>
      </c>
      <c r="B568" s="67" t="str">
        <f aca="false">TEXT(A568,"mmm/aaaa")</f>
        <v>Tammuz/Sunday</v>
      </c>
      <c r="C568" s="67" t="s">
        <v>36</v>
      </c>
      <c r="D568" s="67" t="s">
        <v>606</v>
      </c>
      <c r="E568" s="67" t="s">
        <v>16</v>
      </c>
      <c r="F568" s="138" t="n">
        <v>3</v>
      </c>
      <c r="G568" s="67" t="s">
        <v>179</v>
      </c>
      <c r="H568" s="139" t="n">
        <v>10.35</v>
      </c>
      <c r="I568" s="139" t="n">
        <f aca="false">IFERROR(H568/F568,0)</f>
        <v>3.45</v>
      </c>
      <c r="J568" s="67" t="s">
        <v>1223</v>
      </c>
      <c r="K568" s="67" t="s">
        <v>173</v>
      </c>
    </row>
    <row r="569" customFormat="false" ht="13.5" hidden="false" customHeight="true" outlineLevel="0" collapsed="false">
      <c r="A569" s="137" t="n">
        <v>46215</v>
      </c>
      <c r="B569" s="67" t="str">
        <f aca="false">TEXT(A569,"mmm/aaaa")</f>
        <v>Tammuz/Sunday</v>
      </c>
      <c r="C569" s="67" t="s">
        <v>36</v>
      </c>
      <c r="D569" s="67" t="s">
        <v>900</v>
      </c>
      <c r="E569" s="67" t="s">
        <v>12</v>
      </c>
      <c r="F569" s="138" t="n">
        <v>1</v>
      </c>
      <c r="G569" s="67" t="s">
        <v>179</v>
      </c>
      <c r="H569" s="139" t="n">
        <v>19.6</v>
      </c>
      <c r="I569" s="139" t="n">
        <f aca="false">IFERROR(H569/F569,0)</f>
        <v>19.6</v>
      </c>
      <c r="J569" s="67" t="s">
        <v>1223</v>
      </c>
      <c r="K569" s="67" t="s">
        <v>173</v>
      </c>
    </row>
    <row r="570" customFormat="false" ht="13.5" hidden="false" customHeight="true" outlineLevel="0" collapsed="false">
      <c r="A570" s="137" t="n">
        <v>46215</v>
      </c>
      <c r="B570" s="67" t="str">
        <f aca="false">TEXT(A570,"mmm/aaaa")</f>
        <v>Tammuz/Sunday</v>
      </c>
      <c r="C570" s="67" t="s">
        <v>36</v>
      </c>
      <c r="D570" s="67" t="s">
        <v>252</v>
      </c>
      <c r="E570" s="67" t="s">
        <v>14</v>
      </c>
      <c r="F570" s="138" t="n">
        <v>0.25</v>
      </c>
      <c r="G570" s="67" t="s">
        <v>176</v>
      </c>
      <c r="H570" s="139" t="n">
        <v>11.25</v>
      </c>
      <c r="I570" s="139" t="n">
        <f aca="false">IFERROR(H570/F570,0)</f>
        <v>45</v>
      </c>
      <c r="J570" s="67" t="s">
        <v>1223</v>
      </c>
      <c r="K570" s="67" t="s">
        <v>173</v>
      </c>
    </row>
    <row r="571" customFormat="false" ht="13.5" hidden="false" customHeight="true" outlineLevel="0" collapsed="false">
      <c r="A571" s="137" t="n">
        <v>46215</v>
      </c>
      <c r="B571" s="67" t="str">
        <f aca="false">TEXT(A571,"mmm/aaaa")</f>
        <v>Tammuz/Sunday</v>
      </c>
      <c r="C571" s="67" t="s">
        <v>36</v>
      </c>
      <c r="D571" s="67" t="s">
        <v>635</v>
      </c>
      <c r="E571" s="67" t="s">
        <v>12</v>
      </c>
      <c r="F571" s="138" t="n">
        <v>1</v>
      </c>
      <c r="G571" s="67" t="s">
        <v>179</v>
      </c>
      <c r="H571" s="139" t="n">
        <v>10.5</v>
      </c>
      <c r="I571" s="139" t="n">
        <f aca="false">IFERROR(H571/F571,0)</f>
        <v>10.5</v>
      </c>
      <c r="J571" s="67" t="s">
        <v>1223</v>
      </c>
      <c r="K571" s="67" t="s">
        <v>173</v>
      </c>
    </row>
    <row r="572" customFormat="false" ht="13.5" hidden="false" customHeight="true" outlineLevel="0" collapsed="false">
      <c r="A572" s="137" t="n">
        <v>46215</v>
      </c>
      <c r="B572" s="67" t="str">
        <f aca="false">TEXT(A572,"mmm/aaaa")</f>
        <v>Tammuz/Sunday</v>
      </c>
      <c r="C572" s="67" t="s">
        <v>36</v>
      </c>
      <c r="D572" s="67" t="s">
        <v>354</v>
      </c>
      <c r="E572" s="67" t="s">
        <v>12</v>
      </c>
      <c r="F572" s="138" t="n">
        <v>1</v>
      </c>
      <c r="G572" s="67" t="s">
        <v>179</v>
      </c>
      <c r="H572" s="139" t="n">
        <v>9.45</v>
      </c>
      <c r="I572" s="139" t="n">
        <f aca="false">IFERROR(H572/F572,0)</f>
        <v>9.45</v>
      </c>
      <c r="J572" s="67" t="s">
        <v>1223</v>
      </c>
      <c r="K572" s="67" t="s">
        <v>173</v>
      </c>
    </row>
    <row r="573" customFormat="false" ht="13.5" hidden="false" customHeight="true" outlineLevel="0" collapsed="false">
      <c r="A573" s="137" t="n">
        <v>46215</v>
      </c>
      <c r="B573" s="67" t="str">
        <f aca="false">TEXT(A573,"mmm/aaaa")</f>
        <v>Tammuz/Sunday</v>
      </c>
      <c r="C573" s="67" t="s">
        <v>36</v>
      </c>
      <c r="D573" s="67" t="s">
        <v>880</v>
      </c>
      <c r="E573" s="67" t="s">
        <v>16</v>
      </c>
      <c r="F573" s="138" t="n">
        <v>1</v>
      </c>
      <c r="G573" s="67" t="s">
        <v>179</v>
      </c>
      <c r="H573" s="139" t="n">
        <v>8.3</v>
      </c>
      <c r="I573" s="139" t="n">
        <f aca="false">IFERROR(H573/F573,0)</f>
        <v>8.3</v>
      </c>
      <c r="J573" s="67" t="s">
        <v>1223</v>
      </c>
      <c r="K573" s="67" t="s">
        <v>173</v>
      </c>
    </row>
    <row r="574" customFormat="false" ht="13.5" hidden="false" customHeight="true" outlineLevel="0" collapsed="false">
      <c r="A574" s="137" t="n">
        <v>46215</v>
      </c>
      <c r="B574" s="67" t="str">
        <f aca="false">TEXT(A574,"mmm/aaaa")</f>
        <v>Tammuz/Sunday</v>
      </c>
      <c r="C574" s="67" t="s">
        <v>36</v>
      </c>
      <c r="D574" s="67" t="s">
        <v>398</v>
      </c>
      <c r="E574" s="67" t="s">
        <v>14</v>
      </c>
      <c r="F574" s="138" t="n">
        <v>0.392</v>
      </c>
      <c r="G574" s="67" t="s">
        <v>176</v>
      </c>
      <c r="H574" s="139" t="n">
        <v>5.84</v>
      </c>
      <c r="I574" s="139" t="n">
        <f aca="false">IFERROR(H574/F574,0)</f>
        <v>14.8979591836735</v>
      </c>
      <c r="J574" s="67" t="s">
        <v>1223</v>
      </c>
      <c r="K574" s="67" t="s">
        <v>173</v>
      </c>
    </row>
    <row r="575" customFormat="false" ht="13.5" hidden="false" customHeight="true" outlineLevel="0" collapsed="false">
      <c r="A575" s="137" t="n">
        <v>46215</v>
      </c>
      <c r="B575" s="67" t="str">
        <f aca="false">TEXT(A575,"mmm/aaaa")</f>
        <v>Tammuz/Sunday</v>
      </c>
      <c r="C575" s="67" t="s">
        <v>36</v>
      </c>
      <c r="D575" s="67" t="s">
        <v>284</v>
      </c>
      <c r="E575" s="67" t="s">
        <v>15</v>
      </c>
      <c r="F575" s="138" t="n">
        <v>1.438</v>
      </c>
      <c r="G575" s="67" t="s">
        <v>176</v>
      </c>
      <c r="H575" s="139" t="n">
        <v>10.05</v>
      </c>
      <c r="I575" s="139" t="n">
        <f aca="false">IFERROR(H575/F575,0)</f>
        <v>6.98887343532684</v>
      </c>
      <c r="J575" s="67" t="s">
        <v>1223</v>
      </c>
      <c r="K575" s="67" t="s">
        <v>173</v>
      </c>
    </row>
    <row r="576" customFormat="false" ht="13.5" hidden="false" customHeight="true" outlineLevel="0" collapsed="false">
      <c r="A576" s="137" t="n">
        <v>46217</v>
      </c>
      <c r="B576" s="67" t="str">
        <f aca="false">TEXT(A576,"mmm/aaaa")</f>
        <v>Tammuz/Tuesday</v>
      </c>
      <c r="C576" s="67" t="s">
        <v>38</v>
      </c>
      <c r="D576" s="67" t="s">
        <v>904</v>
      </c>
      <c r="E576" s="67" t="s">
        <v>13</v>
      </c>
      <c r="F576" s="138" t="n">
        <v>6</v>
      </c>
      <c r="G576" s="67" t="s">
        <v>179</v>
      </c>
      <c r="H576" s="139" t="n">
        <v>8.4</v>
      </c>
      <c r="I576" s="139" t="n">
        <f aca="false">IFERROR(H576/F576,0)</f>
        <v>1.4</v>
      </c>
      <c r="J576" s="67" t="s">
        <v>1224</v>
      </c>
      <c r="K576" s="67" t="s">
        <v>173</v>
      </c>
    </row>
    <row r="577" customFormat="false" ht="13.5" hidden="false" customHeight="true" outlineLevel="0" collapsed="false">
      <c r="A577" s="137" t="n">
        <v>46217</v>
      </c>
      <c r="B577" s="67" t="str">
        <f aca="false">TEXT(A577,"mmm/aaaa")</f>
        <v>Tammuz/Tuesday</v>
      </c>
      <c r="C577" s="67" t="s">
        <v>38</v>
      </c>
      <c r="D577" s="67" t="s">
        <v>335</v>
      </c>
      <c r="E577" s="67" t="s">
        <v>15</v>
      </c>
      <c r="F577" s="138" t="n">
        <v>1</v>
      </c>
      <c r="G577" s="67" t="s">
        <v>179</v>
      </c>
      <c r="H577" s="139" t="n">
        <v>7.5</v>
      </c>
      <c r="I577" s="139" t="n">
        <f aca="false">IFERROR(H577/F577,0)</f>
        <v>7.5</v>
      </c>
      <c r="J577" s="67" t="s">
        <v>1224</v>
      </c>
      <c r="K577" s="67" t="s">
        <v>173</v>
      </c>
    </row>
    <row r="578" customFormat="false" ht="13.5" hidden="false" customHeight="true" outlineLevel="0" collapsed="false">
      <c r="A578" s="137" t="n">
        <v>46217</v>
      </c>
      <c r="B578" s="67" t="str">
        <f aca="false">TEXT(A578,"mmm/aaaa")</f>
        <v>Tammuz/Tuesday</v>
      </c>
      <c r="C578" s="67" t="s">
        <v>38</v>
      </c>
      <c r="D578" s="67" t="s">
        <v>284</v>
      </c>
      <c r="E578" s="67" t="s">
        <v>15</v>
      </c>
      <c r="F578" s="138" t="n">
        <v>1.26</v>
      </c>
      <c r="G578" s="67" t="s">
        <v>176</v>
      </c>
      <c r="H578" s="139" t="n">
        <v>7.41</v>
      </c>
      <c r="I578" s="139" t="n">
        <f aca="false">IFERROR(H578/F578,0)</f>
        <v>5.88095238095238</v>
      </c>
      <c r="J578" s="67" t="s">
        <v>1224</v>
      </c>
      <c r="K578" s="67" t="s">
        <v>173</v>
      </c>
    </row>
    <row r="579" customFormat="false" ht="13.5" hidden="false" customHeight="true" outlineLevel="0" collapsed="false">
      <c r="A579" s="137" t="n">
        <v>46217</v>
      </c>
      <c r="B579" s="67" t="str">
        <f aca="false">TEXT(A579,"mmm/aaaa")</f>
        <v>Tammuz/Tuesday</v>
      </c>
      <c r="C579" s="67" t="s">
        <v>37</v>
      </c>
      <c r="D579" s="67" t="s">
        <v>432</v>
      </c>
      <c r="E579" s="67" t="s">
        <v>14</v>
      </c>
      <c r="F579" s="138" t="n">
        <v>0.41</v>
      </c>
      <c r="G579" s="67" t="s">
        <v>176</v>
      </c>
      <c r="H579" s="139" t="n">
        <v>7.34</v>
      </c>
      <c r="I579" s="139" t="n">
        <f aca="false">IFERROR(H579/F579,0)</f>
        <v>17.9024390243902</v>
      </c>
      <c r="J579" s="67" t="s">
        <v>1225</v>
      </c>
      <c r="K579" s="67" t="s">
        <v>173</v>
      </c>
    </row>
    <row r="580" customFormat="false" ht="13.5" hidden="false" customHeight="true" outlineLevel="0" collapsed="false">
      <c r="A580" s="137" t="n">
        <v>46217</v>
      </c>
      <c r="B580" s="67" t="str">
        <f aca="false">TEXT(A580,"mmm/aaaa")</f>
        <v>Tammuz/Tuesday</v>
      </c>
      <c r="C580" s="67" t="s">
        <v>37</v>
      </c>
      <c r="D580" s="67" t="s">
        <v>908</v>
      </c>
      <c r="E580" s="67" t="s">
        <v>14</v>
      </c>
      <c r="F580" s="138" t="n">
        <v>1</v>
      </c>
      <c r="G580" s="67" t="s">
        <v>179</v>
      </c>
      <c r="H580" s="139" t="n">
        <v>10.9</v>
      </c>
      <c r="I580" s="139" t="n">
        <f aca="false">IFERROR(H580/F580,0)</f>
        <v>10.9</v>
      </c>
      <c r="J580" s="67" t="s">
        <v>1225</v>
      </c>
      <c r="K580" s="67" t="s">
        <v>173</v>
      </c>
    </row>
    <row r="581" customFormat="false" ht="13.5" hidden="false" customHeight="true" outlineLevel="0" collapsed="false">
      <c r="A581" s="137" t="n">
        <v>46217</v>
      </c>
      <c r="B581" s="67" t="str">
        <f aca="false">TEXT(A581,"mmm/aaaa")</f>
        <v>Tammuz/Tuesday</v>
      </c>
      <c r="C581" s="67" t="s">
        <v>37</v>
      </c>
      <c r="D581" s="67" t="s">
        <v>782</v>
      </c>
      <c r="E581" s="67" t="s">
        <v>17</v>
      </c>
      <c r="F581" s="138" t="n">
        <v>0.438</v>
      </c>
      <c r="G581" s="67" t="s">
        <v>176</v>
      </c>
      <c r="H581" s="139" t="n">
        <v>12.57</v>
      </c>
      <c r="I581" s="139" t="n">
        <f aca="false">IFERROR(H581/F581,0)</f>
        <v>28.6986301369863</v>
      </c>
      <c r="J581" s="67" t="s">
        <v>1225</v>
      </c>
      <c r="K581" s="67" t="s">
        <v>173</v>
      </c>
    </row>
    <row r="582" customFormat="false" ht="13.5" hidden="false" customHeight="true" outlineLevel="0" collapsed="false">
      <c r="A582" s="137" t="n">
        <v>46217</v>
      </c>
      <c r="B582" s="67" t="str">
        <f aca="false">TEXT(A582,"mmm/aaaa")</f>
        <v>Tammuz/Tuesday</v>
      </c>
      <c r="C582" s="67" t="s">
        <v>37</v>
      </c>
      <c r="D582" s="67" t="s">
        <v>911</v>
      </c>
      <c r="E582" s="67" t="s">
        <v>13</v>
      </c>
      <c r="F582" s="138" t="n">
        <v>0.428</v>
      </c>
      <c r="G582" s="67" t="s">
        <v>176</v>
      </c>
      <c r="H582" s="139" t="n">
        <v>23.5</v>
      </c>
      <c r="I582" s="139" t="n">
        <f aca="false">IFERROR(H582/F582,0)</f>
        <v>54.9065420560748</v>
      </c>
      <c r="J582" s="67" t="s">
        <v>1225</v>
      </c>
      <c r="K582" s="67" t="s">
        <v>173</v>
      </c>
    </row>
    <row r="583" customFormat="false" ht="13.5" hidden="false" customHeight="true" outlineLevel="0" collapsed="false">
      <c r="A583" s="137" t="n">
        <v>46217</v>
      </c>
      <c r="B583" s="67" t="str">
        <f aca="false">TEXT(A583,"mmm/aaaa")</f>
        <v>Tammuz/Tuesday</v>
      </c>
      <c r="C583" s="67" t="s">
        <v>37</v>
      </c>
      <c r="D583" s="67" t="s">
        <v>650</v>
      </c>
      <c r="E583" s="67" t="s">
        <v>13</v>
      </c>
      <c r="F583" s="138" t="n">
        <v>2</v>
      </c>
      <c r="G583" s="67" t="s">
        <v>179</v>
      </c>
      <c r="H583" s="139" t="n">
        <v>13.38</v>
      </c>
      <c r="I583" s="139" t="n">
        <f aca="false">IFERROR(H583/F583,0)</f>
        <v>6.69</v>
      </c>
      <c r="J583" s="67" t="s">
        <v>1225</v>
      </c>
      <c r="K583" s="67" t="s">
        <v>173</v>
      </c>
    </row>
    <row r="584" customFormat="false" ht="13.5" hidden="false" customHeight="true" outlineLevel="0" collapsed="false">
      <c r="A584" s="137" t="n">
        <v>46220</v>
      </c>
      <c r="B584" s="67" t="str">
        <f aca="false">TEXT(A584,"mmm/aaaa")</f>
        <v>Av/Friday</v>
      </c>
      <c r="C584" s="67" t="s">
        <v>38</v>
      </c>
      <c r="D584" s="67" t="s">
        <v>284</v>
      </c>
      <c r="E584" s="67" t="s">
        <v>15</v>
      </c>
      <c r="F584" s="138" t="n">
        <v>1.456</v>
      </c>
      <c r="G584" s="67" t="s">
        <v>176</v>
      </c>
      <c r="H584" s="139" t="n">
        <v>8.56</v>
      </c>
      <c r="I584" s="139" t="n">
        <f aca="false">IFERROR(H584/F584,0)</f>
        <v>5.87912087912088</v>
      </c>
      <c r="J584" s="67" t="s">
        <v>1226</v>
      </c>
      <c r="K584" s="67" t="s">
        <v>486</v>
      </c>
    </row>
    <row r="585" customFormat="false" ht="13.5" hidden="false" customHeight="true" outlineLevel="0" collapsed="false">
      <c r="A585" s="137" t="n">
        <v>46220</v>
      </c>
      <c r="B585" s="67" t="str">
        <f aca="false">TEXT(A585,"mmm/aaaa")</f>
        <v>Av/Friday</v>
      </c>
      <c r="C585" s="67" t="s">
        <v>38</v>
      </c>
      <c r="D585" s="67" t="s">
        <v>286</v>
      </c>
      <c r="E585" s="67" t="s">
        <v>15</v>
      </c>
      <c r="F585" s="138" t="n">
        <v>0.878</v>
      </c>
      <c r="G585" s="67" t="s">
        <v>176</v>
      </c>
      <c r="H585" s="139" t="n">
        <v>10.26</v>
      </c>
      <c r="I585" s="139" t="n">
        <f aca="false">IFERROR(H585/F585,0)</f>
        <v>11.6856492027335</v>
      </c>
      <c r="J585" s="67" t="s">
        <v>1226</v>
      </c>
      <c r="K585" s="67" t="s">
        <v>486</v>
      </c>
    </row>
    <row r="586" customFormat="false" ht="13.5" hidden="false" customHeight="true" outlineLevel="0" collapsed="false">
      <c r="A586" s="137" t="n">
        <v>46220</v>
      </c>
      <c r="B586" s="67" t="str">
        <f aca="false">TEXT(A586,"mmm/aaaa")</f>
        <v>Av/Friday</v>
      </c>
      <c r="C586" s="67" t="s">
        <v>38</v>
      </c>
      <c r="D586" s="67" t="s">
        <v>481</v>
      </c>
      <c r="E586" s="67" t="s">
        <v>15</v>
      </c>
      <c r="F586" s="138" t="n">
        <v>1.344</v>
      </c>
      <c r="G586" s="67" t="s">
        <v>176</v>
      </c>
      <c r="H586" s="139" t="n">
        <v>7.1</v>
      </c>
      <c r="I586" s="139" t="n">
        <f aca="false">IFERROR(H586/F586,0)</f>
        <v>5.2827380952381</v>
      </c>
      <c r="J586" s="67" t="s">
        <v>1226</v>
      </c>
      <c r="K586" s="67" t="s">
        <v>486</v>
      </c>
    </row>
    <row r="587" customFormat="false" ht="13.5" hidden="false" customHeight="true" outlineLevel="0" collapsed="false">
      <c r="A587" s="137" t="n">
        <v>46220</v>
      </c>
      <c r="B587" s="67" t="str">
        <f aca="false">TEXT(A587,"mmm/aaaa")</f>
        <v>Av/Friday</v>
      </c>
      <c r="C587" s="67" t="s">
        <v>38</v>
      </c>
      <c r="D587" s="67" t="s">
        <v>479</v>
      </c>
      <c r="E587" s="67" t="s">
        <v>15</v>
      </c>
      <c r="F587" s="138" t="n">
        <v>0.7</v>
      </c>
      <c r="G587" s="67" t="s">
        <v>176</v>
      </c>
      <c r="H587" s="139" t="n">
        <v>6.57</v>
      </c>
      <c r="I587" s="139" t="n">
        <f aca="false">IFERROR(H587/F587,0)</f>
        <v>9.38571428571429</v>
      </c>
      <c r="J587" s="67" t="s">
        <v>1226</v>
      </c>
      <c r="K587" s="67" t="s">
        <v>486</v>
      </c>
    </row>
    <row r="588" customFormat="false" ht="13.5" hidden="false" customHeight="true" outlineLevel="0" collapsed="false">
      <c r="A588" s="137" t="n">
        <v>46220</v>
      </c>
      <c r="B588" s="67" t="str">
        <f aca="false">TEXT(A588,"mmm/aaaa")</f>
        <v>Av/Friday</v>
      </c>
      <c r="C588" s="67" t="s">
        <v>39</v>
      </c>
      <c r="D588" s="67" t="s">
        <v>776</v>
      </c>
      <c r="E588" s="67" t="s">
        <v>13</v>
      </c>
      <c r="F588" s="138" t="n">
        <v>2</v>
      </c>
      <c r="G588" s="67" t="s">
        <v>179</v>
      </c>
      <c r="H588" s="139" t="n">
        <v>13</v>
      </c>
      <c r="I588" s="139" t="n">
        <f aca="false">IFERROR(H588/F588,0)</f>
        <v>6.5</v>
      </c>
      <c r="J588" s="67" t="s">
        <v>1227</v>
      </c>
      <c r="K588" s="67" t="s">
        <v>486</v>
      </c>
    </row>
    <row r="589" customFormat="false" ht="13.5" hidden="false" customHeight="true" outlineLevel="0" collapsed="false">
      <c r="A589" s="137" t="n">
        <v>46220</v>
      </c>
      <c r="B589" s="67" t="str">
        <f aca="false">TEXT(A589,"mmm/aaaa")</f>
        <v>Av/Friday</v>
      </c>
      <c r="C589" s="67" t="s">
        <v>39</v>
      </c>
      <c r="D589" s="67" t="s">
        <v>432</v>
      </c>
      <c r="E589" s="67" t="s">
        <v>14</v>
      </c>
      <c r="F589" s="138" t="n">
        <v>0.534</v>
      </c>
      <c r="G589" s="67" t="s">
        <v>176</v>
      </c>
      <c r="H589" s="139" t="n">
        <v>8</v>
      </c>
      <c r="I589" s="139" t="n">
        <f aca="false">IFERROR(H589/F589,0)</f>
        <v>14.9812734082397</v>
      </c>
      <c r="J589" s="67" t="s">
        <v>1227</v>
      </c>
      <c r="K589" s="67" t="s">
        <v>486</v>
      </c>
    </row>
    <row r="590" customFormat="false" ht="13.5" hidden="false" customHeight="true" outlineLevel="0" collapsed="false">
      <c r="A590" s="137" t="n">
        <v>46222</v>
      </c>
      <c r="B590" s="67" t="str">
        <f aca="false">TEXT(A590,"mmm/aaaa")</f>
        <v>Av/Sunday</v>
      </c>
      <c r="C590" s="67" t="s">
        <v>38</v>
      </c>
      <c r="D590" s="67" t="s">
        <v>922</v>
      </c>
      <c r="E590" s="67" t="s">
        <v>15</v>
      </c>
      <c r="F590" s="138" t="n">
        <v>0.566</v>
      </c>
      <c r="G590" s="67" t="s">
        <v>176</v>
      </c>
      <c r="H590" s="139" t="n">
        <v>2.59</v>
      </c>
      <c r="I590" s="139" t="n">
        <f aca="false">IFERROR(H590/F590,0)</f>
        <v>4.57597173144876</v>
      </c>
      <c r="J590" s="67" t="s">
        <v>1228</v>
      </c>
      <c r="K590" s="67" t="s">
        <v>486</v>
      </c>
    </row>
    <row r="591" customFormat="false" ht="13.5" hidden="false" customHeight="true" outlineLevel="0" collapsed="false">
      <c r="A591" s="137" t="n">
        <v>46222</v>
      </c>
      <c r="B591" s="67" t="str">
        <f aca="false">TEXT(A591,"mmm/aaaa")</f>
        <v>Av/Sunday</v>
      </c>
      <c r="C591" s="67" t="s">
        <v>40</v>
      </c>
      <c r="D591" s="67" t="s">
        <v>926</v>
      </c>
      <c r="E591" s="67" t="s">
        <v>15</v>
      </c>
      <c r="F591" s="138" t="n">
        <v>0.254</v>
      </c>
      <c r="G591" s="67" t="s">
        <v>176</v>
      </c>
      <c r="H591" s="139" t="n">
        <v>16.48</v>
      </c>
      <c r="I591" s="139" t="n">
        <f aca="false">IFERROR(H591/F591,0)</f>
        <v>64.8818897637795</v>
      </c>
      <c r="J591" s="67" t="s">
        <v>1229</v>
      </c>
      <c r="K591" s="67" t="s">
        <v>486</v>
      </c>
    </row>
    <row r="592" customFormat="false" ht="13.5" hidden="false" customHeight="true" outlineLevel="0" collapsed="false">
      <c r="A592" s="137" t="n">
        <v>46222</v>
      </c>
      <c r="B592" s="67" t="str">
        <f aca="false">TEXT(A592,"mmm/aaaa")</f>
        <v>Av/Sunday</v>
      </c>
      <c r="C592" s="67" t="s">
        <v>37</v>
      </c>
      <c r="D592" s="67" t="s">
        <v>929</v>
      </c>
      <c r="E592" s="67" t="s">
        <v>14</v>
      </c>
      <c r="F592" s="138" t="n">
        <v>0.096</v>
      </c>
      <c r="G592" s="67" t="s">
        <v>176</v>
      </c>
      <c r="H592" s="139" t="n">
        <v>4.12</v>
      </c>
      <c r="I592" s="139" t="n">
        <f aca="false">IFERROR(H592/F592,0)</f>
        <v>42.9166666666667</v>
      </c>
      <c r="J592" s="67" t="s">
        <v>1230</v>
      </c>
      <c r="K592" s="67" t="s">
        <v>486</v>
      </c>
    </row>
    <row r="593" customFormat="false" ht="13.5" hidden="false" customHeight="true" outlineLevel="0" collapsed="false">
      <c r="A593" s="137" t="n">
        <v>46222</v>
      </c>
      <c r="B593" s="67" t="str">
        <f aca="false">TEXT(A593,"mmm/aaaa")</f>
        <v>Av/Sunday</v>
      </c>
      <c r="C593" s="67" t="s">
        <v>37</v>
      </c>
      <c r="D593" s="67" t="s">
        <v>929</v>
      </c>
      <c r="E593" s="67" t="s">
        <v>14</v>
      </c>
      <c r="F593" s="138" t="n">
        <v>0.094</v>
      </c>
      <c r="G593" s="67" t="s">
        <v>176</v>
      </c>
      <c r="H593" s="139" t="n">
        <v>4.03</v>
      </c>
      <c r="I593" s="139" t="n">
        <f aca="false">IFERROR(H593/F593,0)</f>
        <v>42.8723404255319</v>
      </c>
      <c r="J593" s="67" t="s">
        <v>1230</v>
      </c>
      <c r="K593" s="67" t="s">
        <v>486</v>
      </c>
    </row>
    <row r="594" customFormat="false" ht="13.5" hidden="false" customHeight="true" outlineLevel="0" collapsed="false">
      <c r="A594" s="137" t="n">
        <v>46222</v>
      </c>
      <c r="B594" s="67" t="str">
        <f aca="false">TEXT(A594,"mmm/aaaa")</f>
        <v>Av/Sunday</v>
      </c>
      <c r="C594" s="67" t="s">
        <v>37</v>
      </c>
      <c r="D594" s="67" t="s">
        <v>432</v>
      </c>
      <c r="E594" s="67" t="s">
        <v>14</v>
      </c>
      <c r="F594" s="138" t="n">
        <v>0.275</v>
      </c>
      <c r="G594" s="67" t="s">
        <v>176</v>
      </c>
      <c r="H594" s="139" t="n">
        <v>4.92</v>
      </c>
      <c r="I594" s="139" t="n">
        <f aca="false">IFERROR(H594/F594,0)</f>
        <v>17.8909090909091</v>
      </c>
      <c r="J594" s="67" t="s">
        <v>1230</v>
      </c>
      <c r="K594" s="67" t="s">
        <v>486</v>
      </c>
    </row>
    <row r="595" customFormat="false" ht="13.5" hidden="false" customHeight="true" outlineLevel="0" collapsed="false">
      <c r="A595" s="137" t="n">
        <v>46222</v>
      </c>
      <c r="B595" s="67" t="str">
        <f aca="false">TEXT(A595,"mmm/aaaa")</f>
        <v>Av/Sunday</v>
      </c>
      <c r="C595" s="67" t="s">
        <v>37</v>
      </c>
      <c r="D595" s="67" t="s">
        <v>908</v>
      </c>
      <c r="E595" s="67" t="s">
        <v>14</v>
      </c>
      <c r="F595" s="138" t="n">
        <v>1</v>
      </c>
      <c r="G595" s="67" t="s">
        <v>179</v>
      </c>
      <c r="H595" s="139" t="n">
        <v>10.9</v>
      </c>
      <c r="I595" s="139" t="n">
        <f aca="false">IFERROR(H595/F595,0)</f>
        <v>10.9</v>
      </c>
      <c r="J595" s="67" t="s">
        <v>1230</v>
      </c>
      <c r="K595" s="67" t="s">
        <v>486</v>
      </c>
    </row>
    <row r="596" customFormat="false" ht="13.5" hidden="false" customHeight="true" outlineLevel="0" collapsed="false">
      <c r="A596" s="137" t="n">
        <v>46222</v>
      </c>
      <c r="B596" s="67" t="str">
        <f aca="false">TEXT(A596,"mmm/aaaa")</f>
        <v>Av/Sunday</v>
      </c>
      <c r="C596" s="67" t="s">
        <v>37</v>
      </c>
      <c r="D596" s="67" t="s">
        <v>650</v>
      </c>
      <c r="E596" s="67" t="s">
        <v>13</v>
      </c>
      <c r="F596" s="138" t="n">
        <v>2</v>
      </c>
      <c r="G596" s="67" t="s">
        <v>179</v>
      </c>
      <c r="H596" s="139" t="n">
        <v>13.38</v>
      </c>
      <c r="I596" s="139" t="n">
        <f aca="false">IFERROR(H596/F596,0)</f>
        <v>6.69</v>
      </c>
      <c r="J596" s="67" t="s">
        <v>1230</v>
      </c>
      <c r="K596" s="67" t="s">
        <v>486</v>
      </c>
    </row>
    <row r="597" customFormat="false" ht="13.5" hidden="false" customHeight="true" outlineLevel="0" collapsed="false">
      <c r="A597" s="137" t="n">
        <v>46223</v>
      </c>
      <c r="B597" s="67" t="str">
        <f aca="false">TEXT(A597,"mmm/aaaa")</f>
        <v>Av/Monday</v>
      </c>
      <c r="C597" s="67" t="s">
        <v>38</v>
      </c>
      <c r="D597" s="67" t="s">
        <v>932</v>
      </c>
      <c r="E597" s="67" t="s">
        <v>13</v>
      </c>
      <c r="F597" s="138" t="n">
        <v>1</v>
      </c>
      <c r="G597" s="67" t="s">
        <v>179</v>
      </c>
      <c r="H597" s="139" t="n">
        <v>16.8</v>
      </c>
      <c r="I597" s="139" t="n">
        <f aca="false">IFERROR(H597/F597,0)</f>
        <v>16.8</v>
      </c>
      <c r="J597" s="67" t="s">
        <v>1231</v>
      </c>
      <c r="K597" s="67" t="s">
        <v>486</v>
      </c>
    </row>
    <row r="598" customFormat="false" ht="13.5" hidden="false" customHeight="true" outlineLevel="0" collapsed="false">
      <c r="A598" s="137" t="n">
        <v>46223</v>
      </c>
      <c r="B598" s="67" t="str">
        <f aca="false">TEXT(A598,"mmm/aaaa")</f>
        <v>Av/Monday</v>
      </c>
      <c r="C598" s="67" t="s">
        <v>39</v>
      </c>
      <c r="D598" s="67" t="s">
        <v>774</v>
      </c>
      <c r="E598" s="67" t="s">
        <v>12</v>
      </c>
      <c r="F598" s="138" t="n">
        <v>0.116</v>
      </c>
      <c r="G598" s="67" t="s">
        <v>176</v>
      </c>
      <c r="H598" s="139" t="n">
        <v>4.87</v>
      </c>
      <c r="I598" s="139" t="n">
        <f aca="false">IFERROR(H598/F598,0)</f>
        <v>41.9827586206897</v>
      </c>
      <c r="J598" s="67" t="s">
        <v>934</v>
      </c>
      <c r="K598" s="67" t="s">
        <v>173</v>
      </c>
    </row>
    <row r="599" customFormat="false" ht="13.5" hidden="false" customHeight="true" outlineLevel="0" collapsed="false">
      <c r="A599" s="137" t="n">
        <v>46223</v>
      </c>
      <c r="B599" s="67" t="str">
        <f aca="false">TEXT(A599,"mmm/aaaa")</f>
        <v>Av/Monday</v>
      </c>
      <c r="C599" s="67" t="s">
        <v>39</v>
      </c>
      <c r="D599" s="67" t="s">
        <v>776</v>
      </c>
      <c r="E599" s="67" t="s">
        <v>13</v>
      </c>
      <c r="F599" s="138" t="n">
        <v>1</v>
      </c>
      <c r="G599" s="67" t="s">
        <v>179</v>
      </c>
      <c r="H599" s="139" t="n">
        <v>6.5</v>
      </c>
      <c r="I599" s="139" t="n">
        <f aca="false">IFERROR(H599/F599,0)</f>
        <v>6.5</v>
      </c>
      <c r="J599" s="67" t="s">
        <v>934</v>
      </c>
      <c r="K599" s="67" t="s">
        <v>173</v>
      </c>
    </row>
    <row r="600" customFormat="false" ht="13.5" hidden="false" customHeight="true" outlineLevel="0" collapsed="false">
      <c r="A600" s="137" t="n">
        <v>46223</v>
      </c>
      <c r="B600" s="67" t="str">
        <f aca="false">TEXT(A600,"mmm/aaaa")</f>
        <v>Av/Monday</v>
      </c>
      <c r="C600" s="67" t="s">
        <v>39</v>
      </c>
      <c r="D600" s="67" t="s">
        <v>432</v>
      </c>
      <c r="E600" s="67" t="s">
        <v>14</v>
      </c>
      <c r="F600" s="138" t="n">
        <v>0.545</v>
      </c>
      <c r="G600" s="67" t="s">
        <v>176</v>
      </c>
      <c r="H600" s="139" t="n">
        <v>8.17</v>
      </c>
      <c r="I600" s="139" t="n">
        <f aca="false">IFERROR(H600/F600,0)</f>
        <v>14.9908256880734</v>
      </c>
      <c r="J600" s="67" t="s">
        <v>934</v>
      </c>
      <c r="K600" s="67" t="s">
        <v>173</v>
      </c>
    </row>
    <row r="601" customFormat="false" ht="13.5" hidden="false" customHeight="true" outlineLevel="0" collapsed="false">
      <c r="A601" s="137" t="n">
        <v>46226</v>
      </c>
      <c r="B601" s="67" t="str">
        <f aca="false">TEXT(A601,"mmm/aaaa")</f>
        <v>Av/Thursday</v>
      </c>
      <c r="C601" s="67" t="s">
        <v>38</v>
      </c>
      <c r="D601" s="67" t="s">
        <v>481</v>
      </c>
      <c r="E601" s="67" t="s">
        <v>15</v>
      </c>
      <c r="F601" s="138" t="n">
        <v>0.848</v>
      </c>
      <c r="G601" s="67" t="s">
        <v>176</v>
      </c>
      <c r="H601" s="139" t="n">
        <v>4.48</v>
      </c>
      <c r="I601" s="139" t="n">
        <f aca="false">IFERROR(H601/F601,0)</f>
        <v>5.28301886792453</v>
      </c>
      <c r="J601" s="67" t="s">
        <v>1232</v>
      </c>
      <c r="K601" s="67" t="s">
        <v>173</v>
      </c>
    </row>
    <row r="602" customFormat="false" ht="13.5" hidden="false" customHeight="true" outlineLevel="0" collapsed="false">
      <c r="A602" s="137" t="n">
        <v>46226</v>
      </c>
      <c r="B602" s="67" t="str">
        <f aca="false">TEXT(A602,"mmm/aaaa")</f>
        <v>Av/Thursday</v>
      </c>
      <c r="C602" s="67" t="s">
        <v>38</v>
      </c>
      <c r="D602" s="67" t="s">
        <v>483</v>
      </c>
      <c r="E602" s="67" t="s">
        <v>15</v>
      </c>
      <c r="F602" s="138" t="n">
        <v>0.72</v>
      </c>
      <c r="G602" s="67" t="s">
        <v>176</v>
      </c>
      <c r="H602" s="139" t="n">
        <v>3.3</v>
      </c>
      <c r="I602" s="139" t="n">
        <f aca="false">IFERROR(H602/F602,0)</f>
        <v>4.58333333333333</v>
      </c>
      <c r="J602" s="67" t="s">
        <v>1232</v>
      </c>
      <c r="K602" s="67" t="s">
        <v>173</v>
      </c>
    </row>
    <row r="603" customFormat="false" ht="13.5" hidden="false" customHeight="true" outlineLevel="0" collapsed="false">
      <c r="A603" s="137" t="n">
        <v>46226</v>
      </c>
      <c r="B603" s="67" t="str">
        <f aca="false">TEXT(A603,"mmm/aaaa")</f>
        <v>Av/Thursday</v>
      </c>
      <c r="C603" s="67" t="s">
        <v>38</v>
      </c>
      <c r="D603" s="67" t="s">
        <v>585</v>
      </c>
      <c r="E603" s="67" t="s">
        <v>15</v>
      </c>
      <c r="F603" s="138" t="n">
        <v>0.416</v>
      </c>
      <c r="G603" s="67" t="s">
        <v>176</v>
      </c>
      <c r="H603" s="139" t="n">
        <v>2.2</v>
      </c>
      <c r="I603" s="139" t="n">
        <f aca="false">IFERROR(H603/F603,0)</f>
        <v>5.28846153846154</v>
      </c>
      <c r="J603" s="67" t="s">
        <v>1232</v>
      </c>
      <c r="K603" s="67" t="s">
        <v>173</v>
      </c>
    </row>
    <row r="604" customFormat="false" ht="13.5" hidden="false" customHeight="true" outlineLevel="0" collapsed="false">
      <c r="A604" s="137" t="n">
        <v>46226</v>
      </c>
      <c r="B604" s="67" t="str">
        <f aca="false">TEXT(A604,"mmm/aaaa")</f>
        <v>Av/Thursday</v>
      </c>
      <c r="C604" s="67" t="s">
        <v>38</v>
      </c>
      <c r="D604" s="67" t="s">
        <v>284</v>
      </c>
      <c r="E604" s="67" t="s">
        <v>15</v>
      </c>
      <c r="F604" s="138" t="n">
        <v>1.646</v>
      </c>
      <c r="G604" s="67" t="s">
        <v>176</v>
      </c>
      <c r="H604" s="139" t="n">
        <v>9.68</v>
      </c>
      <c r="I604" s="139" t="n">
        <f aca="false">IFERROR(H604/F604,0)</f>
        <v>5.88092345078979</v>
      </c>
      <c r="J604" s="67" t="s">
        <v>1232</v>
      </c>
      <c r="K604" s="67" t="s">
        <v>173</v>
      </c>
    </row>
    <row r="605" customFormat="false" ht="13.5" hidden="false" customHeight="true" outlineLevel="0" collapsed="false">
      <c r="A605" s="137" t="n">
        <v>46226</v>
      </c>
      <c r="B605" s="67" t="str">
        <f aca="false">TEXT(A605,"mmm/aaaa")</f>
        <v>Av/Thursday</v>
      </c>
      <c r="C605" s="67" t="s">
        <v>38</v>
      </c>
      <c r="D605" s="67" t="s">
        <v>286</v>
      </c>
      <c r="E605" s="67" t="s">
        <v>15</v>
      </c>
      <c r="F605" s="138" t="n">
        <v>0.532</v>
      </c>
      <c r="G605" s="67" t="s">
        <v>176</v>
      </c>
      <c r="H605" s="139" t="n">
        <v>6.21</v>
      </c>
      <c r="I605" s="139" t="n">
        <f aca="false">IFERROR(H605/F605,0)</f>
        <v>11.6729323308271</v>
      </c>
      <c r="J605" s="67" t="s">
        <v>1232</v>
      </c>
      <c r="K605" s="67" t="s">
        <v>173</v>
      </c>
    </row>
    <row r="606" customFormat="false" ht="13.5" hidden="false" customHeight="true" outlineLevel="0" collapsed="false">
      <c r="A606" s="137" t="n">
        <v>46226</v>
      </c>
      <c r="B606" s="67" t="str">
        <f aca="false">TEXT(A606,"mmm/aaaa")</f>
        <v>Av/Thursday</v>
      </c>
      <c r="C606" s="67" t="s">
        <v>37</v>
      </c>
      <c r="D606" s="67" t="s">
        <v>940</v>
      </c>
      <c r="E606" s="67" t="s">
        <v>12</v>
      </c>
      <c r="F606" s="138" t="n">
        <v>1</v>
      </c>
      <c r="G606" s="67" t="s">
        <v>179</v>
      </c>
      <c r="H606" s="139" t="n">
        <v>10.9</v>
      </c>
      <c r="I606" s="139" t="n">
        <f aca="false">IFERROR(H606/F606,0)</f>
        <v>10.9</v>
      </c>
      <c r="J606" s="67" t="s">
        <v>1233</v>
      </c>
      <c r="K606" s="67" t="s">
        <v>939</v>
      </c>
    </row>
    <row r="607" customFormat="false" ht="13.5" hidden="false" customHeight="true" outlineLevel="0" collapsed="false">
      <c r="A607" s="137" t="n">
        <v>46226</v>
      </c>
      <c r="B607" s="67" t="str">
        <f aca="false">TEXT(A607,"mmm/aaaa")</f>
        <v>Av/Thursday</v>
      </c>
      <c r="C607" s="67" t="s">
        <v>37</v>
      </c>
      <c r="D607" s="67" t="s">
        <v>942</v>
      </c>
      <c r="E607" s="67" t="s">
        <v>19</v>
      </c>
      <c r="F607" s="138" t="n">
        <v>1</v>
      </c>
      <c r="G607" s="67" t="s">
        <v>179</v>
      </c>
      <c r="H607" s="139" t="n">
        <v>7.9</v>
      </c>
      <c r="I607" s="139" t="n">
        <f aca="false">IFERROR(H607/F607,0)</f>
        <v>7.9</v>
      </c>
      <c r="J607" s="67" t="s">
        <v>1233</v>
      </c>
      <c r="K607" s="67" t="s">
        <v>939</v>
      </c>
    </row>
    <row r="608" customFormat="false" ht="13.5" hidden="false" customHeight="true" outlineLevel="0" collapsed="false">
      <c r="A608" s="137" t="n">
        <v>46226</v>
      </c>
      <c r="B608" s="67" t="str">
        <f aca="false">TEXT(A608,"mmm/aaaa")</f>
        <v>Av/Thursday</v>
      </c>
      <c r="C608" s="67" t="s">
        <v>37</v>
      </c>
      <c r="D608" s="67" t="s">
        <v>944</v>
      </c>
      <c r="E608" s="67" t="s">
        <v>19</v>
      </c>
      <c r="F608" s="138" t="n">
        <v>1</v>
      </c>
      <c r="G608" s="67" t="s">
        <v>179</v>
      </c>
      <c r="H608" s="139" t="n">
        <v>2.69</v>
      </c>
      <c r="I608" s="139" t="n">
        <f aca="false">IFERROR(H608/F608,0)</f>
        <v>2.69</v>
      </c>
      <c r="J608" s="67" t="s">
        <v>1233</v>
      </c>
      <c r="K608" s="67" t="s">
        <v>939</v>
      </c>
    </row>
    <row r="609" customFormat="false" ht="13.5" hidden="false" customHeight="true" outlineLevel="0" collapsed="false">
      <c r="A609" s="137" t="n">
        <v>46226</v>
      </c>
      <c r="B609" s="67" t="str">
        <f aca="false">TEXT(A609,"mmm/aaaa")</f>
        <v>Av/Thursday</v>
      </c>
      <c r="C609" s="67" t="s">
        <v>37</v>
      </c>
      <c r="D609" s="67" t="s">
        <v>946</v>
      </c>
      <c r="E609" s="67" t="s">
        <v>18</v>
      </c>
      <c r="F609" s="138" t="n">
        <v>1</v>
      </c>
      <c r="G609" s="67" t="s">
        <v>179</v>
      </c>
      <c r="H609" s="139" t="n">
        <v>2.19</v>
      </c>
      <c r="I609" s="139" t="n">
        <f aca="false">IFERROR(H609/F609,0)</f>
        <v>2.19</v>
      </c>
      <c r="J609" s="67" t="s">
        <v>1233</v>
      </c>
      <c r="K609" s="67" t="s">
        <v>939</v>
      </c>
    </row>
    <row r="610" customFormat="false" ht="13.5" hidden="false" customHeight="true" outlineLevel="0" collapsed="false">
      <c r="A610" s="137" t="n">
        <v>46226</v>
      </c>
      <c r="B610" s="67" t="str">
        <f aca="false">TEXT(A610,"mmm/aaaa")</f>
        <v>Av/Thursday</v>
      </c>
      <c r="C610" s="67" t="s">
        <v>37</v>
      </c>
      <c r="D610" s="67" t="s">
        <v>948</v>
      </c>
      <c r="E610" s="67" t="s">
        <v>12</v>
      </c>
      <c r="F610" s="138" t="n">
        <v>1</v>
      </c>
      <c r="G610" s="67" t="s">
        <v>179</v>
      </c>
      <c r="H610" s="139" t="n">
        <v>2.99</v>
      </c>
      <c r="I610" s="139" t="n">
        <f aca="false">IFERROR(H610/F610,0)</f>
        <v>2.99</v>
      </c>
      <c r="J610" s="67" t="s">
        <v>1233</v>
      </c>
      <c r="K610" s="67" t="s">
        <v>939</v>
      </c>
    </row>
    <row r="611" customFormat="false" ht="13.5" hidden="false" customHeight="true" outlineLevel="0" collapsed="false">
      <c r="A611" s="137" t="n">
        <v>46226</v>
      </c>
      <c r="B611" s="67" t="str">
        <f aca="false">TEXT(A611,"mmm/aaaa")</f>
        <v>Av/Thursday</v>
      </c>
      <c r="C611" s="67" t="s">
        <v>37</v>
      </c>
      <c r="D611" s="67" t="s">
        <v>624</v>
      </c>
      <c r="E611" s="67" t="s">
        <v>14</v>
      </c>
      <c r="F611" s="138" t="n">
        <v>0.34</v>
      </c>
      <c r="G611" s="67" t="s">
        <v>176</v>
      </c>
      <c r="H611" s="139" t="n">
        <v>10.17</v>
      </c>
      <c r="I611" s="139" t="n">
        <f aca="false">IFERROR(H611/F611,0)</f>
        <v>29.9117647058824</v>
      </c>
      <c r="J611" s="67" t="s">
        <v>1233</v>
      </c>
      <c r="K611" s="67" t="s">
        <v>939</v>
      </c>
    </row>
    <row r="612" customFormat="false" ht="13.5" hidden="false" customHeight="true" outlineLevel="0" collapsed="false">
      <c r="A612" s="137" t="n">
        <v>46226</v>
      </c>
      <c r="B612" s="67" t="str">
        <f aca="false">TEXT(A612,"mmm/aaaa")</f>
        <v>Av/Thursday</v>
      </c>
      <c r="C612" s="67" t="s">
        <v>37</v>
      </c>
      <c r="D612" s="67" t="s">
        <v>950</v>
      </c>
      <c r="E612" s="67" t="s">
        <v>17</v>
      </c>
      <c r="F612" s="138" t="n">
        <v>0.29</v>
      </c>
      <c r="G612" s="67" t="s">
        <v>176</v>
      </c>
      <c r="H612" s="139" t="n">
        <v>17.37</v>
      </c>
      <c r="I612" s="139" t="n">
        <f aca="false">IFERROR(H612/F612,0)</f>
        <v>59.8965517241379</v>
      </c>
      <c r="J612" s="67" t="s">
        <v>1233</v>
      </c>
      <c r="K612" s="67" t="s">
        <v>939</v>
      </c>
    </row>
    <row r="613" customFormat="false" ht="13.5" hidden="false" customHeight="true" outlineLevel="0" collapsed="false">
      <c r="A613" s="137" t="n">
        <v>46226</v>
      </c>
      <c r="B613" s="67" t="str">
        <f aca="false">TEXT(A613,"mmm/aaaa")</f>
        <v>Av/Thursday</v>
      </c>
      <c r="C613" s="67" t="s">
        <v>37</v>
      </c>
      <c r="D613" s="67" t="s">
        <v>951</v>
      </c>
      <c r="E613" s="67" t="s">
        <v>15</v>
      </c>
      <c r="F613" s="138" t="n">
        <v>0.745</v>
      </c>
      <c r="G613" s="67" t="s">
        <v>176</v>
      </c>
      <c r="H613" s="139" t="n">
        <v>4.46</v>
      </c>
      <c r="I613" s="139" t="n">
        <f aca="false">IFERROR(H613/F613,0)</f>
        <v>5.98657718120805</v>
      </c>
      <c r="J613" s="67" t="s">
        <v>1233</v>
      </c>
      <c r="K613" s="67" t="s">
        <v>939</v>
      </c>
    </row>
    <row r="614" customFormat="false" ht="13.5" hidden="false" customHeight="true" outlineLevel="0" collapsed="false">
      <c r="A614" s="137" t="n">
        <v>46226</v>
      </c>
      <c r="B614" s="67" t="str">
        <f aca="false">TEXT(A614,"mmm/aaaa")</f>
        <v>Av/Thursday</v>
      </c>
      <c r="C614" s="67" t="s">
        <v>37</v>
      </c>
      <c r="D614" s="67" t="s">
        <v>953</v>
      </c>
      <c r="E614" s="67" t="s">
        <v>19</v>
      </c>
      <c r="F614" s="138" t="n">
        <v>1</v>
      </c>
      <c r="G614" s="67" t="s">
        <v>179</v>
      </c>
      <c r="H614" s="139" t="n">
        <v>5.9</v>
      </c>
      <c r="I614" s="139" t="n">
        <f aca="false">IFERROR(H614/F614,0)</f>
        <v>5.9</v>
      </c>
      <c r="J614" s="67" t="s">
        <v>1233</v>
      </c>
      <c r="K614" s="67" t="s">
        <v>939</v>
      </c>
    </row>
    <row r="615" customFormat="false" ht="13.5" hidden="false" customHeight="true" outlineLevel="0" collapsed="false">
      <c r="A615" s="137" t="n">
        <v>46226</v>
      </c>
      <c r="B615" s="67" t="str">
        <f aca="false">TEXT(A615,"mmm/aaaa")</f>
        <v>Av/Thursday</v>
      </c>
      <c r="C615" s="67" t="s">
        <v>37</v>
      </c>
      <c r="D615" s="67" t="s">
        <v>955</v>
      </c>
      <c r="E615" s="67" t="s">
        <v>12</v>
      </c>
      <c r="F615" s="138" t="n">
        <v>1</v>
      </c>
      <c r="G615" s="67" t="s">
        <v>179</v>
      </c>
      <c r="H615" s="139" t="n">
        <v>11.99</v>
      </c>
      <c r="I615" s="139" t="n">
        <f aca="false">IFERROR(H615/F615,0)</f>
        <v>11.99</v>
      </c>
      <c r="J615" s="67" t="s">
        <v>1233</v>
      </c>
      <c r="K615" s="67" t="s">
        <v>939</v>
      </c>
    </row>
    <row r="616" customFormat="false" ht="13.5" hidden="false" customHeight="true" outlineLevel="0" collapsed="false">
      <c r="A616" s="137" t="n">
        <v>46228</v>
      </c>
      <c r="B616" s="67" t="str">
        <f aca="false">TEXT(A616,"mmm/aaaa")</f>
        <v>Av/Shabbat</v>
      </c>
      <c r="C616" s="67" t="s">
        <v>37</v>
      </c>
      <c r="D616" s="67" t="s">
        <v>760</v>
      </c>
      <c r="E616" s="67" t="s">
        <v>13</v>
      </c>
      <c r="F616" s="138" t="n">
        <v>1</v>
      </c>
      <c r="G616" s="67" t="s">
        <v>179</v>
      </c>
      <c r="H616" s="139" t="n">
        <v>6.69</v>
      </c>
      <c r="I616" s="139" t="n">
        <f aca="false">IFERROR(H616/F616,0)</f>
        <v>6.69</v>
      </c>
      <c r="J616" s="67" t="s">
        <v>1234</v>
      </c>
      <c r="K616" s="67" t="s">
        <v>939</v>
      </c>
    </row>
    <row r="617" customFormat="false" ht="13.5" hidden="false" customHeight="true" outlineLevel="0" collapsed="false">
      <c r="A617" s="137" t="n">
        <v>46228</v>
      </c>
      <c r="B617" s="67" t="str">
        <f aca="false">TEXT(A617,"mmm/aaaa")</f>
        <v>Av/Shabbat</v>
      </c>
      <c r="C617" s="67" t="s">
        <v>37</v>
      </c>
      <c r="D617" s="67" t="s">
        <v>760</v>
      </c>
      <c r="E617" s="67" t="s">
        <v>13</v>
      </c>
      <c r="F617" s="138" t="n">
        <v>1</v>
      </c>
      <c r="G617" s="67" t="s">
        <v>179</v>
      </c>
      <c r="H617" s="139" t="n">
        <v>6.69</v>
      </c>
      <c r="I617" s="139" t="n">
        <f aca="false">IFERROR(H617/F617,0)</f>
        <v>6.69</v>
      </c>
      <c r="J617" s="67" t="s">
        <v>1234</v>
      </c>
      <c r="K617" s="67" t="s">
        <v>939</v>
      </c>
    </row>
    <row r="618" customFormat="false" ht="13.5" hidden="false" customHeight="true" outlineLevel="0" collapsed="false">
      <c r="A618" s="137" t="n">
        <v>46228</v>
      </c>
      <c r="B618" s="67" t="str">
        <f aca="false">TEXT(A618,"mmm/aaaa")</f>
        <v>Av/Shabbat</v>
      </c>
      <c r="C618" s="67" t="s">
        <v>37</v>
      </c>
      <c r="D618" s="67" t="s">
        <v>959</v>
      </c>
      <c r="E618" s="67" t="s">
        <v>12</v>
      </c>
      <c r="F618" s="138" t="n">
        <v>1</v>
      </c>
      <c r="G618" s="67" t="s">
        <v>179</v>
      </c>
      <c r="H618" s="139" t="n">
        <v>10.98</v>
      </c>
      <c r="I618" s="139" t="n">
        <f aca="false">IFERROR(H618/F618,0)</f>
        <v>10.98</v>
      </c>
      <c r="J618" s="67" t="s">
        <v>1234</v>
      </c>
      <c r="K618" s="67" t="s">
        <v>939</v>
      </c>
    </row>
    <row r="619" customFormat="false" ht="13.5" hidden="false" customHeight="true" outlineLevel="0" collapsed="false">
      <c r="A619" s="137" t="n">
        <v>46228</v>
      </c>
      <c r="B619" s="67" t="str">
        <f aca="false">TEXT(A619,"mmm/aaaa")</f>
        <v>Av/Shabbat</v>
      </c>
      <c r="C619" s="67" t="s">
        <v>37</v>
      </c>
      <c r="D619" s="67" t="s">
        <v>961</v>
      </c>
      <c r="E619" s="67" t="s">
        <v>12</v>
      </c>
      <c r="F619" s="138" t="n">
        <v>1</v>
      </c>
      <c r="G619" s="67" t="s">
        <v>179</v>
      </c>
      <c r="H619" s="139" t="n">
        <v>4.89</v>
      </c>
      <c r="I619" s="139" t="n">
        <f aca="false">IFERROR(H619/F619,0)</f>
        <v>4.89</v>
      </c>
      <c r="J619" s="67" t="s">
        <v>1234</v>
      </c>
      <c r="K619" s="67" t="s">
        <v>939</v>
      </c>
    </row>
    <row r="620" customFormat="false" ht="13.5" hidden="false" customHeight="true" outlineLevel="0" collapsed="false">
      <c r="A620" s="137" t="n">
        <v>46228</v>
      </c>
      <c r="B620" s="67" t="str">
        <f aca="false">TEXT(A620,"mmm/aaaa")</f>
        <v>Av/Shabbat</v>
      </c>
      <c r="C620" s="67" t="s">
        <v>37</v>
      </c>
      <c r="D620" s="67" t="s">
        <v>963</v>
      </c>
      <c r="E620" s="67" t="s">
        <v>12</v>
      </c>
      <c r="F620" s="138" t="n">
        <v>1</v>
      </c>
      <c r="G620" s="67" t="s">
        <v>179</v>
      </c>
      <c r="H620" s="139" t="n">
        <v>2.99</v>
      </c>
      <c r="I620" s="139" t="n">
        <f aca="false">IFERROR(H620/F620,0)</f>
        <v>2.99</v>
      </c>
      <c r="J620" s="67" t="s">
        <v>1234</v>
      </c>
      <c r="K620" s="67" t="s">
        <v>939</v>
      </c>
    </row>
    <row r="621" customFormat="false" ht="13.5" hidden="false" customHeight="true" outlineLevel="0" collapsed="false">
      <c r="A621" s="137" t="n">
        <v>46228</v>
      </c>
      <c r="B621" s="67" t="str">
        <f aca="false">TEXT(A621,"mmm/aaaa")</f>
        <v>Av/Shabbat</v>
      </c>
      <c r="C621" s="67" t="s">
        <v>37</v>
      </c>
      <c r="D621" s="67" t="s">
        <v>965</v>
      </c>
      <c r="E621" s="67" t="s">
        <v>12</v>
      </c>
      <c r="F621" s="138" t="n">
        <v>1</v>
      </c>
      <c r="G621" s="67" t="s">
        <v>179</v>
      </c>
      <c r="H621" s="139" t="n">
        <v>6.9</v>
      </c>
      <c r="I621" s="139" t="n">
        <f aca="false">IFERROR(H621/F621,0)</f>
        <v>6.9</v>
      </c>
      <c r="J621" s="67" t="s">
        <v>1234</v>
      </c>
      <c r="K621" s="67" t="s">
        <v>939</v>
      </c>
    </row>
    <row r="622" customFormat="false" ht="13.5" hidden="false" customHeight="true" outlineLevel="0" collapsed="false">
      <c r="A622" s="137" t="n">
        <v>46228</v>
      </c>
      <c r="B622" s="67" t="str">
        <f aca="false">TEXT(A622,"mmm/aaaa")</f>
        <v>Av/Shabbat</v>
      </c>
      <c r="C622" s="67" t="s">
        <v>37</v>
      </c>
      <c r="D622" s="67" t="s">
        <v>967</v>
      </c>
      <c r="E622" s="67" t="s">
        <v>12</v>
      </c>
      <c r="F622" s="138" t="n">
        <v>1</v>
      </c>
      <c r="G622" s="67" t="s">
        <v>179</v>
      </c>
      <c r="H622" s="139" t="n">
        <v>1.99</v>
      </c>
      <c r="I622" s="139" t="n">
        <f aca="false">IFERROR(H622/F622,0)</f>
        <v>1.99</v>
      </c>
      <c r="J622" s="67" t="s">
        <v>1234</v>
      </c>
      <c r="K622" s="67" t="s">
        <v>939</v>
      </c>
    </row>
    <row r="623" customFormat="false" ht="13.5" hidden="false" customHeight="true" outlineLevel="0" collapsed="false">
      <c r="A623" s="137" t="n">
        <v>46228</v>
      </c>
      <c r="B623" s="67" t="str">
        <f aca="false">TEXT(A623,"mmm/aaaa")</f>
        <v>Av/Shabbat</v>
      </c>
      <c r="C623" s="67" t="s">
        <v>37</v>
      </c>
      <c r="D623" s="67" t="s">
        <v>969</v>
      </c>
      <c r="E623" s="67" t="s">
        <v>12</v>
      </c>
      <c r="F623" s="138" t="n">
        <v>1</v>
      </c>
      <c r="G623" s="67" t="s">
        <v>179</v>
      </c>
      <c r="H623" s="139" t="n">
        <v>2.99</v>
      </c>
      <c r="I623" s="139" t="n">
        <f aca="false">IFERROR(H623/F623,0)</f>
        <v>2.99</v>
      </c>
      <c r="J623" s="67" t="s">
        <v>1234</v>
      </c>
      <c r="K623" s="67" t="s">
        <v>939</v>
      </c>
    </row>
    <row r="624" customFormat="false" ht="13.5" hidden="false" customHeight="true" outlineLevel="0" collapsed="false">
      <c r="A624" s="137" t="n">
        <v>46228</v>
      </c>
      <c r="B624" s="67" t="str">
        <f aca="false">TEXT(A624,"mmm/aaaa")</f>
        <v>Av/Shabbat</v>
      </c>
      <c r="C624" s="67" t="s">
        <v>37</v>
      </c>
      <c r="D624" s="67" t="s">
        <v>971</v>
      </c>
      <c r="E624" s="67" t="s">
        <v>12</v>
      </c>
      <c r="F624" s="138" t="n">
        <v>1</v>
      </c>
      <c r="G624" s="67" t="s">
        <v>179</v>
      </c>
      <c r="H624" s="139" t="n">
        <v>5.49</v>
      </c>
      <c r="I624" s="139" t="n">
        <f aca="false">IFERROR(H624/F624,0)</f>
        <v>5.49</v>
      </c>
      <c r="J624" s="67" t="s">
        <v>1234</v>
      </c>
      <c r="K624" s="67" t="s">
        <v>939</v>
      </c>
    </row>
    <row r="625" customFormat="false" ht="13.5" hidden="false" customHeight="true" outlineLevel="0" collapsed="false">
      <c r="A625" s="137" t="n">
        <v>46228</v>
      </c>
      <c r="B625" s="67" t="str">
        <f aca="false">TEXT(A625,"mmm/aaaa")</f>
        <v>Av/Shabbat</v>
      </c>
      <c r="C625" s="67" t="s">
        <v>37</v>
      </c>
      <c r="D625" s="67" t="s">
        <v>973</v>
      </c>
      <c r="E625" s="67" t="s">
        <v>12</v>
      </c>
      <c r="F625" s="138" t="n">
        <v>1</v>
      </c>
      <c r="G625" s="67" t="s">
        <v>179</v>
      </c>
      <c r="H625" s="139" t="n">
        <v>3.49</v>
      </c>
      <c r="I625" s="139" t="n">
        <f aca="false">IFERROR(H625/F625,0)</f>
        <v>3.49</v>
      </c>
      <c r="J625" s="67" t="s">
        <v>1234</v>
      </c>
      <c r="K625" s="67" t="s">
        <v>939</v>
      </c>
    </row>
    <row r="626" customFormat="false" ht="13.5" hidden="false" customHeight="true" outlineLevel="0" collapsed="false">
      <c r="A626" s="137" t="n">
        <v>46228</v>
      </c>
      <c r="B626" s="67" t="str">
        <f aca="false">TEXT(A626,"mmm/aaaa")</f>
        <v>Av/Shabbat</v>
      </c>
      <c r="C626" s="67" t="s">
        <v>37</v>
      </c>
      <c r="D626" s="67" t="s">
        <v>624</v>
      </c>
      <c r="E626" s="67" t="s">
        <v>14</v>
      </c>
      <c r="F626" s="138" t="n">
        <v>0.206</v>
      </c>
      <c r="G626" s="67" t="s">
        <v>176</v>
      </c>
      <c r="H626" s="139" t="n">
        <v>6.16</v>
      </c>
      <c r="I626" s="139" t="n">
        <f aca="false">IFERROR(H626/F626,0)</f>
        <v>29.9029126213592</v>
      </c>
      <c r="J626" s="67" t="s">
        <v>1234</v>
      </c>
      <c r="K626" s="67" t="s">
        <v>939</v>
      </c>
    </row>
    <row r="627" customFormat="false" ht="13.5" hidden="false" customHeight="true" outlineLevel="0" collapsed="false">
      <c r="A627" s="137" t="n">
        <v>46228</v>
      </c>
      <c r="B627" s="67" t="str">
        <f aca="false">TEXT(A627,"mmm/aaaa")</f>
        <v>Av/Shabbat</v>
      </c>
      <c r="C627" s="67" t="s">
        <v>37</v>
      </c>
      <c r="D627" s="67" t="s">
        <v>740</v>
      </c>
      <c r="E627" s="67" t="s">
        <v>14</v>
      </c>
      <c r="F627" s="138" t="n">
        <v>0.415</v>
      </c>
      <c r="G627" s="67" t="s">
        <v>176</v>
      </c>
      <c r="H627" s="139" t="n">
        <v>7.43</v>
      </c>
      <c r="I627" s="139" t="n">
        <f aca="false">IFERROR(H627/F627,0)</f>
        <v>17.9036144578313</v>
      </c>
      <c r="J627" s="67" t="s">
        <v>1234</v>
      </c>
      <c r="K627" s="67" t="s">
        <v>939</v>
      </c>
    </row>
    <row r="628" customFormat="false" ht="13.5" hidden="false" customHeight="true" outlineLevel="0" collapsed="false">
      <c r="A628" s="137" t="n">
        <v>46228</v>
      </c>
      <c r="B628" s="67" t="str">
        <f aca="false">TEXT(A628,"mmm/aaaa")</f>
        <v>Av/Shabbat</v>
      </c>
      <c r="C628" s="67" t="s">
        <v>37</v>
      </c>
      <c r="D628" s="67" t="s">
        <v>975</v>
      </c>
      <c r="E628" s="67" t="s">
        <v>18</v>
      </c>
      <c r="F628" s="138" t="n">
        <v>1</v>
      </c>
      <c r="G628" s="67" t="s">
        <v>179</v>
      </c>
      <c r="H628" s="139" t="n">
        <v>8.9</v>
      </c>
      <c r="I628" s="139" t="n">
        <f aca="false">IFERROR(H628/F628,0)</f>
        <v>8.9</v>
      </c>
      <c r="J628" s="67" t="s">
        <v>1234</v>
      </c>
      <c r="K628" s="67" t="s">
        <v>939</v>
      </c>
    </row>
    <row r="629" customFormat="false" ht="13.5" hidden="false" customHeight="true" outlineLevel="0" collapsed="false">
      <c r="A629" s="137" t="n">
        <v>46228</v>
      </c>
      <c r="B629" s="67" t="str">
        <f aca="false">TEXT(A629,"mmm/aaaa")</f>
        <v>Av/Shabbat</v>
      </c>
      <c r="C629" s="67" t="s">
        <v>37</v>
      </c>
      <c r="D629" s="67" t="s">
        <v>976</v>
      </c>
      <c r="E629" s="67" t="s">
        <v>12</v>
      </c>
      <c r="F629" s="138" t="n">
        <v>1</v>
      </c>
      <c r="G629" s="67" t="s">
        <v>179</v>
      </c>
      <c r="H629" s="139" t="n">
        <v>9.9</v>
      </c>
      <c r="I629" s="139" t="n">
        <f aca="false">IFERROR(H629/F629,0)</f>
        <v>9.9</v>
      </c>
      <c r="J629" s="67" t="s">
        <v>1234</v>
      </c>
      <c r="K629" s="67" t="s">
        <v>939</v>
      </c>
    </row>
    <row r="630" customFormat="false" ht="13.5" hidden="false" customHeight="true" outlineLevel="0" collapsed="false">
      <c r="A630" s="137" t="n">
        <v>46228</v>
      </c>
      <c r="B630" s="67" t="str">
        <f aca="false">TEXT(A630,"mmm/aaaa")</f>
        <v>Av/Shabbat</v>
      </c>
      <c r="C630" s="67" t="s">
        <v>37</v>
      </c>
      <c r="D630" s="67" t="s">
        <v>978</v>
      </c>
      <c r="E630" s="67" t="s">
        <v>12</v>
      </c>
      <c r="F630" s="138" t="n">
        <v>1</v>
      </c>
      <c r="G630" s="67" t="s">
        <v>179</v>
      </c>
      <c r="H630" s="139" t="n">
        <v>11.99</v>
      </c>
      <c r="I630" s="139" t="n">
        <f aca="false">IFERROR(H630/F630,0)</f>
        <v>11.99</v>
      </c>
      <c r="J630" s="67" t="s">
        <v>1234</v>
      </c>
      <c r="K630" s="67" t="s">
        <v>939</v>
      </c>
    </row>
    <row r="631" customFormat="false" ht="13.5" hidden="false" customHeight="true" outlineLevel="0" collapsed="false">
      <c r="A631" s="137" t="n">
        <v>46228</v>
      </c>
      <c r="B631" s="67" t="str">
        <f aca="false">TEXT(A631,"mmm/aaaa")</f>
        <v>Av/Shabbat</v>
      </c>
      <c r="C631" s="67" t="s">
        <v>37</v>
      </c>
      <c r="D631" s="67" t="s">
        <v>951</v>
      </c>
      <c r="E631" s="67" t="s">
        <v>15</v>
      </c>
      <c r="F631" s="138" t="n">
        <v>0.655</v>
      </c>
      <c r="G631" s="67" t="s">
        <v>176</v>
      </c>
      <c r="H631" s="139" t="n">
        <v>3.92</v>
      </c>
      <c r="I631" s="139" t="n">
        <f aca="false">IFERROR(H631/F631,0)</f>
        <v>5.98473282442748</v>
      </c>
      <c r="J631" s="67" t="s">
        <v>1234</v>
      </c>
      <c r="K631" s="67" t="s">
        <v>939</v>
      </c>
    </row>
    <row r="632" customFormat="false" ht="13.5" hidden="false" customHeight="true" outlineLevel="0" collapsed="false">
      <c r="A632" s="137" t="n">
        <v>46228</v>
      </c>
      <c r="B632" s="67" t="str">
        <f aca="false">TEXT(A632,"mmm/aaaa")</f>
        <v>Av/Shabbat</v>
      </c>
      <c r="C632" s="67" t="s">
        <v>37</v>
      </c>
      <c r="D632" s="67" t="s">
        <v>979</v>
      </c>
      <c r="E632" s="67" t="s">
        <v>15</v>
      </c>
      <c r="F632" s="138" t="n">
        <v>1.855</v>
      </c>
      <c r="G632" s="67" t="s">
        <v>176</v>
      </c>
      <c r="H632" s="139" t="n">
        <v>7.38</v>
      </c>
      <c r="I632" s="139" t="n">
        <f aca="false">IFERROR(H632/F632,0)</f>
        <v>3.97843665768194</v>
      </c>
      <c r="J632" s="67" t="s">
        <v>1234</v>
      </c>
      <c r="K632" s="67" t="s">
        <v>939</v>
      </c>
    </row>
    <row r="633" customFormat="false" ht="13.5" hidden="false" customHeight="true" outlineLevel="0" collapsed="false">
      <c r="A633" s="137" t="n">
        <v>46229</v>
      </c>
      <c r="B633" s="67" t="str">
        <f aca="false">TEXT(A633,"mmm/aaaa")</f>
        <v>Av/Sunday</v>
      </c>
      <c r="C633" s="67" t="s">
        <v>37</v>
      </c>
      <c r="D633" s="67" t="s">
        <v>740</v>
      </c>
      <c r="E633" s="67" t="s">
        <v>14</v>
      </c>
      <c r="F633" s="138" t="n">
        <v>0.4</v>
      </c>
      <c r="G633" s="67" t="s">
        <v>176</v>
      </c>
      <c r="H633" s="139" t="n">
        <v>7.16</v>
      </c>
      <c r="I633" s="139" t="n">
        <f aca="false">IFERROR(H633/F633,0)</f>
        <v>17.9</v>
      </c>
      <c r="J633" s="67" t="s">
        <v>1235</v>
      </c>
      <c r="K633" s="67" t="s">
        <v>486</v>
      </c>
    </row>
    <row r="634" customFormat="false" ht="13.5" hidden="false" customHeight="true" outlineLevel="0" collapsed="false">
      <c r="A634" s="137" t="n">
        <v>46229</v>
      </c>
      <c r="B634" s="67" t="str">
        <f aca="false">TEXT(A634,"mmm/aaaa")</f>
        <v>Av/Sunday</v>
      </c>
      <c r="C634" s="67" t="s">
        <v>37</v>
      </c>
      <c r="D634" s="67" t="s">
        <v>983</v>
      </c>
      <c r="E634" s="67" t="s">
        <v>12</v>
      </c>
      <c r="F634" s="138" t="n">
        <v>1</v>
      </c>
      <c r="G634" s="67" t="s">
        <v>179</v>
      </c>
      <c r="H634" s="139" t="n">
        <v>19.9</v>
      </c>
      <c r="I634" s="139" t="n">
        <f aca="false">IFERROR(H634/F634,0)</f>
        <v>19.9</v>
      </c>
      <c r="J634" s="67" t="s">
        <v>1235</v>
      </c>
      <c r="K634" s="67" t="s">
        <v>486</v>
      </c>
    </row>
    <row r="635" customFormat="false" ht="13.5" hidden="false" customHeight="true" outlineLevel="0" collapsed="false">
      <c r="A635" s="137" t="n">
        <v>46229</v>
      </c>
      <c r="B635" s="67" t="str">
        <f aca="false">TEXT(A635,"mmm/aaaa")</f>
        <v>Av/Sunday</v>
      </c>
      <c r="C635" s="67" t="s">
        <v>37</v>
      </c>
      <c r="D635" s="67" t="s">
        <v>985</v>
      </c>
      <c r="E635" s="67" t="s">
        <v>12</v>
      </c>
      <c r="F635" s="138" t="n">
        <v>1</v>
      </c>
      <c r="G635" s="67" t="s">
        <v>179</v>
      </c>
      <c r="H635" s="139" t="n">
        <v>21.9</v>
      </c>
      <c r="I635" s="139" t="n">
        <f aca="false">IFERROR(H635/F635,0)</f>
        <v>21.9</v>
      </c>
      <c r="J635" s="67" t="s">
        <v>1235</v>
      </c>
      <c r="K635" s="67" t="s">
        <v>486</v>
      </c>
    </row>
    <row r="636" customFormat="false" ht="13.5" hidden="false" customHeight="true" outlineLevel="0" collapsed="false">
      <c r="A636" s="137" t="n">
        <v>46230</v>
      </c>
      <c r="B636" s="67" t="str">
        <f aca="false">TEXT(A636,"mmm/aaaa")</f>
        <v>Av/Monday</v>
      </c>
      <c r="C636" s="67" t="s">
        <v>37</v>
      </c>
      <c r="D636" s="67" t="s">
        <v>624</v>
      </c>
      <c r="E636" s="67" t="s">
        <v>14</v>
      </c>
      <c r="F636" s="138" t="n">
        <v>0.27</v>
      </c>
      <c r="G636" s="67" t="s">
        <v>176</v>
      </c>
      <c r="H636" s="139" t="n">
        <v>8.07</v>
      </c>
      <c r="I636" s="139" t="n">
        <f aca="false">IFERROR(H636/F636,0)</f>
        <v>29.8888888888889</v>
      </c>
      <c r="J636" s="67" t="s">
        <v>1236</v>
      </c>
      <c r="K636" s="67" t="s">
        <v>173</v>
      </c>
    </row>
    <row r="637" customFormat="false" ht="13.5" hidden="false" customHeight="true" outlineLevel="0" collapsed="false">
      <c r="A637" s="137" t="n">
        <v>46230</v>
      </c>
      <c r="B637" s="67" t="str">
        <f aca="false">TEXT(A637,"mmm/aaaa")</f>
        <v>Av/Monday</v>
      </c>
      <c r="C637" s="67" t="s">
        <v>37</v>
      </c>
      <c r="D637" s="67" t="s">
        <v>740</v>
      </c>
      <c r="E637" s="67" t="s">
        <v>14</v>
      </c>
      <c r="F637" s="138" t="n">
        <v>0.425</v>
      </c>
      <c r="G637" s="67" t="s">
        <v>176</v>
      </c>
      <c r="H637" s="139" t="n">
        <v>7.61</v>
      </c>
      <c r="I637" s="139" t="n">
        <f aca="false">IFERROR(H637/F637,0)</f>
        <v>17.9058823529412</v>
      </c>
      <c r="J637" s="67" t="s">
        <v>1236</v>
      </c>
      <c r="K637" s="67" t="s">
        <v>173</v>
      </c>
    </row>
    <row r="638" customFormat="false" ht="13.5" hidden="false" customHeight="true" outlineLevel="0" collapsed="false">
      <c r="A638" s="137" t="n">
        <v>46230</v>
      </c>
      <c r="B638" s="67" t="str">
        <f aca="false">TEXT(A638,"mmm/aaaa")</f>
        <v>Av/Monday</v>
      </c>
      <c r="C638" s="67" t="s">
        <v>37</v>
      </c>
      <c r="D638" s="67" t="s">
        <v>760</v>
      </c>
      <c r="E638" s="67" t="s">
        <v>13</v>
      </c>
      <c r="F638" s="138" t="n">
        <v>1</v>
      </c>
      <c r="G638" s="67" t="s">
        <v>179</v>
      </c>
      <c r="H638" s="139" t="n">
        <v>6.69</v>
      </c>
      <c r="I638" s="139" t="n">
        <f aca="false">IFERROR(H638/F638,0)</f>
        <v>6.69</v>
      </c>
      <c r="J638" s="67" t="s">
        <v>1236</v>
      </c>
      <c r="K638" s="67" t="s">
        <v>173</v>
      </c>
    </row>
    <row r="639" customFormat="false" ht="13.5" hidden="false" customHeight="true" outlineLevel="0" collapsed="false">
      <c r="A639" s="137" t="n">
        <v>46230</v>
      </c>
      <c r="B639" s="67" t="str">
        <f aca="false">TEXT(A639,"mmm/aaaa")</f>
        <v>Av/Monday</v>
      </c>
      <c r="C639" s="67" t="s">
        <v>37</v>
      </c>
      <c r="D639" s="67" t="s">
        <v>989</v>
      </c>
      <c r="E639" s="67" t="s">
        <v>12</v>
      </c>
      <c r="F639" s="138" t="n">
        <v>1</v>
      </c>
      <c r="G639" s="67" t="s">
        <v>179</v>
      </c>
      <c r="H639" s="139" t="n">
        <v>16.9</v>
      </c>
      <c r="I639" s="139" t="n">
        <f aca="false">IFERROR(H639/F639,0)</f>
        <v>16.9</v>
      </c>
      <c r="J639" s="67" t="s">
        <v>1236</v>
      </c>
      <c r="K639" s="67" t="s">
        <v>173</v>
      </c>
    </row>
    <row r="640" customFormat="false" ht="13.5" hidden="false" customHeight="true" outlineLevel="0" collapsed="false">
      <c r="A640" s="137" t="n">
        <v>46231</v>
      </c>
      <c r="B640" s="67" t="str">
        <f aca="false">TEXT(A640,"mmm/aaaa")</f>
        <v>Av/Tuesday</v>
      </c>
      <c r="C640" s="67" t="s">
        <v>37</v>
      </c>
      <c r="D640" s="67" t="s">
        <v>740</v>
      </c>
      <c r="E640" s="67" t="s">
        <v>14</v>
      </c>
      <c r="F640" s="138" t="n">
        <v>0.285</v>
      </c>
      <c r="G640" s="67" t="s">
        <v>176</v>
      </c>
      <c r="H640" s="139" t="n">
        <v>5.1</v>
      </c>
      <c r="I640" s="139" t="n">
        <f aca="false">IFERROR(H640/F640,0)</f>
        <v>17.8947368421053</v>
      </c>
      <c r="J640" s="67" t="s">
        <v>1237</v>
      </c>
      <c r="K640" s="67" t="s">
        <v>992</v>
      </c>
    </row>
    <row r="641" customFormat="false" ht="13.5" hidden="false" customHeight="true" outlineLevel="0" collapsed="false">
      <c r="A641" s="137" t="n">
        <v>46231</v>
      </c>
      <c r="B641" s="67" t="str">
        <f aca="false">TEXT(A641,"mmm/aaaa")</f>
        <v>Av/Tuesday</v>
      </c>
      <c r="C641" s="67" t="s">
        <v>37</v>
      </c>
      <c r="D641" s="67" t="s">
        <v>624</v>
      </c>
      <c r="E641" s="67" t="s">
        <v>14</v>
      </c>
      <c r="F641" s="138" t="n">
        <v>0.274</v>
      </c>
      <c r="G641" s="67" t="s">
        <v>176</v>
      </c>
      <c r="H641" s="139" t="n">
        <v>8.19</v>
      </c>
      <c r="I641" s="139" t="n">
        <f aca="false">IFERROR(H641/F641,0)</f>
        <v>29.8905109489051</v>
      </c>
      <c r="J641" s="67" t="s">
        <v>1237</v>
      </c>
      <c r="K641" s="67" t="s">
        <v>992</v>
      </c>
    </row>
    <row r="642" customFormat="false" ht="13.5" hidden="false" customHeight="true" outlineLevel="0" collapsed="false">
      <c r="A642" s="137" t="n">
        <v>46231</v>
      </c>
      <c r="B642" s="67" t="str">
        <f aca="false">TEXT(A642,"mmm/aaaa")</f>
        <v>Av/Tuesday</v>
      </c>
      <c r="C642" s="67" t="s">
        <v>37</v>
      </c>
      <c r="D642" s="67" t="s">
        <v>993</v>
      </c>
      <c r="E642" s="67" t="s">
        <v>12</v>
      </c>
      <c r="F642" s="138" t="n">
        <v>1</v>
      </c>
      <c r="G642" s="67" t="s">
        <v>179</v>
      </c>
      <c r="H642" s="139" t="n">
        <v>3.69</v>
      </c>
      <c r="I642" s="139" t="n">
        <f aca="false">IFERROR(H642/F642,0)</f>
        <v>3.69</v>
      </c>
      <c r="J642" s="67" t="s">
        <v>1237</v>
      </c>
      <c r="K642" s="67" t="s">
        <v>992</v>
      </c>
    </row>
    <row r="643" customFormat="false" ht="13.5" hidden="false" customHeight="true" outlineLevel="0" collapsed="false">
      <c r="A643" s="137" t="n">
        <v>46231</v>
      </c>
      <c r="B643" s="67" t="str">
        <f aca="false">TEXT(A643,"mmm/aaaa")</f>
        <v>Av/Tuesday</v>
      </c>
      <c r="C643" s="67" t="s">
        <v>37</v>
      </c>
      <c r="D643" s="67" t="s">
        <v>993</v>
      </c>
      <c r="E643" s="67" t="s">
        <v>12</v>
      </c>
      <c r="F643" s="138" t="n">
        <v>1</v>
      </c>
      <c r="G643" s="67" t="s">
        <v>179</v>
      </c>
      <c r="H643" s="139" t="n">
        <v>3.69</v>
      </c>
      <c r="I643" s="139" t="n">
        <f aca="false">IFERROR(H643/F643,0)</f>
        <v>3.69</v>
      </c>
      <c r="J643" s="67" t="s">
        <v>1237</v>
      </c>
      <c r="K643" s="67" t="s">
        <v>992</v>
      </c>
    </row>
    <row r="644" customFormat="false" ht="13.5" hidden="false" customHeight="true" outlineLevel="0" collapsed="false">
      <c r="A644" s="137" t="n">
        <v>46232</v>
      </c>
      <c r="B644" s="67" t="str">
        <f aca="false">TEXT(A644,"mmm/aaaa")</f>
        <v>Av/Wednesday</v>
      </c>
      <c r="C644" s="67" t="s">
        <v>37</v>
      </c>
      <c r="D644" s="67" t="s">
        <v>764</v>
      </c>
      <c r="E644" s="67" t="s">
        <v>12</v>
      </c>
      <c r="F644" s="138" t="n">
        <v>1</v>
      </c>
      <c r="G644" s="67" t="s">
        <v>179</v>
      </c>
      <c r="H644" s="139" t="n">
        <v>15.9</v>
      </c>
      <c r="I644" s="139" t="n">
        <f aca="false">IFERROR(H644/F644,0)</f>
        <v>15.9</v>
      </c>
      <c r="J644" s="67" t="s">
        <v>1238</v>
      </c>
      <c r="K644" s="67" t="s">
        <v>992</v>
      </c>
    </row>
    <row r="645" customFormat="false" ht="13.5" hidden="false" customHeight="true" outlineLevel="0" collapsed="false">
      <c r="A645" s="137" t="n">
        <v>46232</v>
      </c>
      <c r="B645" s="67" t="str">
        <f aca="false">TEXT(A645,"mmm/aaaa")</f>
        <v>Av/Wednesday</v>
      </c>
      <c r="C645" s="67" t="s">
        <v>37</v>
      </c>
      <c r="D645" s="67" t="s">
        <v>996</v>
      </c>
      <c r="E645" s="67" t="s">
        <v>14</v>
      </c>
      <c r="F645" s="138" t="n">
        <v>0.286</v>
      </c>
      <c r="G645" s="67" t="s">
        <v>176</v>
      </c>
      <c r="H645" s="139" t="n">
        <v>12.27</v>
      </c>
      <c r="I645" s="139" t="n">
        <f aca="false">IFERROR(H645/F645,0)</f>
        <v>42.9020979020979</v>
      </c>
      <c r="J645" s="67" t="s">
        <v>1238</v>
      </c>
      <c r="K645" s="67" t="s">
        <v>992</v>
      </c>
    </row>
    <row r="646" customFormat="false" ht="13.5" hidden="false" customHeight="true" outlineLevel="0" collapsed="false">
      <c r="A646" s="137" t="n">
        <v>46232</v>
      </c>
      <c r="B646" s="67" t="str">
        <f aca="false">TEXT(A646,"mmm/aaaa")</f>
        <v>Av/Wednesday</v>
      </c>
      <c r="C646" s="67" t="s">
        <v>37</v>
      </c>
      <c r="D646" s="67" t="s">
        <v>740</v>
      </c>
      <c r="E646" s="67" t="s">
        <v>14</v>
      </c>
      <c r="F646" s="138" t="n">
        <v>0.35</v>
      </c>
      <c r="G646" s="67" t="s">
        <v>176</v>
      </c>
      <c r="H646" s="139" t="n">
        <v>6.27</v>
      </c>
      <c r="I646" s="139" t="n">
        <f aca="false">IFERROR(H646/F646,0)</f>
        <v>17.9142857142857</v>
      </c>
      <c r="J646" s="67" t="s">
        <v>1238</v>
      </c>
      <c r="K646" s="67" t="s">
        <v>992</v>
      </c>
    </row>
    <row r="647" customFormat="false" ht="13.5" hidden="false" customHeight="true" outlineLevel="0" collapsed="false">
      <c r="A647" s="137" t="n">
        <v>46232</v>
      </c>
      <c r="B647" s="67" t="str">
        <f aca="false">TEXT(A647,"mmm/aaaa")</f>
        <v>Av/Wednesday</v>
      </c>
      <c r="C647" s="67" t="s">
        <v>37</v>
      </c>
      <c r="D647" s="67" t="s">
        <v>998</v>
      </c>
      <c r="E647" s="67" t="s">
        <v>17</v>
      </c>
      <c r="F647" s="138" t="n">
        <v>0.332</v>
      </c>
      <c r="G647" s="67" t="s">
        <v>176</v>
      </c>
      <c r="H647" s="139" t="n">
        <v>7.27</v>
      </c>
      <c r="I647" s="139" t="n">
        <f aca="false">IFERROR(H647/F647,0)</f>
        <v>21.8975903614458</v>
      </c>
      <c r="J647" s="67" t="s">
        <v>1238</v>
      </c>
      <c r="K647" s="67" t="s">
        <v>992</v>
      </c>
    </row>
    <row r="648" customFormat="false" ht="13.5" hidden="false" customHeight="true" outlineLevel="0" collapsed="false">
      <c r="A648" s="137" t="n">
        <v>46232</v>
      </c>
      <c r="B648" s="67" t="str">
        <f aca="false">TEXT(A648,"mmm/aaaa")</f>
        <v>Av/Wednesday</v>
      </c>
      <c r="C648" s="67" t="s">
        <v>37</v>
      </c>
      <c r="D648" s="67" t="s">
        <v>760</v>
      </c>
      <c r="E648" s="67" t="s">
        <v>13</v>
      </c>
      <c r="F648" s="138" t="n">
        <v>1</v>
      </c>
      <c r="G648" s="67" t="s">
        <v>179</v>
      </c>
      <c r="H648" s="139" t="n">
        <v>6.69</v>
      </c>
      <c r="I648" s="139" t="n">
        <f aca="false">IFERROR(H648/F648,0)</f>
        <v>6.69</v>
      </c>
      <c r="J648" s="67" t="s">
        <v>1238</v>
      </c>
      <c r="K648" s="67" t="s">
        <v>992</v>
      </c>
    </row>
    <row r="649" customFormat="false" ht="13.5" hidden="false" customHeight="true" outlineLevel="0" collapsed="false">
      <c r="A649" s="137" t="n">
        <v>46233</v>
      </c>
      <c r="B649" s="67" t="str">
        <f aca="false">TEXT(A649,"mmm/aaaa")</f>
        <v>Av/Thursday</v>
      </c>
      <c r="C649" s="67" t="s">
        <v>37</v>
      </c>
      <c r="D649" s="67" t="s">
        <v>1002</v>
      </c>
      <c r="E649" s="67" t="s">
        <v>12</v>
      </c>
      <c r="F649" s="138" t="n">
        <v>1</v>
      </c>
      <c r="G649" s="67" t="s">
        <v>179</v>
      </c>
      <c r="H649" s="139" t="n">
        <v>12.9</v>
      </c>
      <c r="I649" s="139" t="n">
        <f aca="false">IFERROR(H649/F649,0)</f>
        <v>12.9</v>
      </c>
      <c r="J649" s="67" t="s">
        <v>1239</v>
      </c>
      <c r="K649" s="67" t="s">
        <v>992</v>
      </c>
    </row>
    <row r="650" customFormat="false" ht="13.5" hidden="false" customHeight="true" outlineLevel="0" collapsed="false">
      <c r="A650" s="137" t="n">
        <v>46233</v>
      </c>
      <c r="B650" s="67" t="str">
        <f aca="false">TEXT(A650,"mmm/aaaa")</f>
        <v>Av/Thursday</v>
      </c>
      <c r="C650" s="67" t="s">
        <v>37</v>
      </c>
      <c r="D650" s="67" t="s">
        <v>624</v>
      </c>
      <c r="E650" s="67" t="s">
        <v>14</v>
      </c>
      <c r="F650" s="138" t="n">
        <v>0.496</v>
      </c>
      <c r="G650" s="67" t="s">
        <v>176</v>
      </c>
      <c r="H650" s="139" t="n">
        <v>14.83</v>
      </c>
      <c r="I650" s="139" t="n">
        <f aca="false">IFERROR(H650/F650,0)</f>
        <v>29.8991935483871</v>
      </c>
      <c r="J650" s="67" t="s">
        <v>1239</v>
      </c>
      <c r="K650" s="67" t="s">
        <v>992</v>
      </c>
    </row>
    <row r="651" customFormat="false" ht="13.5" hidden="false" customHeight="true" outlineLevel="0" collapsed="false">
      <c r="A651" s="137" t="n">
        <v>46237</v>
      </c>
      <c r="B651" s="67" t="str">
        <f aca="false">TEXT(A651,"mmm/aaaa")</f>
        <v>Av/Monday</v>
      </c>
      <c r="C651" s="67" t="s">
        <v>37</v>
      </c>
      <c r="D651" s="67" t="s">
        <v>740</v>
      </c>
      <c r="E651" s="67" t="s">
        <v>14</v>
      </c>
      <c r="F651" s="138" t="n">
        <v>0.21</v>
      </c>
      <c r="G651" s="67" t="s">
        <v>176</v>
      </c>
      <c r="H651" s="139" t="n">
        <v>3.76</v>
      </c>
      <c r="I651" s="139" t="n">
        <f aca="false">IFERROR(H651/F651,0)</f>
        <v>17.9047619047619</v>
      </c>
      <c r="J651" s="67" t="s">
        <v>1240</v>
      </c>
      <c r="K651" s="67" t="s">
        <v>992</v>
      </c>
    </row>
    <row r="652" customFormat="false" ht="13.5" hidden="false" customHeight="true" outlineLevel="0" collapsed="false">
      <c r="A652" s="137" t="n">
        <v>46237</v>
      </c>
      <c r="B652" s="67" t="str">
        <f aca="false">TEXT(A652,"mmm/aaaa")</f>
        <v>Av/Monday</v>
      </c>
      <c r="C652" s="67" t="s">
        <v>37</v>
      </c>
      <c r="D652" s="67" t="s">
        <v>624</v>
      </c>
      <c r="E652" s="67" t="s">
        <v>14</v>
      </c>
      <c r="F652" s="138" t="n">
        <v>0.542</v>
      </c>
      <c r="G652" s="67" t="s">
        <v>176</v>
      </c>
      <c r="H652" s="139" t="n">
        <v>16.21</v>
      </c>
      <c r="I652" s="139" t="n">
        <f aca="false">IFERROR(H652/F652,0)</f>
        <v>29.9077490774908</v>
      </c>
      <c r="J652" s="67" t="s">
        <v>1240</v>
      </c>
      <c r="K652" s="67" t="s">
        <v>992</v>
      </c>
    </row>
    <row r="653" customFormat="false" ht="13.5" hidden="false" customHeight="true" outlineLevel="0" collapsed="false">
      <c r="A653" s="137" t="n">
        <v>46237</v>
      </c>
      <c r="B653" s="67" t="str">
        <f aca="false">TEXT(A653,"mmm/aaaa")</f>
        <v>Av/Monday</v>
      </c>
      <c r="C653" s="67" t="s">
        <v>37</v>
      </c>
      <c r="D653" s="67" t="s">
        <v>760</v>
      </c>
      <c r="E653" s="67" t="s">
        <v>13</v>
      </c>
      <c r="F653" s="138" t="n">
        <v>2</v>
      </c>
      <c r="G653" s="67" t="s">
        <v>179</v>
      </c>
      <c r="H653" s="139" t="n">
        <v>13.38</v>
      </c>
      <c r="I653" s="139" t="n">
        <f aca="false">IFERROR(H653/F653,0)</f>
        <v>6.69</v>
      </c>
      <c r="J653" s="67" t="s">
        <v>1240</v>
      </c>
      <c r="K653" s="67" t="s">
        <v>992</v>
      </c>
    </row>
    <row r="654" customFormat="false" ht="13.5" hidden="false" customHeight="false" outlineLevel="0" collapsed="false">
      <c r="A654" s="137" t="n">
        <v>46239</v>
      </c>
      <c r="B654" s="67" t="str">
        <f aca="false">TEXT(A654,"mmm/aaaa")</f>
        <v>Av/Wednesday</v>
      </c>
      <c r="C654" s="67" t="s">
        <v>37</v>
      </c>
      <c r="D654" s="67" t="s">
        <v>740</v>
      </c>
      <c r="E654" s="67" t="s">
        <v>14</v>
      </c>
      <c r="F654" s="138" t="n">
        <v>0.51</v>
      </c>
      <c r="G654" s="67" t="s">
        <v>176</v>
      </c>
      <c r="H654" s="139" t="n">
        <v>9.13</v>
      </c>
      <c r="I654" s="139" t="n">
        <f aca="false">IFERROR(H654/F654,0)</f>
        <v>17.9019607843137</v>
      </c>
      <c r="J654" s="67" t="s">
        <v>1241</v>
      </c>
      <c r="K654" s="67" t="s">
        <v>992</v>
      </c>
    </row>
    <row r="655" customFormat="false" ht="13.5" hidden="false" customHeight="false" outlineLevel="0" collapsed="false">
      <c r="A655" s="137" t="n">
        <v>46239</v>
      </c>
      <c r="B655" s="67" t="str">
        <f aca="false">TEXT(A655,"mmm/aaaa")</f>
        <v>Av/Wednesday</v>
      </c>
      <c r="C655" s="67" t="s">
        <v>37</v>
      </c>
      <c r="D655" s="67" t="s">
        <v>760</v>
      </c>
      <c r="E655" s="67" t="s">
        <v>13</v>
      </c>
      <c r="F655" s="138" t="n">
        <v>1</v>
      </c>
      <c r="G655" s="67" t="s">
        <v>179</v>
      </c>
      <c r="H655" s="139" t="n">
        <v>6.69</v>
      </c>
      <c r="I655" s="139" t="n">
        <f aca="false">IFERROR(H655/F655,0)</f>
        <v>6.69</v>
      </c>
      <c r="J655" s="67" t="s">
        <v>1241</v>
      </c>
      <c r="K655" s="67" t="s">
        <v>992</v>
      </c>
    </row>
    <row r="656" customFormat="false" ht="13.5" hidden="false" customHeight="false" outlineLevel="0" collapsed="false">
      <c r="A656" s="137" t="n">
        <v>46239</v>
      </c>
      <c r="B656" s="67" t="str">
        <f aca="false">TEXT(A656,"mmm/aaaa")</f>
        <v>Av/Wednesday</v>
      </c>
      <c r="C656" s="67" t="s">
        <v>37</v>
      </c>
      <c r="D656" s="67" t="s">
        <v>764</v>
      </c>
      <c r="E656" s="67" t="s">
        <v>12</v>
      </c>
      <c r="F656" s="138" t="n">
        <v>1</v>
      </c>
      <c r="G656" s="67" t="s">
        <v>179</v>
      </c>
      <c r="H656" s="139" t="n">
        <v>15.9</v>
      </c>
      <c r="I656" s="139" t="n">
        <f aca="false">IFERROR(H656/F656,0)</f>
        <v>15.9</v>
      </c>
      <c r="J656" s="67" t="s">
        <v>1241</v>
      </c>
      <c r="K656" s="67" t="s">
        <v>992</v>
      </c>
    </row>
    <row r="657" customFormat="false" ht="13.5" hidden="false" customHeight="false" outlineLevel="0" collapsed="false">
      <c r="A657" s="137" t="n">
        <v>46239</v>
      </c>
      <c r="B657" s="67" t="str">
        <f aca="false">TEXT(A657,"mmm/aaaa")</f>
        <v>Av/Wednesday</v>
      </c>
      <c r="C657" s="67" t="s">
        <v>37</v>
      </c>
      <c r="D657" s="67" t="s">
        <v>1008</v>
      </c>
      <c r="E657" s="67" t="s">
        <v>12</v>
      </c>
      <c r="F657" s="138" t="n">
        <v>1</v>
      </c>
      <c r="G657" s="67" t="s">
        <v>179</v>
      </c>
      <c r="H657" s="139" t="n">
        <v>11.9</v>
      </c>
      <c r="I657" s="139" t="n">
        <f aca="false">IFERROR(H657/F657,0)</f>
        <v>11.9</v>
      </c>
      <c r="J657" s="67" t="s">
        <v>1241</v>
      </c>
      <c r="K657" s="67" t="s">
        <v>992</v>
      </c>
    </row>
    <row r="658" customFormat="false" ht="13.5" hidden="false" customHeight="false" outlineLevel="0" collapsed="false">
      <c r="A658" s="137" t="n">
        <v>46239</v>
      </c>
      <c r="B658" s="67" t="str">
        <f aca="false">TEXT(A658,"mmm/aaaa")</f>
        <v>Av/Wednesday</v>
      </c>
      <c r="C658" s="67" t="s">
        <v>37</v>
      </c>
      <c r="D658" s="67" t="s">
        <v>290</v>
      </c>
      <c r="E658" s="67" t="s">
        <v>15</v>
      </c>
      <c r="F658" s="138" t="n">
        <v>0.79</v>
      </c>
      <c r="G658" s="67" t="s">
        <v>176</v>
      </c>
      <c r="H658" s="139" t="n">
        <v>7.82</v>
      </c>
      <c r="I658" s="139" t="n">
        <f aca="false">IFERROR(H658/F658,0)</f>
        <v>9.89873417721519</v>
      </c>
      <c r="J658" s="67" t="s">
        <v>1241</v>
      </c>
      <c r="K658" s="67" t="s">
        <v>992</v>
      </c>
    </row>
    <row r="659" customFormat="false" ht="13.5" hidden="false" customHeight="false" outlineLevel="0" collapsed="false">
      <c r="A659" s="137" t="n">
        <v>46239</v>
      </c>
      <c r="B659" s="67" t="str">
        <f aca="false">TEXT(A659,"mmm/aaaa")</f>
        <v>Av/Wednesday</v>
      </c>
      <c r="C659" s="67" t="s">
        <v>37</v>
      </c>
      <c r="D659" s="67" t="s">
        <v>951</v>
      </c>
      <c r="E659" s="67" t="s">
        <v>15</v>
      </c>
      <c r="F659" s="138" t="n">
        <v>0.72</v>
      </c>
      <c r="G659" s="67" t="s">
        <v>176</v>
      </c>
      <c r="H659" s="139" t="n">
        <v>4.31</v>
      </c>
      <c r="I659" s="139" t="n">
        <f aca="false">IFERROR(H659/F659,0)</f>
        <v>5.98611111111111</v>
      </c>
      <c r="J659" s="67" t="s">
        <v>1241</v>
      </c>
      <c r="K659" s="67" t="s">
        <v>992</v>
      </c>
    </row>
    <row r="660" customFormat="false" ht="13.5" hidden="false" customHeight="false" outlineLevel="0" collapsed="false">
      <c r="A660" s="137" t="n">
        <v>46240</v>
      </c>
      <c r="B660" s="67" t="str">
        <f aca="false">TEXT(A660,"mmm/aaaa")</f>
        <v>Av/Thursday</v>
      </c>
      <c r="C660" s="67" t="s">
        <v>37</v>
      </c>
      <c r="D660" s="67" t="s">
        <v>624</v>
      </c>
      <c r="E660" s="67" t="s">
        <v>14</v>
      </c>
      <c r="F660" s="138" t="n">
        <v>0.69</v>
      </c>
      <c r="G660" s="67" t="s">
        <v>176</v>
      </c>
      <c r="H660" s="139" t="n">
        <v>20.63</v>
      </c>
      <c r="I660" s="139" t="n">
        <f aca="false">IFERROR(H660/F660,0)</f>
        <v>29.8985507246377</v>
      </c>
      <c r="J660" s="67" t="s">
        <v>1242</v>
      </c>
      <c r="K660" s="67" t="s">
        <v>992</v>
      </c>
    </row>
    <row r="661" customFormat="false" ht="13.5" hidden="false" customHeight="false" outlineLevel="0" collapsed="false">
      <c r="A661" s="137" t="n">
        <v>46240</v>
      </c>
      <c r="B661" s="67" t="str">
        <f aca="false">TEXT(A661,"mmm/aaaa")</f>
        <v>Av/Thursday</v>
      </c>
      <c r="C661" s="67" t="s">
        <v>37</v>
      </c>
      <c r="D661" s="67" t="s">
        <v>996</v>
      </c>
      <c r="E661" s="67" t="s">
        <v>14</v>
      </c>
      <c r="F661" s="138" t="n">
        <v>0.232</v>
      </c>
      <c r="G661" s="67" t="s">
        <v>176</v>
      </c>
      <c r="H661" s="139" t="n">
        <v>9.95</v>
      </c>
      <c r="I661" s="139" t="n">
        <f aca="false">IFERROR(H661/F661,0)</f>
        <v>42.8879310344828</v>
      </c>
      <c r="J661" s="67" t="s">
        <v>1242</v>
      </c>
      <c r="K661" s="67" t="s">
        <v>992</v>
      </c>
    </row>
    <row r="662" customFormat="false" ht="13.5" hidden="false" customHeight="false" outlineLevel="0" collapsed="false">
      <c r="A662" s="137" t="n">
        <v>46240</v>
      </c>
      <c r="B662" s="67" t="str">
        <f aca="false">TEXT(A662,"mmm/aaaa")</f>
        <v>Av/Thursday</v>
      </c>
      <c r="C662" s="67" t="s">
        <v>37</v>
      </c>
      <c r="D662" s="67" t="s">
        <v>1012</v>
      </c>
      <c r="E662" s="67" t="s">
        <v>12</v>
      </c>
      <c r="F662" s="138" t="n">
        <v>1</v>
      </c>
      <c r="G662" s="67" t="s">
        <v>179</v>
      </c>
      <c r="H662" s="139" t="n">
        <v>11.99</v>
      </c>
      <c r="I662" s="139" t="n">
        <f aca="false">IFERROR(H662/F662,0)</f>
        <v>11.99</v>
      </c>
      <c r="J662" s="67" t="s">
        <v>1242</v>
      </c>
      <c r="K662" s="67" t="s">
        <v>992</v>
      </c>
    </row>
    <row r="663" customFormat="false" ht="13.5" hidden="false" customHeight="false" outlineLevel="0" collapsed="false">
      <c r="A663" s="137" t="n">
        <v>46240</v>
      </c>
      <c r="B663" s="67" t="str">
        <f aca="false">TEXT(A663,"mmm/aaaa")</f>
        <v>Av/Thursday</v>
      </c>
      <c r="C663" s="67" t="s">
        <v>37</v>
      </c>
      <c r="D663" s="67" t="s">
        <v>760</v>
      </c>
      <c r="E663" s="67" t="s">
        <v>13</v>
      </c>
      <c r="F663" s="138" t="n">
        <v>1</v>
      </c>
      <c r="G663" s="67" t="s">
        <v>179</v>
      </c>
      <c r="H663" s="139" t="n">
        <v>6.69</v>
      </c>
      <c r="I663" s="139" t="n">
        <f aca="false">IFERROR(H663/F663,0)</f>
        <v>6.69</v>
      </c>
      <c r="J663" s="67" t="s">
        <v>1242</v>
      </c>
      <c r="K663" s="67" t="s">
        <v>992</v>
      </c>
    </row>
    <row r="664" customFormat="false" ht="13.5" hidden="false" customHeight="false" outlineLevel="0" collapsed="false">
      <c r="A664" s="137" t="n">
        <v>46243</v>
      </c>
      <c r="B664" s="67" t="str">
        <f aca="false">TEXT(A664,"mmm/aaaa")</f>
        <v>Av/Sunday</v>
      </c>
      <c r="C664" s="67" t="s">
        <v>36</v>
      </c>
      <c r="D664" s="67" t="s">
        <v>323</v>
      </c>
      <c r="E664" s="67" t="s">
        <v>12</v>
      </c>
      <c r="F664" s="138" t="n">
        <v>0.742</v>
      </c>
      <c r="G664" s="67" t="s">
        <v>179</v>
      </c>
      <c r="H664" s="139" t="n">
        <v>25.23</v>
      </c>
      <c r="I664" s="139" t="n">
        <f aca="false">IFERROR(H664/F664,0)</f>
        <v>34.0026954177898</v>
      </c>
      <c r="J664" s="67" t="s">
        <v>1243</v>
      </c>
      <c r="K664" s="67" t="s">
        <v>992</v>
      </c>
    </row>
    <row r="665" customFormat="false" ht="13.5" hidden="false" customHeight="false" outlineLevel="0" collapsed="false">
      <c r="A665" s="137" t="n">
        <v>46243</v>
      </c>
      <c r="B665" s="67" t="str">
        <f aca="false">TEXT(A665,"mmm/aaaa")</f>
        <v>Av/Sunday</v>
      </c>
      <c r="C665" s="67" t="s">
        <v>36</v>
      </c>
      <c r="D665" s="67" t="s">
        <v>598</v>
      </c>
      <c r="E665" s="67" t="s">
        <v>16</v>
      </c>
      <c r="F665" s="138" t="n">
        <v>1</v>
      </c>
      <c r="G665" s="67" t="s">
        <v>179</v>
      </c>
      <c r="H665" s="139" t="n">
        <v>7.29</v>
      </c>
      <c r="I665" s="139" t="n">
        <f aca="false">IFERROR(H665/F665,0)</f>
        <v>7.29</v>
      </c>
      <c r="J665" s="67" t="s">
        <v>1243</v>
      </c>
      <c r="K665" s="67" t="s">
        <v>992</v>
      </c>
    </row>
    <row r="666" customFormat="false" ht="13.5" hidden="false" customHeight="false" outlineLevel="0" collapsed="false">
      <c r="A666" s="137" t="n">
        <v>46243</v>
      </c>
      <c r="B666" s="67" t="str">
        <f aca="false">TEXT(A666,"mmm/aaaa")</f>
        <v>Av/Sunday</v>
      </c>
      <c r="C666" s="67" t="s">
        <v>36</v>
      </c>
      <c r="D666" s="67" t="s">
        <v>440</v>
      </c>
      <c r="E666" s="67" t="s">
        <v>16</v>
      </c>
      <c r="F666" s="138" t="n">
        <v>4</v>
      </c>
      <c r="G666" s="67" t="s">
        <v>179</v>
      </c>
      <c r="H666" s="139" t="n">
        <v>5.16</v>
      </c>
      <c r="I666" s="139" t="n">
        <f aca="false">IFERROR(H666/F666,0)</f>
        <v>1.29</v>
      </c>
      <c r="J666" s="67" t="s">
        <v>1243</v>
      </c>
      <c r="K666" s="67" t="s">
        <v>992</v>
      </c>
    </row>
    <row r="667" customFormat="false" ht="13.5" hidden="false" customHeight="false" outlineLevel="0" collapsed="false">
      <c r="A667" s="137" t="n">
        <v>46243</v>
      </c>
      <c r="B667" s="67" t="str">
        <f aca="false">TEXT(A667,"mmm/aaaa")</f>
        <v>Av/Sunday</v>
      </c>
      <c r="C667" s="67" t="s">
        <v>36</v>
      </c>
      <c r="D667" s="67" t="s">
        <v>1016</v>
      </c>
      <c r="E667" s="67" t="s">
        <v>15</v>
      </c>
      <c r="F667" s="138" t="n">
        <v>0.78</v>
      </c>
      <c r="G667" s="67" t="s">
        <v>176</v>
      </c>
      <c r="H667" s="139" t="n">
        <v>4.67</v>
      </c>
      <c r="I667" s="139" t="n">
        <f aca="false">IFERROR(H667/F667,0)</f>
        <v>5.98717948717949</v>
      </c>
      <c r="J667" s="67" t="s">
        <v>1243</v>
      </c>
      <c r="K667" s="67" t="s">
        <v>992</v>
      </c>
    </row>
    <row r="668" customFormat="false" ht="13.5" hidden="false" customHeight="false" outlineLevel="0" collapsed="false">
      <c r="A668" s="137" t="n">
        <v>46243</v>
      </c>
      <c r="B668" s="67" t="str">
        <f aca="false">TEXT(A668,"mmm/aaaa")</f>
        <v>Av/Sunday</v>
      </c>
      <c r="C668" s="67" t="s">
        <v>36</v>
      </c>
      <c r="D668" s="67" t="s">
        <v>1018</v>
      </c>
      <c r="E668" s="67" t="s">
        <v>12</v>
      </c>
      <c r="F668" s="138" t="n">
        <v>1</v>
      </c>
      <c r="G668" s="67" t="s">
        <v>179</v>
      </c>
      <c r="H668" s="139" t="n">
        <v>18.5</v>
      </c>
      <c r="I668" s="139" t="n">
        <f aca="false">IFERROR(H668/F668,0)</f>
        <v>18.5</v>
      </c>
      <c r="J668" s="67" t="s">
        <v>1243</v>
      </c>
      <c r="K668" s="67" t="s">
        <v>992</v>
      </c>
    </row>
    <row r="669" customFormat="false" ht="13.5" hidden="false" customHeight="false" outlineLevel="0" collapsed="false">
      <c r="A669" s="137" t="n">
        <v>46243</v>
      </c>
      <c r="B669" s="67" t="str">
        <f aca="false">TEXT(A669,"mmm/aaaa")</f>
        <v>Av/Sunday</v>
      </c>
      <c r="C669" s="67" t="s">
        <v>36</v>
      </c>
      <c r="D669" s="67" t="s">
        <v>1020</v>
      </c>
      <c r="E669" s="67" t="s">
        <v>18</v>
      </c>
      <c r="F669" s="138" t="n">
        <v>1</v>
      </c>
      <c r="G669" s="67" t="s">
        <v>179</v>
      </c>
      <c r="H669" s="139" t="n">
        <v>12.2</v>
      </c>
      <c r="I669" s="139" t="n">
        <f aca="false">IFERROR(H669/F669,0)</f>
        <v>12.2</v>
      </c>
      <c r="J669" s="67" t="s">
        <v>1243</v>
      </c>
      <c r="K669" s="67" t="s">
        <v>992</v>
      </c>
    </row>
    <row r="670" customFormat="false" ht="13.5" hidden="false" customHeight="false" outlineLevel="0" collapsed="false">
      <c r="A670" s="137" t="n">
        <v>46243</v>
      </c>
      <c r="B670" s="67" t="str">
        <f aca="false">TEXT(A670,"mmm/aaaa")</f>
        <v>Av/Sunday</v>
      </c>
      <c r="C670" s="67" t="s">
        <v>36</v>
      </c>
      <c r="D670" s="67" t="s">
        <v>892</v>
      </c>
      <c r="E670" s="67" t="s">
        <v>15</v>
      </c>
      <c r="F670" s="138" t="n">
        <v>1</v>
      </c>
      <c r="G670" s="67" t="s">
        <v>179</v>
      </c>
      <c r="H670" s="139" t="n">
        <v>5.2</v>
      </c>
      <c r="I670" s="139" t="n">
        <f aca="false">IFERROR(H670/F670,0)</f>
        <v>5.2</v>
      </c>
      <c r="J670" s="67" t="s">
        <v>1243</v>
      </c>
      <c r="K670" s="67" t="s">
        <v>992</v>
      </c>
    </row>
    <row r="671" customFormat="false" ht="13.5" hidden="false" customHeight="false" outlineLevel="0" collapsed="false">
      <c r="A671" s="137" t="n">
        <v>46243</v>
      </c>
      <c r="B671" s="67" t="str">
        <f aca="false">TEXT(A671,"mmm/aaaa")</f>
        <v>Av/Sunday</v>
      </c>
      <c r="C671" s="67" t="s">
        <v>36</v>
      </c>
      <c r="D671" s="67" t="s">
        <v>446</v>
      </c>
      <c r="E671" s="67" t="s">
        <v>12</v>
      </c>
      <c r="F671" s="138" t="n">
        <v>1</v>
      </c>
      <c r="G671" s="67" t="s">
        <v>179</v>
      </c>
      <c r="H671" s="139" t="n">
        <v>11.99</v>
      </c>
      <c r="I671" s="139" t="n">
        <f aca="false">IFERROR(H671/F671,0)</f>
        <v>11.99</v>
      </c>
      <c r="J671" s="67" t="s">
        <v>1243</v>
      </c>
      <c r="K671" s="67" t="s">
        <v>992</v>
      </c>
    </row>
    <row r="672" customFormat="false" ht="13.5" hidden="false" customHeight="false" outlineLevel="0" collapsed="false">
      <c r="A672" s="137" t="n">
        <v>46243</v>
      </c>
      <c r="B672" s="67" t="str">
        <f aca="false">TEXT(A672,"mmm/aaaa")</f>
        <v>Av/Sunday</v>
      </c>
      <c r="C672" s="67" t="s">
        <v>36</v>
      </c>
      <c r="D672" s="67" t="s">
        <v>284</v>
      </c>
      <c r="E672" s="67" t="s">
        <v>15</v>
      </c>
      <c r="F672" s="138" t="n">
        <v>1.474</v>
      </c>
      <c r="G672" s="67" t="s">
        <v>176</v>
      </c>
      <c r="H672" s="139" t="n">
        <v>10.3</v>
      </c>
      <c r="I672" s="139" t="n">
        <f aca="false">IFERROR(H672/F672,0)</f>
        <v>6.98778833107191</v>
      </c>
      <c r="J672" s="67" t="s">
        <v>1243</v>
      </c>
      <c r="K672" s="67" t="s">
        <v>992</v>
      </c>
    </row>
    <row r="673" customFormat="false" ht="13.5" hidden="false" customHeight="false" outlineLevel="0" collapsed="false">
      <c r="A673" s="137" t="n">
        <v>46243</v>
      </c>
      <c r="B673" s="67" t="str">
        <f aca="false">TEXT(A673,"mmm/aaaa")</f>
        <v>Av/Sunday</v>
      </c>
      <c r="C673" s="67" t="s">
        <v>36</v>
      </c>
      <c r="D673" s="67" t="s">
        <v>419</v>
      </c>
      <c r="E673" s="67" t="s">
        <v>19</v>
      </c>
      <c r="F673" s="138" t="n">
        <v>1</v>
      </c>
      <c r="G673" s="67" t="s">
        <v>179</v>
      </c>
      <c r="H673" s="139" t="n">
        <v>3.75</v>
      </c>
      <c r="I673" s="139" t="n">
        <f aca="false">IFERROR(H673/F673,0)</f>
        <v>3.75</v>
      </c>
      <c r="J673" s="67" t="s">
        <v>1243</v>
      </c>
      <c r="K673" s="67" t="s">
        <v>992</v>
      </c>
    </row>
    <row r="674" customFormat="false" ht="13.5" hidden="false" customHeight="false" outlineLevel="0" collapsed="false">
      <c r="A674" s="137" t="n">
        <v>46244</v>
      </c>
      <c r="B674" s="67" t="str">
        <f aca="false">TEXT(A674,"mmm/aaaa")</f>
        <v>Av/Monday</v>
      </c>
      <c r="C674" s="67" t="s">
        <v>38</v>
      </c>
      <c r="D674" s="67" t="s">
        <v>483</v>
      </c>
      <c r="E674" s="67" t="s">
        <v>15</v>
      </c>
      <c r="F674" s="138" t="n">
        <v>0.97</v>
      </c>
      <c r="G674" s="67" t="s">
        <v>176</v>
      </c>
      <c r="H674" s="139" t="n">
        <v>7.28</v>
      </c>
      <c r="I674" s="139" t="n">
        <f aca="false">IFERROR(H674/F674,0)</f>
        <v>7.50515463917526</v>
      </c>
      <c r="J674" s="67" t="s">
        <v>1244</v>
      </c>
      <c r="K674" s="67" t="s">
        <v>992</v>
      </c>
    </row>
    <row r="675" customFormat="false" ht="13.5" hidden="false" customHeight="false" outlineLevel="0" collapsed="false">
      <c r="A675" s="137" t="n">
        <v>46244</v>
      </c>
      <c r="B675" s="67" t="str">
        <f aca="false">TEXT(A675,"mmm/aaaa")</f>
        <v>Av/Monday</v>
      </c>
      <c r="C675" s="67" t="s">
        <v>38</v>
      </c>
      <c r="D675" s="67" t="s">
        <v>593</v>
      </c>
      <c r="E675" s="67" t="s">
        <v>15</v>
      </c>
      <c r="F675" s="138" t="n">
        <v>1</v>
      </c>
      <c r="G675" s="67" t="s">
        <v>179</v>
      </c>
      <c r="H675" s="139" t="n">
        <v>6</v>
      </c>
      <c r="I675" s="139" t="n">
        <f aca="false">IFERROR(H675/F675,0)</f>
        <v>6</v>
      </c>
      <c r="J675" s="67" t="s">
        <v>1244</v>
      </c>
      <c r="K675" s="67" t="s">
        <v>992</v>
      </c>
    </row>
  </sheetData>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C8CFF"/>
    <pageSetUpPr fitToPage="false"/>
  </sheetPr>
  <dimension ref="A1:T2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4" topLeftCell="A2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6"/>
    <col collapsed="false" customWidth="true" hidden="false" outlineLevel="0" max="3" min="3" style="0" width="7"/>
    <col collapsed="false" customWidth="true" hidden="false" outlineLevel="0" max="4" min="4" style="0" width="15"/>
    <col collapsed="false" customWidth="true" hidden="false" outlineLevel="0" max="5" min="5" style="0" width="12"/>
    <col collapsed="false" customWidth="true" hidden="false" outlineLevel="0" max="6" min="6" style="0" width="22"/>
    <col collapsed="false" customWidth="true" hidden="false" outlineLevel="0" max="7" min="7" style="0" width="10"/>
    <col collapsed="false" customWidth="true" hidden="false" outlineLevel="0" max="8" min="8" style="0" width="12"/>
    <col collapsed="false" customWidth="true" hidden="false" outlineLevel="0" max="9" min="9" style="0" width="22"/>
    <col collapsed="false" customWidth="true" hidden="false" outlineLevel="0" max="10" min="10" style="0" width="10"/>
    <col collapsed="false" customWidth="true" hidden="false" outlineLevel="0" max="11" min="11" style="0" width="12"/>
    <col collapsed="false" customWidth="true" hidden="false" outlineLevel="0" max="12" min="12" style="0" width="11"/>
    <col collapsed="false" customWidth="true" hidden="false" outlineLevel="0" max="13" min="13" style="0" width="12"/>
    <col collapsed="false" customWidth="true" hidden="false" outlineLevel="0" max="14" min="14" style="0" width="26"/>
    <col collapsed="false" customWidth="true" hidden="false" outlineLevel="0" max="15" min="15" style="0" width="2"/>
    <col collapsed="false" customWidth="true" hidden="true" outlineLevel="0" max="16" min="16" style="0" width="10"/>
    <col collapsed="false" customWidth="true" hidden="true" outlineLevel="0" max="17" min="17" style="0" width="14"/>
  </cols>
  <sheetData>
    <row r="1" customFormat="false" ht="6" hidden="false" customHeight="true" outlineLevel="0" collapsed="false">
      <c r="A1" s="1"/>
      <c r="B1" s="1"/>
      <c r="C1" s="1"/>
      <c r="D1" s="1"/>
      <c r="E1" s="1"/>
      <c r="F1" s="1"/>
      <c r="G1" s="1"/>
      <c r="H1" s="1"/>
      <c r="I1" s="1"/>
      <c r="J1" s="1"/>
      <c r="K1" s="1"/>
      <c r="L1" s="1"/>
      <c r="M1" s="1"/>
      <c r="N1" s="1"/>
      <c r="O1" s="1"/>
      <c r="P1" s="1"/>
      <c r="Q1" s="1" t="s">
        <v>1245</v>
      </c>
      <c r="R1" s="1"/>
      <c r="S1" s="1"/>
      <c r="T1" s="1"/>
    </row>
    <row r="2" customFormat="false" ht="27" hidden="false" customHeight="true" outlineLevel="0" collapsed="false">
      <c r="A2" s="1"/>
      <c r="B2" s="181" t="s">
        <v>1246</v>
      </c>
      <c r="C2" s="181"/>
      <c r="D2" s="181"/>
      <c r="E2" s="181"/>
      <c r="F2" s="181"/>
      <c r="G2" s="181"/>
      <c r="H2" s="181"/>
      <c r="I2" s="181"/>
      <c r="J2" s="181"/>
      <c r="K2" s="181"/>
      <c r="L2" s="181"/>
      <c r="M2" s="181"/>
      <c r="N2" s="181"/>
      <c r="O2" s="1"/>
      <c r="P2" s="1"/>
      <c r="Q2" s="1" t="s">
        <v>26</v>
      </c>
      <c r="R2" s="1"/>
      <c r="S2" s="1"/>
      <c r="T2" s="1"/>
    </row>
    <row r="3" customFormat="false" ht="15" hidden="false" customHeight="false" outlineLevel="0" collapsed="false">
      <c r="A3" s="1"/>
      <c r="B3" s="182" t="s">
        <v>1247</v>
      </c>
      <c r="C3" s="182"/>
      <c r="D3" s="182"/>
      <c r="E3" s="182"/>
      <c r="F3" s="182"/>
      <c r="G3" s="182"/>
      <c r="H3" s="182"/>
      <c r="I3" s="182"/>
      <c r="J3" s="182"/>
      <c r="K3" s="182"/>
      <c r="L3" s="182"/>
      <c r="M3" s="182"/>
      <c r="N3" s="182"/>
      <c r="O3" s="1"/>
      <c r="P3" s="1"/>
      <c r="Q3" s="1" t="s">
        <v>16</v>
      </c>
      <c r="R3" s="1"/>
      <c r="S3" s="1"/>
      <c r="T3" s="1"/>
    </row>
    <row r="4" customFormat="false" ht="7.5" hidden="false" customHeight="true" outlineLevel="0" collapsed="false">
      <c r="A4" s="1"/>
      <c r="B4" s="1"/>
      <c r="C4" s="1"/>
      <c r="D4" s="1"/>
      <c r="E4" s="1"/>
      <c r="F4" s="1"/>
      <c r="G4" s="1"/>
      <c r="H4" s="1"/>
      <c r="I4" s="1"/>
      <c r="J4" s="1"/>
      <c r="K4" s="1"/>
      <c r="L4" s="1"/>
      <c r="M4" s="1"/>
      <c r="N4" s="1"/>
      <c r="O4" s="1"/>
      <c r="P4" s="1"/>
      <c r="Q4" s="1" t="s">
        <v>23</v>
      </c>
      <c r="R4" s="1"/>
      <c r="S4" s="1"/>
      <c r="T4" s="1"/>
    </row>
    <row r="5" customFormat="false" ht="15.75" hidden="false" customHeight="true" outlineLevel="0" collapsed="false">
      <c r="A5" s="1"/>
      <c r="B5" s="183" t="s">
        <v>1248</v>
      </c>
      <c r="C5" s="184" t="s">
        <v>1249</v>
      </c>
      <c r="D5" s="184"/>
      <c r="E5" s="184"/>
      <c r="F5" s="185" t="s">
        <v>1250</v>
      </c>
      <c r="G5" s="185"/>
      <c r="H5" s="186" t="s">
        <v>1251</v>
      </c>
      <c r="I5" s="186"/>
      <c r="J5" s="187" t="s">
        <v>1252</v>
      </c>
      <c r="K5" s="187"/>
      <c r="L5" s="187"/>
      <c r="M5" s="1"/>
      <c r="N5" s="1"/>
      <c r="O5" s="1"/>
      <c r="P5" s="1"/>
      <c r="Q5" s="1" t="s">
        <v>17</v>
      </c>
      <c r="R5" s="1"/>
      <c r="S5" s="1"/>
      <c r="T5" s="1"/>
    </row>
    <row r="6" customFormat="false" ht="25.5" hidden="false" customHeight="true" outlineLevel="0" collapsed="false">
      <c r="A6" s="1"/>
      <c r="B6" s="188" t="s">
        <v>1245</v>
      </c>
      <c r="C6" s="189" t="n">
        <f aca="false">IF($B$6="Todas",COUNTA($B$25:$B$218),COUNTIF($D$25:$D$218,$B$6))</f>
        <v>194</v>
      </c>
      <c r="D6" s="189"/>
      <c r="E6" s="189"/>
      <c r="F6" s="190" t="n">
        <f aca="false">IF($B$6="Todas",SUM($K$25:$K$218),SUMIF($D$25:$D$218,$B$6,$K$25:$K$218))</f>
        <v>92.6253781270624</v>
      </c>
      <c r="G6" s="190"/>
      <c r="H6" s="189" t="n">
        <f aca="false">IF($B$6="Todas",COUNTIFS($K$25:$K$218,"&gt;0"),COUNTIFS($D$25:$D$218,$B$6,$K$25:$K$218,"&gt;0"))</f>
        <v>57</v>
      </c>
      <c r="I6" s="189"/>
      <c r="J6" s="190" t="n">
        <f aca="false">IFERROR(IF($B$6="Todas",AVERAGE($E$25:$E$218),AVERAGEIF($D$25:$D$218,$B$6,$E$25:$E$218)),0)</f>
        <v>12.4313249351456</v>
      </c>
      <c r="K6" s="190"/>
      <c r="L6" s="190"/>
      <c r="M6" s="1"/>
      <c r="N6" s="1"/>
      <c r="O6" s="1"/>
      <c r="P6" s="1"/>
      <c r="Q6" s="1" t="s">
        <v>25</v>
      </c>
      <c r="R6" s="1"/>
      <c r="S6" s="1"/>
      <c r="T6" s="1"/>
    </row>
    <row r="7" customFormat="false" ht="9.75" hidden="false" customHeight="true" outlineLevel="0" collapsed="false">
      <c r="A7" s="1"/>
      <c r="B7" s="1"/>
      <c r="C7" s="1"/>
      <c r="D7" s="1"/>
      <c r="E7" s="1"/>
      <c r="F7" s="1"/>
      <c r="G7" s="1"/>
      <c r="H7" s="1"/>
      <c r="I7" s="1"/>
      <c r="J7" s="1"/>
      <c r="K7" s="1"/>
      <c r="L7" s="1"/>
      <c r="M7" s="1"/>
      <c r="N7" s="1"/>
      <c r="O7" s="1"/>
      <c r="P7" s="1"/>
      <c r="Q7" s="1" t="s">
        <v>27</v>
      </c>
      <c r="R7" s="1"/>
      <c r="S7" s="1"/>
      <c r="T7" s="1"/>
    </row>
    <row r="8" customFormat="false" ht="18" hidden="false" customHeight="true" outlineLevel="0" collapsed="false">
      <c r="A8" s="1"/>
      <c r="B8" s="191" t="s">
        <v>1253</v>
      </c>
      <c r="C8" s="191"/>
      <c r="D8" s="191"/>
      <c r="E8" s="191"/>
      <c r="F8" s="191"/>
      <c r="G8" s="191"/>
      <c r="H8" s="191"/>
      <c r="I8" s="191"/>
      <c r="J8" s="191"/>
      <c r="K8" s="191"/>
      <c r="L8" s="191"/>
      <c r="M8" s="191"/>
      <c r="N8" s="191"/>
      <c r="O8" s="1"/>
      <c r="P8" s="1"/>
      <c r="Q8" s="1" t="s">
        <v>18</v>
      </c>
      <c r="R8" s="1"/>
      <c r="S8" s="1"/>
      <c r="T8" s="1"/>
    </row>
    <row r="9" customFormat="false" ht="15" hidden="false" customHeight="false" outlineLevel="0" collapsed="false">
      <c r="A9" s="1"/>
      <c r="B9" s="192" t="s">
        <v>1254</v>
      </c>
      <c r="C9" s="192"/>
      <c r="D9" s="192"/>
      <c r="E9" s="192"/>
      <c r="F9" s="192"/>
      <c r="G9" s="192"/>
      <c r="H9" s="192"/>
      <c r="I9" s="192"/>
      <c r="J9" s="192"/>
      <c r="K9" s="192"/>
      <c r="L9" s="192"/>
      <c r="M9" s="192"/>
      <c r="N9" s="192"/>
      <c r="O9" s="1"/>
      <c r="P9" s="1"/>
      <c r="Q9" s="1" t="s">
        <v>15</v>
      </c>
      <c r="R9" s="1"/>
      <c r="S9" s="1"/>
      <c r="T9" s="1"/>
    </row>
    <row r="10" customFormat="false" ht="15.75" hidden="false" customHeight="true" outlineLevel="0" collapsed="false">
      <c r="A10" s="1"/>
      <c r="B10" s="193" t="s">
        <v>52</v>
      </c>
      <c r="C10" s="194" t="s">
        <v>9</v>
      </c>
      <c r="D10" s="194"/>
      <c r="E10" s="195" t="s">
        <v>1255</v>
      </c>
      <c r="F10" s="194" t="s">
        <v>1256</v>
      </c>
      <c r="G10" s="194"/>
      <c r="H10" s="195" t="s">
        <v>1257</v>
      </c>
      <c r="I10" s="196" t="s">
        <v>1258</v>
      </c>
      <c r="J10" s="196"/>
      <c r="K10" s="1"/>
      <c r="L10" s="1"/>
      <c r="M10" s="1"/>
      <c r="N10" s="1"/>
      <c r="O10" s="1"/>
      <c r="P10" s="1"/>
      <c r="Q10" s="1" t="s">
        <v>13</v>
      </c>
      <c r="R10" s="1"/>
      <c r="S10" s="1"/>
      <c r="T10" s="1"/>
    </row>
    <row r="11" customFormat="false" ht="15" hidden="false" customHeight="false" outlineLevel="0" collapsed="false">
      <c r="A11" s="1"/>
      <c r="B11" s="197" t="str">
        <f aca="false">IFERROR(INDEX($B$25:$B$218,MATCH(LARGE($P$25:$P$218,1),$P$25:$P$218,0)),"")</f>
        <v>CAFE TM 3 CORACOES</v>
      </c>
      <c r="C11" s="198" t="str">
        <f aca="false">IFERROR(INDEX($D$25:$D$218,MATCH(LARGE($P$25:$P$218,1),$P$25:$P$218,0)),"")</f>
        <v>Mercearia</v>
      </c>
      <c r="D11" s="198"/>
      <c r="E11" s="199" t="n">
        <f aca="false">IFERROR(INDEX($E$25:$E$218,MATCH(LARGE($P$25:$P$218,1),$P$25:$P$218,0)),"")</f>
        <v>23</v>
      </c>
      <c r="F11" s="198" t="str">
        <f aca="false">IFERROR(INDEX($F$25:$F$218,MATCH(LARGE($P$25:$P$218,1),$P$25:$P$218,0))&amp;" · "&amp;TEXT(DAY(INDEX($G$25:$G$218,MATCH(LARGE($P$25:$P$218,1),$P$25:$P$218,0))),"00")&amp;"/"&amp;TEXT(MONTH(INDEX($G$25:$G$218,MATCH(LARGE($P$25:$P$218,1),$P$25:$P$218,0))),"00")&amp;"/"&amp;TEXT(MOD(YEAR(INDEX($G$25:$G$218,MATCH(LARGE($P$25:$P$218,1),$P$25:$P$218,0))),100),"00"),"")</f>
        <v>Supermercados Nori · 20/06/26</v>
      </c>
      <c r="G11" s="198"/>
      <c r="H11" s="200" t="n">
        <f aca="false">IFERROR(INDEX($M$25:$M$218,MATCH(LARGE($P$25:$P$218,1),$P$25:$P$218,0)),"")</f>
        <v>23</v>
      </c>
      <c r="I11" s="201" t="n">
        <f aca="false">IFERROR(INDEX($K$25:$K$218,MATCH(LARGE($P$25:$P$218,1),$P$25:$P$218,0)),"")</f>
        <v>8.7</v>
      </c>
      <c r="J11" s="201"/>
      <c r="K11" s="1"/>
      <c r="L11" s="1"/>
      <c r="M11" s="1"/>
      <c r="N11" s="1"/>
      <c r="O11" s="1"/>
      <c r="P11" s="1"/>
      <c r="Q11" s="1" t="s">
        <v>20</v>
      </c>
      <c r="R11" s="1"/>
      <c r="S11" s="1"/>
      <c r="T11" s="1"/>
    </row>
    <row r="12" customFormat="false" ht="15" hidden="false" customHeight="false" outlineLevel="0" collapsed="false">
      <c r="A12" s="1"/>
      <c r="B12" s="202" t="str">
        <f aca="false">IFERROR(INDEX($B$25:$B$218,MATCH(LARGE($P$25:$P$218,2),$P$25:$P$218,0)),"")</f>
        <v>Pão Francês</v>
      </c>
      <c r="C12" s="203" t="str">
        <f aca="false">IFERROR(INDEX($D$25:$D$218,MATCH(LARGE($P$25:$P$218,2),$P$25:$P$218,0)),"")</f>
        <v>Padaria</v>
      </c>
      <c r="D12" s="203"/>
      <c r="E12" s="204" t="n">
        <f aca="false">IFERROR(INDEX($E$25:$E$218,MATCH(LARGE($P$25:$P$218,2),$P$25:$P$218,0)),"")</f>
        <v>14.9915966386555</v>
      </c>
      <c r="F12" s="203" t="str">
        <f aca="false">IFERROR(INDEX($F$25:$F$218,MATCH(LARGE($P$25:$P$218,2),$P$25:$P$218,0))&amp;" · "&amp;TEXT(DAY(INDEX($G$25:$G$218,MATCH(LARGE($P$25:$P$218,2),$P$25:$P$218,0))),"00")&amp;"/"&amp;TEXT(MONTH(INDEX($G$25:$G$218,MATCH(LARGE($P$25:$P$218,2),$P$25:$P$218,0))),"00")&amp;"/"&amp;TEXT(MOD(YEAR(INDEX($G$25:$G$218,MATCH(LARGE($P$25:$P$218,2),$P$25:$P$218,0))),100),"00"),"")</f>
        <v>André · 27/05/26</v>
      </c>
      <c r="G12" s="203"/>
      <c r="H12" s="205" t="n">
        <f aca="false">IFERROR(INDEX($M$25:$M$218,MATCH(LARGE($P$25:$P$218,2),$P$25:$P$218,0)),"")</f>
        <v>14.9915966386555</v>
      </c>
      <c r="I12" s="206" t="n">
        <f aca="false">IFERROR(INDEX($K$25:$K$218,MATCH(LARGE($P$25:$P$218,2),$P$25:$P$218,0)),"")</f>
        <v>7.91343129430543</v>
      </c>
      <c r="J12" s="206"/>
      <c r="K12" s="1"/>
      <c r="L12" s="1"/>
      <c r="M12" s="1"/>
      <c r="N12" s="1"/>
      <c r="O12" s="1"/>
      <c r="P12" s="1"/>
      <c r="Q12" s="1" t="s">
        <v>19</v>
      </c>
      <c r="R12" s="1"/>
      <c r="S12" s="1"/>
      <c r="T12" s="1"/>
    </row>
    <row r="13" customFormat="false" ht="15" hidden="false" customHeight="false" outlineLevel="0" collapsed="false">
      <c r="A13" s="1"/>
      <c r="B13" s="197" t="str">
        <f aca="false">IFERROR(INDEX($B$25:$B$218,MATCH(LARGE($P$25:$P$218,3),$P$25:$P$218,0)),"")</f>
        <v>LIMAO KG</v>
      </c>
      <c r="C13" s="198" t="str">
        <f aca="false">IFERROR(INDEX($D$25:$D$218,MATCH(LARGE($P$25:$P$218,3),$P$25:$P$218,0)),"")</f>
        <v>Hortifruti</v>
      </c>
      <c r="D13" s="198"/>
      <c r="E13" s="199" t="n">
        <f aca="false">IFERROR(INDEX($E$25:$E$218,MATCH(LARGE($P$25:$P$218,3),$P$25:$P$218,0)),"")</f>
        <v>1.98449612403101</v>
      </c>
      <c r="F13" s="198" t="str">
        <f aca="false">IFERROR(INDEX($F$25:$F$218,MATCH(LARGE($P$25:$P$218,3),$P$25:$P$218,0))&amp;" · "&amp;TEXT(DAY(INDEX($G$25:$G$218,MATCH(LARGE($P$25:$P$218,3),$P$25:$P$218,0))),"00")&amp;"/"&amp;TEXT(MONTH(INDEX($G$25:$G$218,MATCH(LARGE($P$25:$P$218,3),$P$25:$P$218,0))),"00")&amp;"/"&amp;TEXT(MOD(YEAR(INDEX($G$25:$G$218,MATCH(LARGE($P$25:$P$218,3),$P$25:$P$218,0))),100),"00"),"")</f>
        <v>Supermercado Canesin · 09/05/26</v>
      </c>
      <c r="G13" s="198"/>
      <c r="H13" s="200" t="n">
        <f aca="false">IFERROR(INDEX($M$25:$M$218,MATCH(LARGE($P$25:$P$218,3),$P$25:$P$218,0)),"")</f>
        <v>9.89873417721519</v>
      </c>
      <c r="I13" s="201" t="n">
        <f aca="false">IFERROR(INDEX($K$25:$K$218,MATCH(LARGE($P$25:$P$218,3),$P$25:$P$218,0)),"")</f>
        <v>7.91423805318418</v>
      </c>
      <c r="J13" s="201"/>
      <c r="K13" s="1"/>
      <c r="L13" s="1"/>
      <c r="M13" s="1"/>
      <c r="N13" s="1"/>
      <c r="O13" s="1"/>
      <c r="P13" s="1"/>
      <c r="Q13" s="1" t="s">
        <v>12</v>
      </c>
      <c r="R13" s="1"/>
      <c r="S13" s="1"/>
      <c r="T13" s="1"/>
    </row>
    <row r="14" customFormat="false" ht="15" hidden="false" customHeight="false" outlineLevel="0" collapsed="false">
      <c r="A14" s="1"/>
      <c r="B14" s="202" t="str">
        <f aca="false">IFERROR(INDEX($B$25:$B$218,MATCH(LARGE($P$25:$P$218,4),$P$25:$P$218,0)),"")</f>
        <v>Ketchup</v>
      </c>
      <c r="C14" s="203" t="str">
        <f aca="false">IFERROR(INDEX($D$25:$D$218,MATCH(LARGE($P$25:$P$218,4),$P$25:$P$218,0)),"")</f>
        <v>Mercearia</v>
      </c>
      <c r="D14" s="203"/>
      <c r="E14" s="204" t="n">
        <f aca="false">IFERROR(INDEX($E$25:$E$218,MATCH(LARGE($P$25:$P$218,4),$P$25:$P$218,0)),"")</f>
        <v>5.9</v>
      </c>
      <c r="F14" s="203" t="str">
        <f aca="false">IFERROR(INDEX($F$25:$F$218,MATCH(LARGE($P$25:$P$218,4),$P$25:$P$218,0))&amp;" · "&amp;TEXT(DAY(INDEX($G$25:$G$218,MATCH(LARGE($P$25:$P$218,4),$P$25:$P$218,0))),"00")&amp;"/"&amp;TEXT(MONTH(INDEX($G$25:$G$218,MATCH(LARGE($P$25:$P$218,4),$P$25:$P$218,0))),"00")&amp;"/"&amp;TEXT(MOD(YEAR(INDEX($G$25:$G$218,MATCH(LARGE($P$25:$P$218,4),$P$25:$P$218,0))),100),"00"),"")</f>
        <v>Supermercados Nori · 31/05/26</v>
      </c>
      <c r="G14" s="203"/>
      <c r="H14" s="205" t="n">
        <f aca="false">IFERROR(INDEX($M$25:$M$218,MATCH(LARGE($P$25:$P$218,4),$P$25:$P$218,0)),"")</f>
        <v>5.9</v>
      </c>
      <c r="I14" s="206" t="n">
        <f aca="false">IFERROR(INDEX($K$25:$K$218,MATCH(LARGE($P$25:$P$218,4),$P$25:$P$218,0)),"")</f>
        <v>6</v>
      </c>
      <c r="J14" s="206"/>
      <c r="K14" s="1"/>
      <c r="L14" s="1"/>
      <c r="M14" s="1"/>
      <c r="N14" s="1"/>
      <c r="O14" s="1"/>
      <c r="P14" s="1"/>
      <c r="Q14" s="1" t="s">
        <v>14</v>
      </c>
      <c r="R14" s="1"/>
      <c r="S14" s="1"/>
      <c r="T14" s="1"/>
    </row>
    <row r="15" customFormat="false" ht="15" hidden="false" customHeight="false" outlineLevel="0" collapsed="false">
      <c r="A15" s="1"/>
      <c r="B15" s="197" t="str">
        <f aca="false">IFERROR(INDEX($B$25:$B$218,MATCH(LARGE($P$25:$P$218,5),$P$25:$P$218,0)),"")</f>
        <v>KETCHUP</v>
      </c>
      <c r="C15" s="198" t="str">
        <f aca="false">IFERROR(INDEX($D$25:$D$218,MATCH(LARGE($P$25:$P$218,5),$P$25:$P$218,0)),"")</f>
        <v>Mercearia</v>
      </c>
      <c r="D15" s="198"/>
      <c r="E15" s="199" t="n">
        <f aca="false">IFERROR(INDEX($E$25:$E$218,MATCH(LARGE($P$25:$P$218,5),$P$25:$P$218,0)),"")</f>
        <v>5.9</v>
      </c>
      <c r="F15" s="198" t="str">
        <f aca="false">IFERROR(INDEX($F$25:$F$218,MATCH(LARGE($P$25:$P$218,5),$P$25:$P$218,0))&amp;" · "&amp;TEXT(DAY(INDEX($G$25:$G$218,MATCH(LARGE($P$25:$P$218,5),$P$25:$P$218,0))),"00")&amp;"/"&amp;TEXT(MONTH(INDEX($G$25:$G$218,MATCH(LARGE($P$25:$P$218,5),$P$25:$P$218,0))),"00")&amp;"/"&amp;TEXT(MOD(YEAR(INDEX($G$25:$G$218,MATCH(LARGE($P$25:$P$218,5),$P$25:$P$218,0))),100),"00"),"")</f>
        <v>Supermercados Nori · 31/05/26</v>
      </c>
      <c r="G15" s="198"/>
      <c r="H15" s="200" t="n">
        <f aca="false">IFERROR(INDEX($M$25:$M$218,MATCH(LARGE($P$25:$P$218,5),$P$25:$P$218,0)),"")</f>
        <v>5.9</v>
      </c>
      <c r="I15" s="201" t="n">
        <f aca="false">IFERROR(INDEX($K$25:$K$218,MATCH(LARGE($P$25:$P$218,5),$P$25:$P$218,0)),"")</f>
        <v>6</v>
      </c>
      <c r="J15" s="201"/>
      <c r="K15" s="1"/>
      <c r="L15" s="1"/>
      <c r="M15" s="1"/>
      <c r="N15" s="1"/>
      <c r="O15" s="1"/>
      <c r="P15" s="1"/>
      <c r="Q15" s="1" t="s">
        <v>22</v>
      </c>
      <c r="R15" s="1"/>
      <c r="S15" s="1"/>
      <c r="T15" s="1"/>
    </row>
    <row r="16" customFormat="false" ht="15" hidden="false" customHeight="false" outlineLevel="0" collapsed="false">
      <c r="A16" s="1"/>
      <c r="B16" s="202" t="str">
        <f aca="false">IFERROR(INDEX($B$25:$B$218,MATCH(LARGE($P$25:$P$218,6),$P$25:$P$218,0)),"")</f>
        <v>BATATA EXTRA</v>
      </c>
      <c r="C16" s="203" t="str">
        <f aca="false">IFERROR(INDEX($D$25:$D$218,MATCH(LARGE($P$25:$P$218,6),$P$25:$P$218,0)),"")</f>
        <v>Hortifruti</v>
      </c>
      <c r="D16" s="203"/>
      <c r="E16" s="204" t="n">
        <f aca="false">IFERROR(INDEX($E$25:$E$218,MATCH(LARGE($P$25:$P$218,6),$P$25:$P$218,0)),"")</f>
        <v>5.2827380952381</v>
      </c>
      <c r="F16" s="203" t="str">
        <f aca="false">IFERROR(INDEX($F$25:$F$218,MATCH(LARGE($P$25:$P$218,6),$P$25:$P$218,0))&amp;" · "&amp;TEXT(DAY(INDEX($G$25:$G$218,MATCH(LARGE($P$25:$P$218,6),$P$25:$P$218,0))),"00")&amp;"/"&amp;TEXT(MONTH(INDEX($G$25:$G$218,MATCH(LARGE($P$25:$P$218,6),$P$25:$P$218,0))),"00")&amp;"/"&amp;TEXT(MOD(YEAR(INDEX($G$25:$G$218,MATCH(LARGE($P$25:$P$218,6),$P$25:$P$218,0))),100),"00"),"")</f>
        <v>Varejao Monteverde · 17/07/26</v>
      </c>
      <c r="G16" s="203"/>
      <c r="H16" s="205" t="n">
        <f aca="false">IFERROR(INDEX($M$25:$M$218,MATCH(LARGE($P$25:$P$218,6),$P$25:$P$218,0)),"")</f>
        <v>5.28301886792453</v>
      </c>
      <c r="I16" s="206" t="n">
        <f aca="false">IFERROR(INDEX($K$25:$K$218,MATCH(LARGE($P$25:$P$218,6),$P$25:$P$218,0)),"")</f>
        <v>5.69656126781923</v>
      </c>
      <c r="J16" s="206"/>
      <c r="K16" s="1"/>
      <c r="L16" s="1"/>
      <c r="M16" s="1"/>
      <c r="N16" s="1"/>
      <c r="O16" s="1"/>
      <c r="P16" s="1"/>
      <c r="Q16" s="1" t="s">
        <v>24</v>
      </c>
      <c r="R16" s="1"/>
      <c r="S16" s="1"/>
      <c r="T16" s="1"/>
    </row>
    <row r="17" customFormat="false" ht="15" hidden="false" customHeight="false" outlineLevel="0" collapsed="false">
      <c r="A17" s="1"/>
      <c r="B17" s="197" t="str">
        <f aca="false">IFERROR(INDEX($B$25:$B$218,MATCH(LARGE($P$25:$P$218,7),$P$25:$P$218,0)),"")</f>
        <v>Batata Palito</v>
      </c>
      <c r="C17" s="198" t="str">
        <f aca="false">IFERROR(INDEX($D$25:$D$218,MATCH(LARGE($P$25:$P$218,7),$P$25:$P$218,0)),"")</f>
        <v>Mercearia</v>
      </c>
      <c r="D17" s="198"/>
      <c r="E17" s="199" t="n">
        <f aca="false">IFERROR(INDEX($E$25:$E$218,MATCH(LARGE($P$25:$P$218,7),$P$25:$P$218,0)),"")</f>
        <v>15.79</v>
      </c>
      <c r="F17" s="198" t="str">
        <f aca="false">IFERROR(INDEX($F$25:$F$218,MATCH(LARGE($P$25:$P$218,7),$P$25:$P$218,0))&amp;" · "&amp;TEXT(DAY(INDEX($G$25:$G$218,MATCH(LARGE($P$25:$P$218,7),$P$25:$P$218,0))),"00")&amp;"/"&amp;TEXT(MONTH(INDEX($G$25:$G$218,MATCH(LARGE($P$25:$P$218,7),$P$25:$P$218,0))),"00")&amp;"/"&amp;TEXT(MOD(YEAR(INDEX($G$25:$G$218,MATCH(LARGE($P$25:$P$218,7),$P$25:$P$218,0))),100),"00"),"")</f>
        <v>Supermercados Nori · 20/06/26</v>
      </c>
      <c r="G17" s="198"/>
      <c r="H17" s="200" t="n">
        <f aca="false">IFERROR(INDEX($M$25:$M$218,MATCH(LARGE($P$25:$P$218,7),$P$25:$P$218,0)),"")</f>
        <v>15.79</v>
      </c>
      <c r="I17" s="201" t="n">
        <f aca="false">IFERROR(INDEX($K$25:$K$218,MATCH(LARGE($P$25:$P$218,7),$P$25:$P$218,0)),"")</f>
        <v>5.21</v>
      </c>
      <c r="J17" s="201"/>
      <c r="K17" s="1"/>
      <c r="L17" s="1"/>
      <c r="M17" s="1"/>
      <c r="N17" s="1"/>
      <c r="O17" s="1"/>
      <c r="P17" s="1"/>
      <c r="Q17" s="1" t="s">
        <v>21</v>
      </c>
      <c r="R17" s="1"/>
      <c r="S17" s="1"/>
      <c r="T17" s="1"/>
    </row>
    <row r="18" customFormat="false" ht="15" hidden="false" customHeight="false" outlineLevel="0" collapsed="false">
      <c r="A18" s="1"/>
      <c r="B18" s="202" t="str">
        <f aca="false">IFERROR(INDEX($B$25:$B$218,MATCH(LARGE($P$25:$P$218,8),$P$25:$P$218,0)),"")</f>
        <v>LIMAO THAITI</v>
      </c>
      <c r="C18" s="203" t="str">
        <f aca="false">IFERROR(INDEX($D$25:$D$218,MATCH(LARGE($P$25:$P$218,8),$P$25:$P$218,0)),"")</f>
        <v>Hortifruti</v>
      </c>
      <c r="D18" s="203"/>
      <c r="E18" s="204" t="n">
        <f aca="false">IFERROR(INDEX($E$25:$E$218,MATCH(LARGE($P$25:$P$218,8),$P$25:$P$218,0)),"")</f>
        <v>2.68258426966292</v>
      </c>
      <c r="F18" s="203" t="str">
        <f aca="false">IFERROR(INDEX($F$25:$F$218,MATCH(LARGE($P$25:$P$218,8),$P$25:$P$218,0))&amp;" · "&amp;TEXT(DAY(INDEX($G$25:$G$218,MATCH(LARGE($P$25:$P$218,8),$P$25:$P$218,0))),"00")&amp;"/"&amp;TEXT(MONTH(INDEX($G$25:$G$218,MATCH(LARGE($P$25:$P$218,8),$P$25:$P$218,0))),"00")&amp;"/"&amp;TEXT(MOD(YEAR(INDEX($G$25:$G$218,MATCH(LARGE($P$25:$P$218,8),$P$25:$P$218,0))),100),"00"),"")</f>
        <v>Varejao Monteverde · 31/05/26</v>
      </c>
      <c r="G18" s="203"/>
      <c r="H18" s="205" t="n">
        <f aca="false">IFERROR(INDEX($M$25:$M$218,MATCH(LARGE($P$25:$P$218,8),$P$25:$P$218,0)),"")</f>
        <v>7.50515463917526</v>
      </c>
      <c r="I18" s="206" t="n">
        <f aca="false">IFERROR(INDEX($K$25:$K$218,MATCH(LARGE($P$25:$P$218,8),$P$25:$P$218,0)),"")</f>
        <v>4.82257036951234</v>
      </c>
      <c r="J18" s="206"/>
      <c r="K18" s="1"/>
      <c r="L18" s="1"/>
      <c r="M18" s="1"/>
      <c r="N18" s="1"/>
      <c r="O18" s="1"/>
      <c r="P18" s="1"/>
      <c r="Q18" s="1"/>
      <c r="R18" s="1"/>
      <c r="S18" s="1"/>
      <c r="T18" s="1"/>
    </row>
    <row r="19" customFormat="false" ht="15" hidden="false" customHeight="false" outlineLevel="0" collapsed="false">
      <c r="A19" s="1"/>
      <c r="B19" s="197" t="str">
        <f aca="false">IFERROR(INDEX($B$25:$B$218,MATCH(LARGE($P$25:$P$218,9),$P$25:$P$218,0)),"")</f>
        <v>PAO FRANCES (FILAO)</v>
      </c>
      <c r="C19" s="198" t="str">
        <f aca="false">IFERROR(INDEX($D$25:$D$218,MATCH(LARGE($P$25:$P$218,9),$P$25:$P$218,0)),"")</f>
        <v>Padaria</v>
      </c>
      <c r="D19" s="198"/>
      <c r="E19" s="199" t="n">
        <f aca="false">IFERROR(INDEX($E$25:$E$218,MATCH(LARGE($P$25:$P$218,9),$P$25:$P$218,0)),"")</f>
        <v>14.8913043478261</v>
      </c>
      <c r="F19" s="198" t="str">
        <f aca="false">IFERROR(INDEX($F$25:$F$218,MATCH(LARGE($P$25:$P$218,9),$P$25:$P$218,0))&amp;" · "&amp;TEXT(DAY(INDEX($G$25:$G$218,MATCH(LARGE($P$25:$P$218,9),$P$25:$P$218,0))),"00")&amp;"/"&amp;TEXT(MONTH(INDEX($G$25:$G$218,MATCH(LARGE($P$25:$P$218,9),$P$25:$P$218,0))),"00")&amp;"/"&amp;TEXT(MOD(YEAR(INDEX($G$25:$G$218,MATCH(LARGE($P$25:$P$218,9),$P$25:$P$218,0))),100),"00"),"")</f>
        <v>Supermercados Nori · 31/05/26</v>
      </c>
      <c r="G19" s="198"/>
      <c r="H19" s="200" t="n">
        <f aca="false">IFERROR(INDEX($M$25:$M$218,MATCH(LARGE($P$25:$P$218,9),$P$25:$P$218,0)),"")</f>
        <v>14.8979591836735</v>
      </c>
      <c r="I19" s="201" t="n">
        <f aca="false">IFERROR(INDEX($K$25:$K$218,MATCH(LARGE($P$25:$P$218,9),$P$25:$P$218,0)),"")</f>
        <v>3.01610305958132</v>
      </c>
      <c r="J19" s="201"/>
      <c r="K19" s="1"/>
      <c r="L19" s="1"/>
      <c r="M19" s="1"/>
      <c r="N19" s="1"/>
      <c r="O19" s="1"/>
      <c r="P19" s="1"/>
      <c r="Q19" s="1"/>
      <c r="R19" s="1"/>
      <c r="S19" s="1"/>
      <c r="T19" s="1"/>
    </row>
    <row r="20" customFormat="false" ht="15" hidden="false" customHeight="false" outlineLevel="0" collapsed="false">
      <c r="A20" s="1"/>
      <c r="B20" s="202" t="str">
        <f aca="false">IFERROR(INDEX($B$25:$B$218,MATCH(LARGE($P$25:$P$218,10),$P$25:$P$218,0)),"")</f>
        <v>BANANA NANICA</v>
      </c>
      <c r="C20" s="203" t="str">
        <f aca="false">IFERROR(INDEX($D$25:$D$218,MATCH(LARGE($P$25:$P$218,10),$P$25:$P$218,0)),"")</f>
        <v>Hortifruti</v>
      </c>
      <c r="D20" s="203"/>
      <c r="E20" s="204" t="n">
        <f aca="false">IFERROR(INDEX($E$25:$E$218,MATCH(LARGE($P$25:$P$218,10),$P$25:$P$218,0)),"")</f>
        <v>3.98275862068966</v>
      </c>
      <c r="F20" s="203" t="str">
        <f aca="false">IFERROR(INDEX($F$25:$F$218,MATCH(LARGE($P$25:$P$218,10),$P$25:$P$218,0))&amp;" · "&amp;TEXT(DAY(INDEX($G$25:$G$218,MATCH(LARGE($P$25:$P$218,10),$P$25:$P$218,0))),"00")&amp;"/"&amp;TEXT(MONTH(INDEX($G$25:$G$218,MATCH(LARGE($P$25:$P$218,10),$P$25:$P$218,0))),"00")&amp;"/"&amp;TEXT(MOD(YEAR(INDEX($G$25:$G$218,MATCH(LARGE($P$25:$P$218,10),$P$25:$P$218,0))),100),"00"),"")</f>
        <v>Supermercado Canesin · 04/06/26</v>
      </c>
      <c r="G20" s="203"/>
      <c r="H20" s="205" t="n">
        <f aca="false">IFERROR(INDEX($M$25:$M$218,MATCH(LARGE($P$25:$P$218,10),$P$25:$P$218,0)),"")</f>
        <v>6.98778833107191</v>
      </c>
      <c r="I20" s="206" t="n">
        <f aca="false">IFERROR(INDEX($K$25:$K$218,MATCH(LARGE($P$25:$P$218,10),$P$25:$P$218,0)),"")</f>
        <v>3.00611481463719</v>
      </c>
      <c r="J20" s="206"/>
      <c r="K20" s="1"/>
      <c r="L20" s="1"/>
      <c r="M20" s="1"/>
      <c r="N20" s="1"/>
      <c r="O20" s="1"/>
      <c r="P20" s="1"/>
      <c r="Q20" s="1"/>
      <c r="R20" s="1"/>
      <c r="S20" s="1"/>
      <c r="T20" s="1"/>
    </row>
    <row r="21" customFormat="false" ht="9.75" hidden="false" customHeight="true" outlineLevel="0" collapsed="false">
      <c r="A21" s="1"/>
      <c r="B21" s="1"/>
      <c r="C21" s="1"/>
      <c r="D21" s="1"/>
      <c r="E21" s="1"/>
      <c r="F21" s="1"/>
      <c r="G21" s="1"/>
      <c r="H21" s="1"/>
      <c r="I21" s="1"/>
      <c r="J21" s="1"/>
      <c r="K21" s="1"/>
      <c r="L21" s="1"/>
      <c r="M21" s="1"/>
      <c r="N21" s="1"/>
      <c r="O21" s="1"/>
      <c r="P21" s="1"/>
      <c r="Q21" s="1"/>
      <c r="R21" s="1"/>
      <c r="S21" s="1"/>
      <c r="T21" s="1"/>
    </row>
    <row r="22" customFormat="false" ht="18" hidden="false" customHeight="true" outlineLevel="0" collapsed="false">
      <c r="A22" s="1"/>
      <c r="B22" s="191" t="s">
        <v>1259</v>
      </c>
      <c r="C22" s="191"/>
      <c r="D22" s="191"/>
      <c r="E22" s="191"/>
      <c r="F22" s="191"/>
      <c r="G22" s="191"/>
      <c r="H22" s="191"/>
      <c r="I22" s="191"/>
      <c r="J22" s="191"/>
      <c r="K22" s="191"/>
      <c r="L22" s="191"/>
      <c r="M22" s="191"/>
      <c r="N22" s="191"/>
      <c r="O22" s="1"/>
      <c r="P22" s="1"/>
      <c r="Q22" s="1"/>
      <c r="R22" s="1"/>
      <c r="S22" s="1"/>
      <c r="T22" s="1"/>
    </row>
    <row r="23" customFormat="false" ht="15" hidden="false" customHeight="false" outlineLevel="0" collapsed="false">
      <c r="A23" s="1"/>
      <c r="B23" s="192" t="s">
        <v>1260</v>
      </c>
      <c r="C23" s="192"/>
      <c r="D23" s="192"/>
      <c r="E23" s="192"/>
      <c r="F23" s="192"/>
      <c r="G23" s="192"/>
      <c r="H23" s="192"/>
      <c r="I23" s="192"/>
      <c r="J23" s="192"/>
      <c r="K23" s="192"/>
      <c r="L23" s="192"/>
      <c r="M23" s="192"/>
      <c r="N23" s="192"/>
      <c r="O23" s="1"/>
      <c r="P23" s="1"/>
      <c r="Q23" s="1"/>
      <c r="R23" s="1"/>
      <c r="S23" s="1"/>
      <c r="T23" s="1"/>
    </row>
    <row r="24" customFormat="false" ht="25.5" hidden="false" customHeight="true" outlineLevel="0" collapsed="false">
      <c r="A24" s="1"/>
      <c r="B24" s="207" t="s">
        <v>52</v>
      </c>
      <c r="C24" s="207" t="s">
        <v>167</v>
      </c>
      <c r="D24" s="207" t="s">
        <v>9</v>
      </c>
      <c r="E24" s="208" t="s">
        <v>1255</v>
      </c>
      <c r="F24" s="207" t="s">
        <v>1261</v>
      </c>
      <c r="G24" s="207" t="s">
        <v>78</v>
      </c>
      <c r="H24" s="208" t="s">
        <v>1262</v>
      </c>
      <c r="I24" s="207" t="s">
        <v>1263</v>
      </c>
      <c r="J24" s="207" t="s">
        <v>78</v>
      </c>
      <c r="K24" s="208" t="s">
        <v>1264</v>
      </c>
      <c r="L24" s="208" t="s">
        <v>1265</v>
      </c>
      <c r="M24" s="208" t="s">
        <v>1257</v>
      </c>
      <c r="N24" s="207" t="s">
        <v>1266</v>
      </c>
      <c r="O24" s="1"/>
      <c r="P24" s="1"/>
      <c r="Q24" s="1"/>
      <c r="R24" s="1"/>
      <c r="S24" s="1"/>
      <c r="T24" s="1"/>
    </row>
    <row r="25" customFormat="false" ht="15" hidden="false" customHeight="false" outlineLevel="0" collapsed="false">
      <c r="A25" s="1"/>
      <c r="B25" s="197" t="s">
        <v>219</v>
      </c>
      <c r="C25" s="209" t="s">
        <v>176</v>
      </c>
      <c r="D25" s="197" t="s">
        <v>26</v>
      </c>
      <c r="E25" s="200" t="n">
        <f aca="false">IFERROR(_xlfn.MINIFS(tblCompras[Preço Unit.],tblCompras[Produto],$B25,tblCompras[Unid.],$C25),"")</f>
        <v>28.90625</v>
      </c>
      <c r="F25" s="209" t="str">
        <f aca="false">IFERROR(LOOKUP(2,1/((tblCompras[Produto]=$B25)*(tblCompras[Unid.]=$C25)*(tblCompras[Preço Unit.]=$E25)),tblCompras[Mercado]),"")</f>
        <v>Supermercados Nori</v>
      </c>
      <c r="G25" s="210" t="n">
        <f aca="false">IFERROR(LOOKUP(2,1/((tblCompras[Produto]=$B25)*(tblCompras[Unid.]=$C25)*(tblCompras[Preço Unit.]=$E25)),tblCompras[Data]),"")</f>
        <v>46146</v>
      </c>
      <c r="H25" s="200" t="n">
        <f aca="false">IFERROR(_xlfn.MAXIFS(tblCompras[Preço Unit.],tblCompras[Produto],$B25,tblCompras[Unid.],$C25),"")</f>
        <v>28.90625</v>
      </c>
      <c r="I25" s="209" t="str">
        <f aca="false">IFERROR(LOOKUP(2,1/((tblCompras[Produto]=$B25)*(tblCompras[Unid.]=$C25)*(tblCompras[Preço Unit.]=$H25)),tblCompras[Mercado]),"")</f>
        <v>Supermercados Nori</v>
      </c>
      <c r="J25" s="210" t="n">
        <f aca="false">IFERROR(LOOKUP(2,1/((tblCompras[Produto]=$B25)*(tblCompras[Unid.]=$C25)*(tblCompras[Preço Unit.]=$H25)),tblCompras[Data]),"")</f>
        <v>46146</v>
      </c>
      <c r="K25" s="211" t="n">
        <f aca="false">IF(OR($E25="",$H25=""),"",MAX(0,$H25-$E25))</f>
        <v>0</v>
      </c>
      <c r="L25" s="212" t="n">
        <f aca="false">IF(OR($E25="",$H25="",$E25=0),"",($H25-$E25)/$E25)</f>
        <v>0</v>
      </c>
      <c r="M25" s="200" t="n">
        <f aca="false">IFERROR(LOOKUP(2,1/((tblCompras[Produto]=$B25)*(tblCompras[Unid.]=$C25)*(tblCompras[Data]=_xlfn.MAXIFS(tblCompras[Data],tblCompras[Produto],$B25,tblCompras[Unid.],$C25))),tblCompras[Preço Unit.]),"")</f>
        <v>28.90625</v>
      </c>
      <c r="N25" s="209" t="str">
        <f aca="false">IFERROR(LOOKUP(2,1/((tblCompras[Produto]=$B25)*(tblCompras[Unid.]=$C25)*(tblCompras[Data]=_xlfn.MAXIFS(tblCompras[Data],tblCompras[Produto],$B25,tblCompras[Unid.],$C25))),tblCompras[Mercado])&amp;" · "&amp;TEXT(DAY(_xlfn.MAXIFS(tblCompras[Data],tblCompras[Produto],$B25,tblCompras[Unid.],$C25)),"00")&amp;"/"&amp;TEXT(MONTH(_xlfn.MAXIFS(tblCompras[Data],tblCompras[Produto],$B25,tblCompras[Unid.],$C25)),"00")&amp;"/"&amp;TEXT(MOD(YEAR(_xlfn.MAXIFS(tblCompras[Data],tblCompras[Produto],$B25,tblCompras[Unid.],$C25)),100),"00"),"")</f>
        <v>Supermercados Nori · 04/05/26</v>
      </c>
      <c r="O25" s="1"/>
      <c r="P25" s="1" t="str">
        <f aca="false">IF(AND(ISNUMBER($K25),$K25&gt;0,OR($B$6="Todas",$D25=$B$6)),$K25+ROW()/100000,"")</f>
        <v/>
      </c>
      <c r="Q25" s="1"/>
      <c r="R25" s="1"/>
      <c r="S25" s="1"/>
      <c r="T25" s="1"/>
    </row>
    <row r="26" customFormat="false" ht="15" hidden="false" customHeight="false" outlineLevel="0" collapsed="false">
      <c r="A26" s="1"/>
      <c r="B26" s="202" t="s">
        <v>440</v>
      </c>
      <c r="C26" s="213" t="s">
        <v>179</v>
      </c>
      <c r="D26" s="202" t="s">
        <v>16</v>
      </c>
      <c r="E26" s="205" t="n">
        <f aca="false">IFERROR(_xlfn.MINIFS(tblCompras[Preço Unit.],tblCompras[Produto],$B26,tblCompras[Unid.],$C26),"")</f>
        <v>1.29</v>
      </c>
      <c r="F26" s="213" t="str">
        <f aca="false">IFERROR(LOOKUP(2,1/((tblCompras[Produto]=$B26)*(tblCompras[Unid.]=$C26)*(tblCompras[Preço Unit.]=$E26)),tblCompras[Mercado]),"")</f>
        <v>Supermercados Nori</v>
      </c>
      <c r="G26" s="214" t="n">
        <f aca="false">IFERROR(LOOKUP(2,1/((tblCompras[Produto]=$B26)*(tblCompras[Unid.]=$C26)*(tblCompras[Preço Unit.]=$E26)),tblCompras[Data]),"")</f>
        <v>46243</v>
      </c>
      <c r="H26" s="205" t="n">
        <f aca="false">IFERROR(_xlfn.MAXIFS(tblCompras[Preço Unit.],tblCompras[Produto],$B26,tblCompras[Unid.],$C26),"")</f>
        <v>1.65</v>
      </c>
      <c r="I26" s="213" t="str">
        <f aca="false">IFERROR(LOOKUP(2,1/((tblCompras[Produto]=$B26)*(tblCompras[Unid.]=$C26)*(tblCompras[Preço Unit.]=$H26)),tblCompras[Mercado]),"")</f>
        <v>Supermercados Nori</v>
      </c>
      <c r="J26" s="214" t="n">
        <f aca="false">IFERROR(LOOKUP(2,1/((tblCompras[Produto]=$B26)*(tblCompras[Unid.]=$C26)*(tblCompras[Preço Unit.]=$H26)),tblCompras[Data]),"")</f>
        <v>46215</v>
      </c>
      <c r="K26" s="215" t="n">
        <f aca="false">IF(OR($E26="",$H26=""),"",MAX(0,$H26-$E26))</f>
        <v>0.36</v>
      </c>
      <c r="L26" s="216" t="n">
        <f aca="false">IF(OR($E26="",$H26="",$E26=0),"",($H26-$E26)/$E26)</f>
        <v>0.279069767441861</v>
      </c>
      <c r="M26" s="205" t="n">
        <f aca="false">IFERROR(LOOKUP(2,1/((tblCompras[Produto]=$B26)*(tblCompras[Unid.]=$C26)*(tblCompras[Data]=_xlfn.MAXIFS(tblCompras[Data],tblCompras[Produto],$B26,tblCompras[Unid.],$C26))),tblCompras[Preço Unit.]),"")</f>
        <v>1.29</v>
      </c>
      <c r="N26" s="213" t="str">
        <f aca="false">IFERROR(LOOKUP(2,1/((tblCompras[Produto]=$B26)*(tblCompras[Unid.]=$C26)*(tblCompras[Data]=_xlfn.MAXIFS(tblCompras[Data],tblCompras[Produto],$B26,tblCompras[Unid.],$C26))),tblCompras[Mercado])&amp;" · "&amp;TEXT(DAY(_xlfn.MAXIFS(tblCompras[Data],tblCompras[Produto],$B26,tblCompras[Unid.],$C26)),"00")&amp;"/"&amp;TEXT(MONTH(_xlfn.MAXIFS(tblCompras[Data],tblCompras[Produto],$B26,tblCompras[Unid.],$C26)),"00")&amp;"/"&amp;TEXT(MOD(YEAR(_xlfn.MAXIFS(tblCompras[Data],tblCompras[Produto],$B26,tblCompras[Unid.],$C26)),100),"00"),"")</f>
        <v>Supermercados Nori · 09/08/26</v>
      </c>
      <c r="O26" s="1"/>
      <c r="P26" s="1" t="n">
        <f aca="false">IF(AND(ISNUMBER($K26),$K26&gt;0,OR($B$6="Todas",$D26=$B$6)),$K26+ROW()/100000,"")</f>
        <v>0.36026</v>
      </c>
      <c r="Q26" s="1"/>
      <c r="R26" s="1"/>
      <c r="S26" s="1"/>
      <c r="T26" s="1"/>
    </row>
    <row r="27" customFormat="false" ht="15" hidden="false" customHeight="false" outlineLevel="0" collapsed="false">
      <c r="A27" s="1"/>
      <c r="B27" s="197" t="s">
        <v>310</v>
      </c>
      <c r="C27" s="209" t="s">
        <v>311</v>
      </c>
      <c r="D27" s="197" t="s">
        <v>16</v>
      </c>
      <c r="E27" s="200" t="n">
        <f aca="false">IFERROR(_xlfn.MINIFS(tblCompras[Preço Unit.],tblCompras[Produto],$B27,tblCompras[Unid.],$C27),"")</f>
        <v>2.5</v>
      </c>
      <c r="F27" s="209" t="str">
        <f aca="false">IFERROR(LOOKUP(2,1/((tblCompras[Produto]=$B27)*(tblCompras[Unid.]=$C27)*(tblCompras[Preço Unit.]=$E27)),tblCompras[Mercado]),"")</f>
        <v>Real Atacamix</v>
      </c>
      <c r="G27" s="210" t="n">
        <f aca="false">IFERROR(LOOKUP(2,1/((tblCompras[Produto]=$B27)*(tblCompras[Unid.]=$C27)*(tblCompras[Preço Unit.]=$E27)),tblCompras[Data]),"")</f>
        <v>46152</v>
      </c>
      <c r="H27" s="200" t="n">
        <f aca="false">IFERROR(_xlfn.MAXIFS(tblCompras[Preço Unit.],tblCompras[Produto],$B27,tblCompras[Unid.],$C27),"")</f>
        <v>2.5</v>
      </c>
      <c r="I27" s="209" t="str">
        <f aca="false">IFERROR(LOOKUP(2,1/((tblCompras[Produto]=$B27)*(tblCompras[Unid.]=$C27)*(tblCompras[Preço Unit.]=$H27)),tblCompras[Mercado]),"")</f>
        <v>Real Atacamix</v>
      </c>
      <c r="J27" s="210" t="n">
        <f aca="false">IFERROR(LOOKUP(2,1/((tblCompras[Produto]=$B27)*(tblCompras[Unid.]=$C27)*(tblCompras[Preço Unit.]=$H27)),tblCompras[Data]),"")</f>
        <v>46152</v>
      </c>
      <c r="K27" s="211" t="n">
        <f aca="false">IF(OR($E27="",$H27=""),"",MAX(0,$H27-$E27))</f>
        <v>0</v>
      </c>
      <c r="L27" s="212" t="n">
        <f aca="false">IF(OR($E27="",$H27="",$E27=0),"",($H27-$E27)/$E27)</f>
        <v>0</v>
      </c>
      <c r="M27" s="200" t="n">
        <f aca="false">IFERROR(LOOKUP(2,1/((tblCompras[Produto]=$B27)*(tblCompras[Unid.]=$C27)*(tblCompras[Data]=_xlfn.MAXIFS(tblCompras[Data],tblCompras[Produto],$B27,tblCompras[Unid.],$C27))),tblCompras[Preço Unit.]),"")</f>
        <v>2.5</v>
      </c>
      <c r="N27" s="209" t="str">
        <f aca="false">IFERROR(LOOKUP(2,1/((tblCompras[Produto]=$B27)*(tblCompras[Unid.]=$C27)*(tblCompras[Data]=_xlfn.MAXIFS(tblCompras[Data],tblCompras[Produto],$B27,tblCompras[Unid.],$C27))),tblCompras[Mercado])&amp;" · "&amp;TEXT(DAY(_xlfn.MAXIFS(tblCompras[Data],tblCompras[Produto],$B27,tblCompras[Unid.],$C27)),"00")&amp;"/"&amp;TEXT(MONTH(_xlfn.MAXIFS(tblCompras[Data],tblCompras[Produto],$B27,tblCompras[Unid.],$C27)),"00")&amp;"/"&amp;TEXT(MOD(YEAR(_xlfn.MAXIFS(tblCompras[Data],tblCompras[Produto],$B27,tblCompras[Unid.],$C27)),100),"00"),"")</f>
        <v>Real Atacamix · 10/05/26</v>
      </c>
      <c r="O27" s="1"/>
      <c r="P27" s="1" t="str">
        <f aca="false">IF(AND(ISNUMBER($K27),$K27&gt;0,OR($B$6="Todas",$D27=$B$6)),$K27+ROW()/100000,"")</f>
        <v/>
      </c>
      <c r="Q27" s="1"/>
      <c r="R27" s="1"/>
      <c r="S27" s="1"/>
      <c r="T27" s="1"/>
    </row>
    <row r="28" customFormat="false" ht="15" hidden="false" customHeight="false" outlineLevel="0" collapsed="false">
      <c r="A28" s="1"/>
      <c r="B28" s="202" t="s">
        <v>457</v>
      </c>
      <c r="C28" s="213" t="s">
        <v>179</v>
      </c>
      <c r="D28" s="202" t="s">
        <v>16</v>
      </c>
      <c r="E28" s="205" t="n">
        <f aca="false">IFERROR(_xlfn.MINIFS(tblCompras[Preço Unit.],tblCompras[Produto],$B28,tblCompras[Unid.],$C28),"")</f>
        <v>4.99</v>
      </c>
      <c r="F28" s="213" t="str">
        <f aca="false">IFERROR(LOOKUP(2,1/((tblCompras[Produto]=$B28)*(tblCompras[Unid.]=$C28)*(tblCompras[Preço Unit.]=$E28)),tblCompras[Mercado]),"")</f>
        <v>Supermercado Canesin</v>
      </c>
      <c r="G28" s="214" t="n">
        <f aca="false">IFERROR(LOOKUP(2,1/((tblCompras[Produto]=$B28)*(tblCompras[Unid.]=$C28)*(tblCompras[Preço Unit.]=$E28)),tblCompras[Data]),"")</f>
        <v>46161</v>
      </c>
      <c r="H28" s="205" t="n">
        <f aca="false">IFERROR(_xlfn.MAXIFS(tblCompras[Preço Unit.],tblCompras[Produto],$B28,tblCompras[Unid.],$C28),"")</f>
        <v>4.99</v>
      </c>
      <c r="I28" s="213" t="str">
        <f aca="false">IFERROR(LOOKUP(2,1/((tblCompras[Produto]=$B28)*(tblCompras[Unid.]=$C28)*(tblCompras[Preço Unit.]=$H28)),tblCompras[Mercado]),"")</f>
        <v>Supermercado Canesin</v>
      </c>
      <c r="J28" s="214" t="n">
        <f aca="false">IFERROR(LOOKUP(2,1/((tblCompras[Produto]=$B28)*(tblCompras[Unid.]=$C28)*(tblCompras[Preço Unit.]=$H28)),tblCompras[Data]),"")</f>
        <v>46161</v>
      </c>
      <c r="K28" s="215" t="n">
        <f aca="false">IF(OR($E28="",$H28=""),"",MAX(0,$H28-$E28))</f>
        <v>0</v>
      </c>
      <c r="L28" s="216" t="n">
        <f aca="false">IF(OR($E28="",$H28="",$E28=0),"",($H28-$E28)/$E28)</f>
        <v>0</v>
      </c>
      <c r="M28" s="205" t="n">
        <f aca="false">IFERROR(LOOKUP(2,1/((tblCompras[Produto]=$B28)*(tblCompras[Unid.]=$C28)*(tblCompras[Data]=_xlfn.MAXIFS(tblCompras[Data],tblCompras[Produto],$B28,tblCompras[Unid.],$C28))),tblCompras[Preço Unit.]),"")</f>
        <v>4.99</v>
      </c>
      <c r="N28" s="213" t="str">
        <f aca="false">IFERROR(LOOKUP(2,1/((tblCompras[Produto]=$B28)*(tblCompras[Unid.]=$C28)*(tblCompras[Data]=_xlfn.MAXIFS(tblCompras[Data],tblCompras[Produto],$B28,tblCompras[Unid.],$C28))),tblCompras[Mercado])&amp;" · "&amp;TEXT(DAY(_xlfn.MAXIFS(tblCompras[Data],tblCompras[Produto],$B28,tblCompras[Unid.],$C28)),"00")&amp;"/"&amp;TEXT(MONTH(_xlfn.MAXIFS(tblCompras[Data],tblCompras[Produto],$B28,tblCompras[Unid.],$C28)),"00")&amp;"/"&amp;TEXT(MOD(YEAR(_xlfn.MAXIFS(tblCompras[Data],tblCompras[Produto],$B28,tblCompras[Unid.],$C28)),100),"00"),"")</f>
        <v>Supermercado Canesin · 19/05/26</v>
      </c>
      <c r="O28" s="1"/>
      <c r="P28" s="1" t="str">
        <f aca="false">IF(AND(ISNUMBER($K28),$K28&gt;0,OR($B$6="Todas",$D28=$B$6)),$K28+ROW()/100000,"")</f>
        <v/>
      </c>
      <c r="Q28" s="1"/>
      <c r="R28" s="1"/>
      <c r="S28" s="1"/>
      <c r="T28" s="1"/>
    </row>
    <row r="29" customFormat="false" ht="15" hidden="false" customHeight="false" outlineLevel="0" collapsed="false">
      <c r="A29" s="1"/>
      <c r="B29" s="197" t="s">
        <v>506</v>
      </c>
      <c r="C29" s="209" t="s">
        <v>179</v>
      </c>
      <c r="D29" s="197" t="s">
        <v>16</v>
      </c>
      <c r="E29" s="200" t="n">
        <f aca="false">IFERROR(_xlfn.MINIFS(tblCompras[Preço Unit.],tblCompras[Produto],$B29,tblCompras[Unid.],$C29),"")</f>
        <v>6.99</v>
      </c>
      <c r="F29" s="209" t="str">
        <f aca="false">IFERROR(LOOKUP(2,1/((tblCompras[Produto]=$B29)*(tblCompras[Unid.]=$C29)*(tblCompras[Preço Unit.]=$E29)),tblCompras[Mercado]),"")</f>
        <v>Canesin</v>
      </c>
      <c r="G29" s="210" t="n">
        <f aca="false">IFERROR(LOOKUP(2,1/((tblCompras[Produto]=$B29)*(tblCompras[Unid.]=$C29)*(tblCompras[Preço Unit.]=$E29)),tblCompras[Data]),"")</f>
        <v>46169</v>
      </c>
      <c r="H29" s="200" t="n">
        <f aca="false">IFERROR(_xlfn.MAXIFS(tblCompras[Preço Unit.],tblCompras[Produto],$B29,tblCompras[Unid.],$C29),"")</f>
        <v>6.99</v>
      </c>
      <c r="I29" s="209" t="str">
        <f aca="false">IFERROR(LOOKUP(2,1/((tblCompras[Produto]=$B29)*(tblCompras[Unid.]=$C29)*(tblCompras[Preço Unit.]=$H29)),tblCompras[Mercado]),"")</f>
        <v>Canesin</v>
      </c>
      <c r="J29" s="210" t="n">
        <f aca="false">IFERROR(LOOKUP(2,1/((tblCompras[Produto]=$B29)*(tblCompras[Unid.]=$C29)*(tblCompras[Preço Unit.]=$H29)),tblCompras[Data]),"")</f>
        <v>46169</v>
      </c>
      <c r="K29" s="211" t="n">
        <f aca="false">IF(OR($E29="",$H29=""),"",MAX(0,$H29-$E29))</f>
        <v>0</v>
      </c>
      <c r="L29" s="212" t="n">
        <f aca="false">IF(OR($E29="",$H29="",$E29=0),"",($H29-$E29)/$E29)</f>
        <v>0</v>
      </c>
      <c r="M29" s="200" t="n">
        <f aca="false">IFERROR(LOOKUP(2,1/((tblCompras[Produto]=$B29)*(tblCompras[Unid.]=$C29)*(tblCompras[Data]=_xlfn.MAXIFS(tblCompras[Data],tblCompras[Produto],$B29,tblCompras[Unid.],$C29))),tblCompras[Preço Unit.]),"")</f>
        <v>6.99</v>
      </c>
      <c r="N29" s="209" t="str">
        <f aca="false">IFERROR(LOOKUP(2,1/((tblCompras[Produto]=$B29)*(tblCompras[Unid.]=$C29)*(tblCompras[Data]=_xlfn.MAXIFS(tblCompras[Data],tblCompras[Produto],$B29,tblCompras[Unid.],$C29))),tblCompras[Mercado])&amp;" · "&amp;TEXT(DAY(_xlfn.MAXIFS(tblCompras[Data],tblCompras[Produto],$B29,tblCompras[Unid.],$C29)),"00")&amp;"/"&amp;TEXT(MONTH(_xlfn.MAXIFS(tblCompras[Data],tblCompras[Produto],$B29,tblCompras[Unid.],$C29)),"00")&amp;"/"&amp;TEXT(MOD(YEAR(_xlfn.MAXIFS(tblCompras[Data],tblCompras[Produto],$B29,tblCompras[Unid.],$C29)),100),"00"),"")</f>
        <v>Canesin · 27/05/26</v>
      </c>
      <c r="O29" s="1"/>
      <c r="P29" s="1" t="str">
        <f aca="false">IF(AND(ISNUMBER($K29),$K29&gt;0,OR($B$6="Todas",$D29=$B$6)),$K29+ROW()/100000,"")</f>
        <v/>
      </c>
      <c r="Q29" s="1"/>
      <c r="R29" s="1"/>
      <c r="S29" s="1"/>
      <c r="T29" s="1"/>
    </row>
    <row r="30" customFormat="false" ht="15" hidden="false" customHeight="false" outlineLevel="0" collapsed="false">
      <c r="A30" s="1"/>
      <c r="B30" s="202" t="s">
        <v>504</v>
      </c>
      <c r="C30" s="213" t="s">
        <v>179</v>
      </c>
      <c r="D30" s="202" t="s">
        <v>16</v>
      </c>
      <c r="E30" s="205" t="n">
        <f aca="false">IFERROR(_xlfn.MINIFS(tblCompras[Preço Unit.],tblCompras[Produto],$B30,tblCompras[Unid.],$C30),"")</f>
        <v>6.99</v>
      </c>
      <c r="F30" s="213" t="str">
        <f aca="false">IFERROR(LOOKUP(2,1/((tblCompras[Produto]=$B30)*(tblCompras[Unid.]=$C30)*(tblCompras[Preço Unit.]=$E30)),tblCompras[Mercado]),"")</f>
        <v>Canesin</v>
      </c>
      <c r="G30" s="214" t="n">
        <f aca="false">IFERROR(LOOKUP(2,1/((tblCompras[Produto]=$B30)*(tblCompras[Unid.]=$C30)*(tblCompras[Preço Unit.]=$E30)),tblCompras[Data]),"")</f>
        <v>46168</v>
      </c>
      <c r="H30" s="205" t="n">
        <f aca="false">IFERROR(_xlfn.MAXIFS(tblCompras[Preço Unit.],tblCompras[Produto],$B30,tblCompras[Unid.],$C30),"")</f>
        <v>6.99</v>
      </c>
      <c r="I30" s="213" t="str">
        <f aca="false">IFERROR(LOOKUP(2,1/((tblCompras[Produto]=$B30)*(tblCompras[Unid.]=$C30)*(tblCompras[Preço Unit.]=$H30)),tblCompras[Mercado]),"")</f>
        <v>Canesin</v>
      </c>
      <c r="J30" s="214" t="n">
        <f aca="false">IFERROR(LOOKUP(2,1/((tblCompras[Produto]=$B30)*(tblCompras[Unid.]=$C30)*(tblCompras[Preço Unit.]=$H30)),tblCompras[Data]),"")</f>
        <v>46168</v>
      </c>
      <c r="K30" s="215" t="n">
        <f aca="false">IF(OR($E30="",$H30=""),"",MAX(0,$H30-$E30))</f>
        <v>0</v>
      </c>
      <c r="L30" s="216" t="n">
        <f aca="false">IF(OR($E30="",$H30="",$E30=0),"",($H30-$E30)/$E30)</f>
        <v>0</v>
      </c>
      <c r="M30" s="205" t="n">
        <f aca="false">IFERROR(LOOKUP(2,1/((tblCompras[Produto]=$B30)*(tblCompras[Unid.]=$C30)*(tblCompras[Data]=_xlfn.MAXIFS(tblCompras[Data],tblCompras[Produto],$B30,tblCompras[Unid.],$C30))),tblCompras[Preço Unit.]),"")</f>
        <v>6.99</v>
      </c>
      <c r="N30" s="213" t="str">
        <f aca="false">IFERROR(LOOKUP(2,1/((tblCompras[Produto]=$B30)*(tblCompras[Unid.]=$C30)*(tblCompras[Data]=_xlfn.MAXIFS(tblCompras[Data],tblCompras[Produto],$B30,tblCompras[Unid.],$C30))),tblCompras[Mercado])&amp;" · "&amp;TEXT(DAY(_xlfn.MAXIFS(tblCompras[Data],tblCompras[Produto],$B30,tblCompras[Unid.],$C30)),"00")&amp;"/"&amp;TEXT(MONTH(_xlfn.MAXIFS(tblCompras[Data],tblCompras[Produto],$B30,tblCompras[Unid.],$C30)),"00")&amp;"/"&amp;TEXT(MOD(YEAR(_xlfn.MAXIFS(tblCompras[Data],tblCompras[Produto],$B30,tblCompras[Unid.],$C30)),100),"00"),"")</f>
        <v>Canesin · 26/05/26</v>
      </c>
      <c r="O30" s="1"/>
      <c r="P30" s="1" t="str">
        <f aca="false">IF(AND(ISNUMBER($K30),$K30&gt;0,OR($B$6="Todas",$D30=$B$6)),$K30+ROW()/100000,"")</f>
        <v/>
      </c>
      <c r="Q30" s="1"/>
      <c r="R30" s="1"/>
      <c r="S30" s="1"/>
      <c r="T30" s="1"/>
    </row>
    <row r="31" customFormat="false" ht="15" hidden="false" customHeight="false" outlineLevel="0" collapsed="false">
      <c r="A31" s="1"/>
      <c r="B31" s="197" t="s">
        <v>1045</v>
      </c>
      <c r="C31" s="209" t="s">
        <v>179</v>
      </c>
      <c r="D31" s="197" t="s">
        <v>16</v>
      </c>
      <c r="E31" s="200" t="n">
        <f aca="false">IFERROR(_xlfn.MINIFS(tblCompras[Preço Unit.],tblCompras[Produto],$B31,tblCompras[Unid.],$C31),"")</f>
        <v>10.2</v>
      </c>
      <c r="F31" s="209" t="str">
        <f aca="false">IFERROR(LOOKUP(2,1/((tblCompras[Produto]=$B31)*(tblCompras[Unid.]=$C31)*(tblCompras[Preço Unit.]=$E31)),tblCompras[Mercado]),"")</f>
        <v>Andre Supermercado</v>
      </c>
      <c r="G31" s="210" t="n">
        <f aca="false">IFERROR(LOOKUP(2,1/((tblCompras[Produto]=$B31)*(tblCompras[Unid.]=$C31)*(tblCompras[Preço Unit.]=$E31)),tblCompras[Data]),"")</f>
        <v>46152</v>
      </c>
      <c r="H31" s="200" t="n">
        <f aca="false">IFERROR(_xlfn.MAXIFS(tblCompras[Preço Unit.],tblCompras[Produto],$B31,tblCompras[Unid.],$C31),"")</f>
        <v>10.2</v>
      </c>
      <c r="I31" s="209" t="str">
        <f aca="false">IFERROR(LOOKUP(2,1/((tblCompras[Produto]=$B31)*(tblCompras[Unid.]=$C31)*(tblCompras[Preço Unit.]=$H31)),tblCompras[Mercado]),"")</f>
        <v>Andre Supermercado</v>
      </c>
      <c r="J31" s="210" t="n">
        <f aca="false">IFERROR(LOOKUP(2,1/((tblCompras[Produto]=$B31)*(tblCompras[Unid.]=$C31)*(tblCompras[Preço Unit.]=$H31)),tblCompras[Data]),"")</f>
        <v>46152</v>
      </c>
      <c r="K31" s="211" t="n">
        <f aca="false">IF(OR($E31="",$H31=""),"",MAX(0,$H31-$E31))</f>
        <v>0</v>
      </c>
      <c r="L31" s="212" t="n">
        <f aca="false">IF(OR($E31="",$H31="",$E31=0),"",($H31-$E31)/$E31)</f>
        <v>0</v>
      </c>
      <c r="M31" s="200" t="n">
        <f aca="false">IFERROR(LOOKUP(2,1/((tblCompras[Produto]=$B31)*(tblCompras[Unid.]=$C31)*(tblCompras[Data]=_xlfn.MAXIFS(tblCompras[Data],tblCompras[Produto],$B31,tblCompras[Unid.],$C31))),tblCompras[Preço Unit.]),"")</f>
        <v>10.2</v>
      </c>
      <c r="N31" s="209" t="str">
        <f aca="false">IFERROR(LOOKUP(2,1/((tblCompras[Produto]=$B31)*(tblCompras[Unid.]=$C31)*(tblCompras[Data]=_xlfn.MAXIFS(tblCompras[Data],tblCompras[Produto],$B31,tblCompras[Unid.],$C31))),tblCompras[Mercado])&amp;" · "&amp;TEXT(DAY(_xlfn.MAXIFS(tblCompras[Data],tblCompras[Produto],$B31,tblCompras[Unid.],$C31)),"00")&amp;"/"&amp;TEXT(MONTH(_xlfn.MAXIFS(tblCompras[Data],tblCompras[Produto],$B31,tblCompras[Unid.],$C31)),"00")&amp;"/"&amp;TEXT(MOD(YEAR(_xlfn.MAXIFS(tblCompras[Data],tblCompras[Produto],$B31,tblCompras[Unid.],$C31)),100),"00"),"")</f>
        <v>Andre Supermercado · 10/05/26</v>
      </c>
      <c r="O31" s="1"/>
      <c r="P31" s="1" t="str">
        <f aca="false">IF(AND(ISNUMBER($K31),$K31&gt;0,OR($B$6="Todas",$D31=$B$6)),$K31+ROW()/100000,"")</f>
        <v/>
      </c>
      <c r="Q31" s="1"/>
      <c r="R31" s="1"/>
      <c r="S31" s="1"/>
      <c r="T31" s="1"/>
    </row>
    <row r="32" customFormat="false" ht="15" hidden="false" customHeight="false" outlineLevel="0" collapsed="false">
      <c r="A32" s="1"/>
      <c r="B32" s="202" t="s">
        <v>468</v>
      </c>
      <c r="C32" s="213" t="s">
        <v>179</v>
      </c>
      <c r="D32" s="202" t="s">
        <v>16</v>
      </c>
      <c r="E32" s="205" t="n">
        <f aca="false">IFERROR(_xlfn.MINIFS(tblCompras[Preço Unit.],tblCompras[Produto],$B32,tblCompras[Unid.],$C32),"")</f>
        <v>6.4</v>
      </c>
      <c r="F32" s="213" t="str">
        <f aca="false">IFERROR(LOOKUP(2,1/((tblCompras[Produto]=$B32)*(tblCompras[Unid.]=$C32)*(tblCompras[Preço Unit.]=$E32)),tblCompras[Mercado]),"")</f>
        <v>Andre Eduardo Hipolito</v>
      </c>
      <c r="G32" s="214" t="n">
        <f aca="false">IFERROR(LOOKUP(2,1/((tblCompras[Produto]=$B32)*(tblCompras[Unid.]=$C32)*(tblCompras[Preço Unit.]=$E32)),tblCompras[Data]),"")</f>
        <v>46162</v>
      </c>
      <c r="H32" s="205" t="n">
        <f aca="false">IFERROR(_xlfn.MAXIFS(tblCompras[Preço Unit.],tblCompras[Produto],$B32,tblCompras[Unid.],$C32),"")</f>
        <v>6.4</v>
      </c>
      <c r="I32" s="213" t="str">
        <f aca="false">IFERROR(LOOKUP(2,1/((tblCompras[Produto]=$B32)*(tblCompras[Unid.]=$C32)*(tblCompras[Preço Unit.]=$H32)),tblCompras[Mercado]),"")</f>
        <v>Andre Eduardo Hipolito</v>
      </c>
      <c r="J32" s="214" t="n">
        <f aca="false">IFERROR(LOOKUP(2,1/((tblCompras[Produto]=$B32)*(tblCompras[Unid.]=$C32)*(tblCompras[Preço Unit.]=$H32)),tblCompras[Data]),"")</f>
        <v>46162</v>
      </c>
      <c r="K32" s="215" t="n">
        <f aca="false">IF(OR($E32="",$H32=""),"",MAX(0,$H32-$E32))</f>
        <v>0</v>
      </c>
      <c r="L32" s="216" t="n">
        <f aca="false">IF(OR($E32="",$H32="",$E32=0),"",($H32-$E32)/$E32)</f>
        <v>0</v>
      </c>
      <c r="M32" s="205" t="n">
        <f aca="false">IFERROR(LOOKUP(2,1/((tblCompras[Produto]=$B32)*(tblCompras[Unid.]=$C32)*(tblCompras[Data]=_xlfn.MAXIFS(tblCompras[Data],tblCompras[Produto],$B32,tblCompras[Unid.],$C32))),tblCompras[Preço Unit.]),"")</f>
        <v>6.4</v>
      </c>
      <c r="N32" s="213" t="str">
        <f aca="false">IFERROR(LOOKUP(2,1/((tblCompras[Produto]=$B32)*(tblCompras[Unid.]=$C32)*(tblCompras[Data]=_xlfn.MAXIFS(tblCompras[Data],tblCompras[Produto],$B32,tblCompras[Unid.],$C32))),tblCompras[Mercado])&amp;" · "&amp;TEXT(DAY(_xlfn.MAXIFS(tblCompras[Data],tblCompras[Produto],$B32,tblCompras[Unid.],$C32)),"00")&amp;"/"&amp;TEXT(MONTH(_xlfn.MAXIFS(tblCompras[Data],tblCompras[Produto],$B32,tblCompras[Unid.],$C32)),"00")&amp;"/"&amp;TEXT(MOD(YEAR(_xlfn.MAXIFS(tblCompras[Data],tblCompras[Produto],$B32,tblCompras[Unid.],$C32)),100),"00"),"")</f>
        <v>Andre Eduardo Hipolito · 20/05/26</v>
      </c>
      <c r="O32" s="1"/>
      <c r="P32" s="1" t="str">
        <f aca="false">IF(AND(ISNUMBER($K32),$K32&gt;0,OR($B$6="Todas",$D32=$B$6)),$K32+ROW()/100000,"")</f>
        <v/>
      </c>
      <c r="Q32" s="1"/>
      <c r="R32" s="1"/>
      <c r="S32" s="1"/>
      <c r="T32" s="1"/>
    </row>
    <row r="33" customFormat="false" ht="15" hidden="false" customHeight="false" outlineLevel="0" collapsed="false">
      <c r="A33" s="1"/>
      <c r="B33" s="197" t="s">
        <v>1102</v>
      </c>
      <c r="C33" s="209" t="s">
        <v>179</v>
      </c>
      <c r="D33" s="197" t="s">
        <v>16</v>
      </c>
      <c r="E33" s="200" t="n">
        <f aca="false">IFERROR(_xlfn.MINIFS(tblCompras[Preço Unit.],tblCompras[Produto],$B33,tblCompras[Unid.],$C33),"")</f>
        <v>16.4</v>
      </c>
      <c r="F33" s="209" t="str">
        <f aca="false">IFERROR(LOOKUP(2,1/((tblCompras[Produto]=$B33)*(tblCompras[Unid.]=$C33)*(tblCompras[Preço Unit.]=$E33)),tblCompras[Mercado]),"")</f>
        <v>Supermercados Nori</v>
      </c>
      <c r="G33" s="210" t="n">
        <f aca="false">IFERROR(LOOKUP(2,1/((tblCompras[Produto]=$B33)*(tblCompras[Unid.]=$C33)*(tblCompras[Preço Unit.]=$E33)),tblCompras[Data]),"")</f>
        <v>46157</v>
      </c>
      <c r="H33" s="200" t="n">
        <f aca="false">IFERROR(_xlfn.MAXIFS(tblCompras[Preço Unit.],tblCompras[Produto],$B33,tblCompras[Unid.],$C33),"")</f>
        <v>16.4</v>
      </c>
      <c r="I33" s="209" t="str">
        <f aca="false">IFERROR(LOOKUP(2,1/((tblCompras[Produto]=$B33)*(tblCompras[Unid.]=$C33)*(tblCompras[Preço Unit.]=$H33)),tblCompras[Mercado]),"")</f>
        <v>Supermercados Nori</v>
      </c>
      <c r="J33" s="210" t="n">
        <f aca="false">IFERROR(LOOKUP(2,1/((tblCompras[Produto]=$B33)*(tblCompras[Unid.]=$C33)*(tblCompras[Preço Unit.]=$H33)),tblCompras[Data]),"")</f>
        <v>46157</v>
      </c>
      <c r="K33" s="211" t="n">
        <f aca="false">IF(OR($E33="",$H33=""),"",MAX(0,$H33-$E33))</f>
        <v>0</v>
      </c>
      <c r="L33" s="212" t="n">
        <f aca="false">IF(OR($E33="",$H33="",$E33=0),"",($H33-$E33)/$E33)</f>
        <v>0</v>
      </c>
      <c r="M33" s="200" t="n">
        <f aca="false">IFERROR(LOOKUP(2,1/((tblCompras[Produto]=$B33)*(tblCompras[Unid.]=$C33)*(tblCompras[Data]=_xlfn.MAXIFS(tblCompras[Data],tblCompras[Produto],$B33,tblCompras[Unid.],$C33))),tblCompras[Preço Unit.]),"")</f>
        <v>16.4</v>
      </c>
      <c r="N33" s="209" t="str">
        <f aca="false">IFERROR(LOOKUP(2,1/((tblCompras[Produto]=$B33)*(tblCompras[Unid.]=$C33)*(tblCompras[Data]=_xlfn.MAXIFS(tblCompras[Data],tblCompras[Produto],$B33,tblCompras[Unid.],$C33))),tblCompras[Mercado])&amp;" · "&amp;TEXT(DAY(_xlfn.MAXIFS(tblCompras[Data],tblCompras[Produto],$B33,tblCompras[Unid.],$C33)),"00")&amp;"/"&amp;TEXT(MONTH(_xlfn.MAXIFS(tblCompras[Data],tblCompras[Produto],$B33,tblCompras[Unid.],$C33)),"00")&amp;"/"&amp;TEXT(MOD(YEAR(_xlfn.MAXIFS(tblCompras[Data],tblCompras[Produto],$B33,tblCompras[Unid.],$C33)),100),"00"),"")</f>
        <v>Supermercados Nori · 15/05/26</v>
      </c>
      <c r="O33" s="1"/>
      <c r="P33" s="1" t="str">
        <f aca="false">IF(AND(ISNUMBER($K33),$K33&gt;0,OR($B$6="Todas",$D33=$B$6)),$K33+ROW()/100000,"")</f>
        <v/>
      </c>
      <c r="Q33" s="1"/>
      <c r="R33" s="1"/>
      <c r="S33" s="1"/>
      <c r="T33" s="1"/>
    </row>
    <row r="34" customFormat="false" ht="15" hidden="false" customHeight="false" outlineLevel="0" collapsed="false">
      <c r="A34" s="1"/>
      <c r="B34" s="202" t="s">
        <v>1137</v>
      </c>
      <c r="C34" s="213" t="s">
        <v>179</v>
      </c>
      <c r="D34" s="202" t="s">
        <v>16</v>
      </c>
      <c r="E34" s="205" t="n">
        <f aca="false">IFERROR(_xlfn.MINIFS(tblCompras[Preço Unit.],tblCompras[Produto],$B34,tblCompras[Unid.],$C34),"")</f>
        <v>18.9</v>
      </c>
      <c r="F34" s="213" t="str">
        <f aca="false">IFERROR(LOOKUP(2,1/((tblCompras[Produto]=$B34)*(tblCompras[Unid.]=$C34)*(tblCompras[Preço Unit.]=$E34)),tblCompras[Mercado]),"")</f>
        <v>Supermercados Nori</v>
      </c>
      <c r="G34" s="214" t="n">
        <f aca="false">IFERROR(LOOKUP(2,1/((tblCompras[Produto]=$B34)*(tblCompras[Unid.]=$C34)*(tblCompras[Preço Unit.]=$E34)),tblCompras[Data]),"")</f>
        <v>46146</v>
      </c>
      <c r="H34" s="205" t="n">
        <f aca="false">IFERROR(_xlfn.MAXIFS(tblCompras[Preço Unit.],tblCompras[Produto],$B34,tblCompras[Unid.],$C34),"")</f>
        <v>18.9</v>
      </c>
      <c r="I34" s="213" t="str">
        <f aca="false">IFERROR(LOOKUP(2,1/((tblCompras[Produto]=$B34)*(tblCompras[Unid.]=$C34)*(tblCompras[Preço Unit.]=$H34)),tblCompras[Mercado]),"")</f>
        <v>Supermercados Nori</v>
      </c>
      <c r="J34" s="214" t="n">
        <f aca="false">IFERROR(LOOKUP(2,1/((tblCompras[Produto]=$B34)*(tblCompras[Unid.]=$C34)*(tblCompras[Preço Unit.]=$H34)),tblCompras[Data]),"")</f>
        <v>46146</v>
      </c>
      <c r="K34" s="215" t="n">
        <f aca="false">IF(OR($E34="",$H34=""),"",MAX(0,$H34-$E34))</f>
        <v>0</v>
      </c>
      <c r="L34" s="216" t="n">
        <f aca="false">IF(OR($E34="",$H34="",$E34=0),"",($H34-$E34)/$E34)</f>
        <v>0</v>
      </c>
      <c r="M34" s="205" t="n">
        <f aca="false">IFERROR(LOOKUP(2,1/((tblCompras[Produto]=$B34)*(tblCompras[Unid.]=$C34)*(tblCompras[Data]=_xlfn.MAXIFS(tblCompras[Data],tblCompras[Produto],$B34,tblCompras[Unid.],$C34))),tblCompras[Preço Unit.]),"")</f>
        <v>18.9</v>
      </c>
      <c r="N34" s="213" t="str">
        <f aca="false">IFERROR(LOOKUP(2,1/((tblCompras[Produto]=$B34)*(tblCompras[Unid.]=$C34)*(tblCompras[Data]=_xlfn.MAXIFS(tblCompras[Data],tblCompras[Produto],$B34,tblCompras[Unid.],$C34))),tblCompras[Mercado])&amp;" · "&amp;TEXT(DAY(_xlfn.MAXIFS(tblCompras[Data],tblCompras[Produto],$B34,tblCompras[Unid.],$C34)),"00")&amp;"/"&amp;TEXT(MONTH(_xlfn.MAXIFS(tblCompras[Data],tblCompras[Produto],$B34,tblCompras[Unid.],$C34)),"00")&amp;"/"&amp;TEXT(MOD(YEAR(_xlfn.MAXIFS(tblCompras[Data],tblCompras[Produto],$B34,tblCompras[Unid.],$C34)),100),"00"),"")</f>
        <v>Supermercados Nori · 24/05/26</v>
      </c>
      <c r="O34" s="1"/>
      <c r="P34" s="1" t="str">
        <f aca="false">IF(AND(ISNUMBER($K34),$K34&gt;0,OR($B$6="Todas",$D34=$B$6)),$K34+ROW()/100000,"")</f>
        <v/>
      </c>
      <c r="Q34" s="1"/>
      <c r="R34" s="1"/>
      <c r="S34" s="1"/>
      <c r="T34" s="1"/>
    </row>
    <row r="35" customFormat="false" ht="15" hidden="false" customHeight="false" outlineLevel="0" collapsed="false">
      <c r="A35" s="1"/>
      <c r="B35" s="197" t="s">
        <v>217</v>
      </c>
      <c r="C35" s="209" t="s">
        <v>179</v>
      </c>
      <c r="D35" s="197" t="s">
        <v>16</v>
      </c>
      <c r="E35" s="200" t="n">
        <f aca="false">IFERROR(_xlfn.MINIFS(tblCompras[Preço Unit.],tblCompras[Produto],$B35,tblCompras[Unid.],$C35),"")</f>
        <v>18.9</v>
      </c>
      <c r="F35" s="209" t="str">
        <f aca="false">IFERROR(LOOKUP(2,1/((tblCompras[Produto]=$B35)*(tblCompras[Unid.]=$C35)*(tblCompras[Preço Unit.]=$E35)),tblCompras[Mercado]),"")</f>
        <v>Supermercados Nori</v>
      </c>
      <c r="G35" s="210" t="n">
        <f aca="false">IFERROR(LOOKUP(2,1/((tblCompras[Produto]=$B35)*(tblCompras[Unid.]=$C35)*(tblCompras[Preço Unit.]=$E35)),tblCompras[Data]),"")</f>
        <v>46146</v>
      </c>
      <c r="H35" s="200" t="n">
        <f aca="false">IFERROR(_xlfn.MAXIFS(tblCompras[Preço Unit.],tblCompras[Produto],$B35,tblCompras[Unid.],$C35),"")</f>
        <v>18.9</v>
      </c>
      <c r="I35" s="209" t="str">
        <f aca="false">IFERROR(LOOKUP(2,1/((tblCompras[Produto]=$B35)*(tblCompras[Unid.]=$C35)*(tblCompras[Preço Unit.]=$H35)),tblCompras[Mercado]),"")</f>
        <v>Supermercados Nori</v>
      </c>
      <c r="J35" s="210" t="n">
        <f aca="false">IFERROR(LOOKUP(2,1/((tblCompras[Produto]=$B35)*(tblCompras[Unid.]=$C35)*(tblCompras[Preço Unit.]=$H35)),tblCompras[Data]),"")</f>
        <v>46146</v>
      </c>
      <c r="K35" s="211" t="n">
        <f aca="false">IF(OR($E35="",$H35=""),"",MAX(0,$H35-$E35))</f>
        <v>0</v>
      </c>
      <c r="L35" s="212" t="n">
        <f aca="false">IF(OR($E35="",$H35="",$E35=0),"",($H35-$E35)/$E35)</f>
        <v>0</v>
      </c>
      <c r="M35" s="200" t="n">
        <f aca="false">IFERROR(LOOKUP(2,1/((tblCompras[Produto]=$B35)*(tblCompras[Unid.]=$C35)*(tblCompras[Data]=_xlfn.MAXIFS(tblCompras[Data],tblCompras[Produto],$B35,tblCompras[Unid.],$C35))),tblCompras[Preço Unit.]),"")</f>
        <v>18.9</v>
      </c>
      <c r="N35" s="209" t="str">
        <f aca="false">IFERROR(LOOKUP(2,1/((tblCompras[Produto]=$B35)*(tblCompras[Unid.]=$C35)*(tblCompras[Data]=_xlfn.MAXIFS(tblCompras[Data],tblCompras[Produto],$B35,tblCompras[Unid.],$C35))),tblCompras[Mercado])&amp;" · "&amp;TEXT(DAY(_xlfn.MAXIFS(tblCompras[Data],tblCompras[Produto],$B35,tblCompras[Unid.],$C35)),"00")&amp;"/"&amp;TEXT(MONTH(_xlfn.MAXIFS(tblCompras[Data],tblCompras[Produto],$B35,tblCompras[Unid.],$C35)),"00")&amp;"/"&amp;TEXT(MOD(YEAR(_xlfn.MAXIFS(tblCompras[Data],tblCompras[Produto],$B35,tblCompras[Unid.],$C35)),100),"00"),"")</f>
        <v>Supermercados Nori · 24/05/26</v>
      </c>
      <c r="O35" s="1"/>
      <c r="P35" s="1" t="str">
        <f aca="false">IF(AND(ISNUMBER($K35),$K35&gt;0,OR($B$6="Todas",$D35=$B$6)),$K35+ROW()/100000,"")</f>
        <v/>
      </c>
      <c r="Q35" s="1"/>
      <c r="R35" s="1"/>
      <c r="S35" s="1"/>
      <c r="T35" s="1"/>
    </row>
    <row r="36" customFormat="false" ht="15" hidden="false" customHeight="false" outlineLevel="0" collapsed="false">
      <c r="A36" s="1"/>
      <c r="B36" s="202" t="s">
        <v>185</v>
      </c>
      <c r="C36" s="213" t="s">
        <v>179</v>
      </c>
      <c r="D36" s="202" t="s">
        <v>23</v>
      </c>
      <c r="E36" s="205" t="n">
        <f aca="false">IFERROR(_xlfn.MINIFS(tblCompras[Preço Unit.],tblCompras[Produto],$B36,tblCompras[Unid.],$C36),"")</f>
        <v>27</v>
      </c>
      <c r="F36" s="213" t="str">
        <f aca="false">IFERROR(LOOKUP(2,1/((tblCompras[Produto]=$B36)*(tblCompras[Unid.]=$C36)*(tblCompras[Preço Unit.]=$E36)),tblCompras[Mercado]),"")</f>
        <v>Supermercados Nori</v>
      </c>
      <c r="G36" s="214" t="n">
        <f aca="false">IFERROR(LOOKUP(2,1/((tblCompras[Produto]=$B36)*(tblCompras[Unid.]=$C36)*(tblCompras[Preço Unit.]=$E36)),tblCompras[Data]),"")</f>
        <v>46146</v>
      </c>
      <c r="H36" s="205" t="n">
        <f aca="false">IFERROR(_xlfn.MAXIFS(tblCompras[Preço Unit.],tblCompras[Produto],$B36,tblCompras[Unid.],$C36),"")</f>
        <v>27</v>
      </c>
      <c r="I36" s="213" t="str">
        <f aca="false">IFERROR(LOOKUP(2,1/((tblCompras[Produto]=$B36)*(tblCompras[Unid.]=$C36)*(tblCompras[Preço Unit.]=$H36)),tblCompras[Mercado]),"")</f>
        <v>Supermercados Nori</v>
      </c>
      <c r="J36" s="214" t="n">
        <f aca="false">IFERROR(LOOKUP(2,1/((tblCompras[Produto]=$B36)*(tblCompras[Unid.]=$C36)*(tblCompras[Preço Unit.]=$H36)),tblCompras[Data]),"")</f>
        <v>46146</v>
      </c>
      <c r="K36" s="215" t="n">
        <f aca="false">IF(OR($E36="",$H36=""),"",MAX(0,$H36-$E36))</f>
        <v>0</v>
      </c>
      <c r="L36" s="216" t="n">
        <f aca="false">IF(OR($E36="",$H36="",$E36=0),"",($H36-$E36)/$E36)</f>
        <v>0</v>
      </c>
      <c r="M36" s="205" t="n">
        <f aca="false">IFERROR(LOOKUP(2,1/((tblCompras[Produto]=$B36)*(tblCompras[Unid.]=$C36)*(tblCompras[Data]=_xlfn.MAXIFS(tblCompras[Data],tblCompras[Produto],$B36,tblCompras[Unid.],$C36))),tblCompras[Preço Unit.]),"")</f>
        <v>27</v>
      </c>
      <c r="N36" s="213" t="str">
        <f aca="false">IFERROR(LOOKUP(2,1/((tblCompras[Produto]=$B36)*(tblCompras[Unid.]=$C36)*(tblCompras[Data]=_xlfn.MAXIFS(tblCompras[Data],tblCompras[Produto],$B36,tblCompras[Unid.],$C36))),tblCompras[Mercado])&amp;" · "&amp;TEXT(DAY(_xlfn.MAXIFS(tblCompras[Data],tblCompras[Produto],$B36,tblCompras[Unid.],$C36)),"00")&amp;"/"&amp;TEXT(MONTH(_xlfn.MAXIFS(tblCompras[Data],tblCompras[Produto],$B36,tblCompras[Unid.],$C36)),"00")&amp;"/"&amp;TEXT(MOD(YEAR(_xlfn.MAXIFS(tblCompras[Data],tblCompras[Produto],$B36,tblCompras[Unid.],$C36)),100),"00"),"")</f>
        <v>Supermercados Nori · 04/05/26</v>
      </c>
      <c r="O36" s="1"/>
      <c r="P36" s="1" t="str">
        <f aca="false">IF(AND(ISNUMBER($K36),$K36&gt;0,OR($B$6="Todas",$D36=$B$6)),$K36+ROW()/100000,"")</f>
        <v/>
      </c>
      <c r="Q36" s="1"/>
      <c r="R36" s="1"/>
      <c r="S36" s="1"/>
      <c r="T36" s="1"/>
    </row>
    <row r="37" customFormat="false" ht="15" hidden="false" customHeight="false" outlineLevel="0" collapsed="false">
      <c r="A37" s="1"/>
      <c r="B37" s="197" t="s">
        <v>205</v>
      </c>
      <c r="C37" s="209" t="s">
        <v>179</v>
      </c>
      <c r="D37" s="197" t="s">
        <v>23</v>
      </c>
      <c r="E37" s="200" t="n">
        <f aca="false">IFERROR(_xlfn.MINIFS(tblCompras[Preço Unit.],tblCompras[Produto],$B37,tblCompras[Unid.],$C37),"")</f>
        <v>7.6</v>
      </c>
      <c r="F37" s="209" t="str">
        <f aca="false">IFERROR(LOOKUP(2,1/((tblCompras[Produto]=$B37)*(tblCompras[Unid.]=$C37)*(tblCompras[Preço Unit.]=$E37)),tblCompras[Mercado]),"")</f>
        <v>Supermercados Nori</v>
      </c>
      <c r="G37" s="210" t="n">
        <f aca="false">IFERROR(LOOKUP(2,1/((tblCompras[Produto]=$B37)*(tblCompras[Unid.]=$C37)*(tblCompras[Preço Unit.]=$E37)),tblCompras[Data]),"")</f>
        <v>46146</v>
      </c>
      <c r="H37" s="200" t="n">
        <f aca="false">IFERROR(_xlfn.MAXIFS(tblCompras[Preço Unit.],tblCompras[Produto],$B37,tblCompras[Unid.],$C37),"")</f>
        <v>7.6</v>
      </c>
      <c r="I37" s="209" t="str">
        <f aca="false">IFERROR(LOOKUP(2,1/((tblCompras[Produto]=$B37)*(tblCompras[Unid.]=$C37)*(tblCompras[Preço Unit.]=$H37)),tblCompras[Mercado]),"")</f>
        <v>Supermercados Nori</v>
      </c>
      <c r="J37" s="210" t="n">
        <f aca="false">IFERROR(LOOKUP(2,1/((tblCompras[Produto]=$B37)*(tblCompras[Unid.]=$C37)*(tblCompras[Preço Unit.]=$H37)),tblCompras[Data]),"")</f>
        <v>46146</v>
      </c>
      <c r="K37" s="211" t="n">
        <f aca="false">IF(OR($E37="",$H37=""),"",MAX(0,$H37-$E37))</f>
        <v>0</v>
      </c>
      <c r="L37" s="212" t="n">
        <f aca="false">IF(OR($E37="",$H37="",$E37=0),"",($H37-$E37)/$E37)</f>
        <v>0</v>
      </c>
      <c r="M37" s="200" t="n">
        <f aca="false">IFERROR(LOOKUP(2,1/((tblCompras[Produto]=$B37)*(tblCompras[Unid.]=$C37)*(tblCompras[Data]=_xlfn.MAXIFS(tblCompras[Data],tblCompras[Produto],$B37,tblCompras[Unid.],$C37))),tblCompras[Preço Unit.]),"")</f>
        <v>7.6</v>
      </c>
      <c r="N37" s="209" t="str">
        <f aca="false">IFERROR(LOOKUP(2,1/((tblCompras[Produto]=$B37)*(tblCompras[Unid.]=$C37)*(tblCompras[Data]=_xlfn.MAXIFS(tblCompras[Data],tblCompras[Produto],$B37,tblCompras[Unid.],$C37))),tblCompras[Mercado])&amp;" · "&amp;TEXT(DAY(_xlfn.MAXIFS(tblCompras[Data],tblCompras[Produto],$B37,tblCompras[Unid.],$C37)),"00")&amp;"/"&amp;TEXT(MONTH(_xlfn.MAXIFS(tblCompras[Data],tblCompras[Produto],$B37,tblCompras[Unid.],$C37)),"00")&amp;"/"&amp;TEXT(MOD(YEAR(_xlfn.MAXIFS(tblCompras[Data],tblCompras[Produto],$B37,tblCompras[Unid.],$C37)),100),"00"),"")</f>
        <v>Supermercados Nori · 04/05/26</v>
      </c>
      <c r="O37" s="1"/>
      <c r="P37" s="1" t="str">
        <f aca="false">IF(AND(ISNUMBER($K37),$K37&gt;0,OR($B$6="Todas",$D37=$B$6)),$K37+ROW()/100000,"")</f>
        <v/>
      </c>
      <c r="Q37" s="1"/>
      <c r="R37" s="1"/>
      <c r="S37" s="1"/>
      <c r="T37" s="1"/>
    </row>
    <row r="38" customFormat="false" ht="15" hidden="false" customHeight="false" outlineLevel="0" collapsed="false">
      <c r="A38" s="1"/>
      <c r="B38" s="202" t="s">
        <v>296</v>
      </c>
      <c r="C38" s="213" t="s">
        <v>176</v>
      </c>
      <c r="D38" s="202" t="s">
        <v>17</v>
      </c>
      <c r="E38" s="205" t="n">
        <f aca="false">IFERROR(_xlfn.MINIFS(tblCompras[Preço Unit.],tblCompras[Produto],$B38,tblCompras[Unid.],$C38),"")</f>
        <v>32.9038461538462</v>
      </c>
      <c r="F38" s="213" t="str">
        <f aca="false">IFERROR(LOOKUP(2,1/((tblCompras[Produto]=$B38)*(tblCompras[Unid.]=$C38)*(tblCompras[Preço Unit.]=$E38)),tblCompras[Mercado]),"")</f>
        <v>Casa de Carnes Barao da Carne</v>
      </c>
      <c r="G38" s="214" t="n">
        <f aca="false">IFERROR(LOOKUP(2,1/((tblCompras[Produto]=$B38)*(tblCompras[Unid.]=$C38)*(tblCompras[Preço Unit.]=$E38)),tblCompras[Data]),"")</f>
        <v>46152</v>
      </c>
      <c r="H38" s="205" t="n">
        <f aca="false">IFERROR(_xlfn.MAXIFS(tblCompras[Preço Unit.],tblCompras[Produto],$B38,tblCompras[Unid.],$C38),"")</f>
        <v>32.9038461538462</v>
      </c>
      <c r="I38" s="213" t="str">
        <f aca="false">IFERROR(LOOKUP(2,1/((tblCompras[Produto]=$B38)*(tblCompras[Unid.]=$C38)*(tblCompras[Preço Unit.]=$H38)),tblCompras[Mercado]),"")</f>
        <v>Casa de Carnes Barao da Carne</v>
      </c>
      <c r="J38" s="214" t="n">
        <f aca="false">IFERROR(LOOKUP(2,1/((tblCompras[Produto]=$B38)*(tblCompras[Unid.]=$C38)*(tblCompras[Preço Unit.]=$H38)),tblCompras[Data]),"")</f>
        <v>46152</v>
      </c>
      <c r="K38" s="215" t="n">
        <f aca="false">IF(OR($E38="",$H38=""),"",MAX(0,$H38-$E38))</f>
        <v>0</v>
      </c>
      <c r="L38" s="216" t="n">
        <f aca="false">IF(OR($E38="",$H38="",$E38=0),"",($H38-$E38)/$E38)</f>
        <v>0</v>
      </c>
      <c r="M38" s="205" t="n">
        <f aca="false">IFERROR(LOOKUP(2,1/((tblCompras[Produto]=$B38)*(tblCompras[Unid.]=$C38)*(tblCompras[Data]=_xlfn.MAXIFS(tblCompras[Data],tblCompras[Produto],$B38,tblCompras[Unid.],$C38))),tblCompras[Preço Unit.]),"")</f>
        <v>32.9038461538462</v>
      </c>
      <c r="N38" s="213" t="str">
        <f aca="false">IFERROR(LOOKUP(2,1/((tblCompras[Produto]=$B38)*(tblCompras[Unid.]=$C38)*(tblCompras[Data]=_xlfn.MAXIFS(tblCompras[Data],tblCompras[Produto],$B38,tblCompras[Unid.],$C38))),tblCompras[Mercado])&amp;" · "&amp;TEXT(DAY(_xlfn.MAXIFS(tblCompras[Data],tblCompras[Produto],$B38,tblCompras[Unid.],$C38)),"00")&amp;"/"&amp;TEXT(MONTH(_xlfn.MAXIFS(tblCompras[Data],tblCompras[Produto],$B38,tblCompras[Unid.],$C38)),"00")&amp;"/"&amp;TEXT(MOD(YEAR(_xlfn.MAXIFS(tblCompras[Data],tblCompras[Produto],$B38,tblCompras[Unid.],$C38)),100),"00"),"")</f>
        <v>Casa de Carnes Barao da Carne · 10/05/26</v>
      </c>
      <c r="O38" s="1"/>
      <c r="P38" s="1" t="str">
        <f aca="false">IF(AND(ISNUMBER($K38),$K38&gt;0,OR($B$6="Todas",$D38=$B$6)),$K38+ROW()/100000,"")</f>
        <v/>
      </c>
      <c r="Q38" s="1"/>
      <c r="R38" s="1"/>
      <c r="S38" s="1"/>
      <c r="T38" s="1"/>
    </row>
    <row r="39" customFormat="false" ht="15" hidden="false" customHeight="false" outlineLevel="0" collapsed="false">
      <c r="A39" s="1"/>
      <c r="B39" s="197" t="s">
        <v>1138</v>
      </c>
      <c r="C39" s="209" t="s">
        <v>176</v>
      </c>
      <c r="D39" s="197" t="s">
        <v>17</v>
      </c>
      <c r="E39" s="200" t="n">
        <f aca="false">IFERROR(_xlfn.MINIFS(tblCompras[Preço Unit.],tblCompras[Produto],$B39,tblCompras[Unid.],$C39),"")</f>
        <v>28.90625</v>
      </c>
      <c r="F39" s="209" t="str">
        <f aca="false">IFERROR(LOOKUP(2,1/((tblCompras[Produto]=$B39)*(tblCompras[Unid.]=$C39)*(tblCompras[Preço Unit.]=$E39)),tblCompras[Mercado]),"")</f>
        <v>Supermercados Nori</v>
      </c>
      <c r="G39" s="210" t="n">
        <f aca="false">IFERROR(LOOKUP(2,1/((tblCompras[Produto]=$B39)*(tblCompras[Unid.]=$C39)*(tblCompras[Preço Unit.]=$E39)),tblCompras[Data]),"")</f>
        <v>46166</v>
      </c>
      <c r="H39" s="200" t="n">
        <f aca="false">IFERROR(_xlfn.MAXIFS(tblCompras[Preço Unit.],tblCompras[Produto],$B39,tblCompras[Unid.],$C39),"")</f>
        <v>28.90625</v>
      </c>
      <c r="I39" s="209" t="str">
        <f aca="false">IFERROR(LOOKUP(2,1/((tblCompras[Produto]=$B39)*(tblCompras[Unid.]=$C39)*(tblCompras[Preço Unit.]=$H39)),tblCompras[Mercado]),"")</f>
        <v>Supermercados Nori</v>
      </c>
      <c r="J39" s="210" t="n">
        <f aca="false">IFERROR(LOOKUP(2,1/((tblCompras[Produto]=$B39)*(tblCompras[Unid.]=$C39)*(tblCompras[Preço Unit.]=$H39)),tblCompras[Data]),"")</f>
        <v>46166</v>
      </c>
      <c r="K39" s="211" t="n">
        <f aca="false">IF(OR($E39="",$H39=""),"",MAX(0,$H39-$E39))</f>
        <v>0</v>
      </c>
      <c r="L39" s="212" t="n">
        <f aca="false">IF(OR($E39="",$H39="",$E39=0),"",($H39-$E39)/$E39)</f>
        <v>0</v>
      </c>
      <c r="M39" s="200" t="n">
        <f aca="false">IFERROR(LOOKUP(2,1/((tblCompras[Produto]=$B39)*(tblCompras[Unid.]=$C39)*(tblCompras[Data]=_xlfn.MAXIFS(tblCompras[Data],tblCompras[Produto],$B39,tblCompras[Unid.],$C39))),tblCompras[Preço Unit.]),"")</f>
        <v>28.90625</v>
      </c>
      <c r="N39" s="209" t="str">
        <f aca="false">IFERROR(LOOKUP(2,1/((tblCompras[Produto]=$B39)*(tblCompras[Unid.]=$C39)*(tblCompras[Data]=_xlfn.MAXIFS(tblCompras[Data],tblCompras[Produto],$B39,tblCompras[Unid.],$C39))),tblCompras[Mercado])&amp;" · "&amp;TEXT(DAY(_xlfn.MAXIFS(tblCompras[Data],tblCompras[Produto],$B39,tblCompras[Unid.],$C39)),"00")&amp;"/"&amp;TEXT(MONTH(_xlfn.MAXIFS(tblCompras[Data],tblCompras[Produto],$B39,tblCompras[Unid.],$C39)),"00")&amp;"/"&amp;TEXT(MOD(YEAR(_xlfn.MAXIFS(tblCompras[Data],tblCompras[Produto],$B39,tblCompras[Unid.],$C39)),100),"00"),"")</f>
        <v>Supermercados Nori · 24/05/26</v>
      </c>
      <c r="O39" s="1"/>
      <c r="P39" s="1" t="str">
        <f aca="false">IF(AND(ISNUMBER($K39),$K39&gt;0,OR($B$6="Todas",$D39=$B$6)),$K39+ROW()/100000,"")</f>
        <v/>
      </c>
      <c r="Q39" s="1"/>
      <c r="R39" s="1"/>
      <c r="S39" s="1"/>
      <c r="T39" s="1"/>
    </row>
    <row r="40" customFormat="false" ht="15" hidden="false" customHeight="false" outlineLevel="0" collapsed="false">
      <c r="A40" s="1"/>
      <c r="B40" s="202" t="s">
        <v>298</v>
      </c>
      <c r="C40" s="213" t="s">
        <v>176</v>
      </c>
      <c r="D40" s="202" t="s">
        <v>17</v>
      </c>
      <c r="E40" s="205" t="n">
        <f aca="false">IFERROR(_xlfn.MINIFS(tblCompras[Preço Unit.],tblCompras[Produto],$B40,tblCompras[Unid.],$C40),"")</f>
        <v>79.8916967509025</v>
      </c>
      <c r="F40" s="213" t="str">
        <f aca="false">IFERROR(LOOKUP(2,1/((tblCompras[Produto]=$B40)*(tblCompras[Unid.]=$C40)*(tblCompras[Preço Unit.]=$E40)),tblCompras[Mercado]),"")</f>
        <v>Casa de Carnes Barao da Carne</v>
      </c>
      <c r="G40" s="214" t="n">
        <f aca="false">IFERROR(LOOKUP(2,1/((tblCompras[Produto]=$B40)*(tblCompras[Unid.]=$C40)*(tblCompras[Preço Unit.]=$E40)),tblCompras[Data]),"")</f>
        <v>46152</v>
      </c>
      <c r="H40" s="205" t="n">
        <f aca="false">IFERROR(_xlfn.MAXIFS(tblCompras[Preço Unit.],tblCompras[Produto],$B40,tblCompras[Unid.],$C40),"")</f>
        <v>79.8916967509025</v>
      </c>
      <c r="I40" s="213" t="str">
        <f aca="false">IFERROR(LOOKUP(2,1/((tblCompras[Produto]=$B40)*(tblCompras[Unid.]=$C40)*(tblCompras[Preço Unit.]=$H40)),tblCompras[Mercado]),"")</f>
        <v>Casa de Carnes Barao da Carne</v>
      </c>
      <c r="J40" s="214" t="n">
        <f aca="false">IFERROR(LOOKUP(2,1/((tblCompras[Produto]=$B40)*(tblCompras[Unid.]=$C40)*(tblCompras[Preço Unit.]=$H40)),tblCompras[Data]),"")</f>
        <v>46152</v>
      </c>
      <c r="K40" s="215" t="n">
        <f aca="false">IF(OR($E40="",$H40=""),"",MAX(0,$H40-$E40))</f>
        <v>0</v>
      </c>
      <c r="L40" s="216" t="n">
        <f aca="false">IF(OR($E40="",$H40="",$E40=0),"",($H40-$E40)/$E40)</f>
        <v>0</v>
      </c>
      <c r="M40" s="205" t="n">
        <f aca="false">IFERROR(LOOKUP(2,1/((tblCompras[Produto]=$B40)*(tblCompras[Unid.]=$C40)*(tblCompras[Data]=_xlfn.MAXIFS(tblCompras[Data],tblCompras[Produto],$B40,tblCompras[Unid.],$C40))),tblCompras[Preço Unit.]),"")</f>
        <v>79.8916967509025</v>
      </c>
      <c r="N40" s="213" t="str">
        <f aca="false">IFERROR(LOOKUP(2,1/((tblCompras[Produto]=$B40)*(tblCompras[Unid.]=$C40)*(tblCompras[Data]=_xlfn.MAXIFS(tblCompras[Data],tblCompras[Produto],$B40,tblCompras[Unid.],$C40))),tblCompras[Mercado])&amp;" · "&amp;TEXT(DAY(_xlfn.MAXIFS(tblCompras[Data],tblCompras[Produto],$B40,tblCompras[Unid.],$C40)),"00")&amp;"/"&amp;TEXT(MONTH(_xlfn.MAXIFS(tblCompras[Data],tblCompras[Produto],$B40,tblCompras[Unid.],$C40)),"00")&amp;"/"&amp;TEXT(MOD(YEAR(_xlfn.MAXIFS(tblCompras[Data],tblCompras[Produto],$B40,tblCompras[Unid.],$C40)),100),"00"),"")</f>
        <v>Casa de Carnes Barao da Carne · 10/05/26</v>
      </c>
      <c r="O40" s="1"/>
      <c r="P40" s="1" t="str">
        <f aca="false">IF(AND(ISNUMBER($K40),$K40&gt;0,OR($B$6="Todas",$D40=$B$6)),$K40+ROW()/100000,"")</f>
        <v/>
      </c>
      <c r="Q40" s="1"/>
      <c r="R40" s="1"/>
      <c r="S40" s="1"/>
      <c r="T40" s="1"/>
    </row>
    <row r="41" customFormat="false" ht="15" hidden="false" customHeight="false" outlineLevel="0" collapsed="false">
      <c r="A41" s="1"/>
      <c r="B41" s="197" t="s">
        <v>512</v>
      </c>
      <c r="C41" s="209" t="s">
        <v>176</v>
      </c>
      <c r="D41" s="197" t="s">
        <v>25</v>
      </c>
      <c r="E41" s="200" t="n">
        <f aca="false">IFERROR(_xlfn.MINIFS(tblCompras[Preço Unit.],tblCompras[Produto],$B41,tblCompras[Unid.],$C41),"")</f>
        <v>30</v>
      </c>
      <c r="F41" s="209" t="str">
        <f aca="false">IFERROR(LOOKUP(2,1/((tblCompras[Produto]=$B41)*(tblCompras[Unid.]=$C41)*(tblCompras[Preço Unit.]=$E41)),tblCompras[Mercado]),"")</f>
        <v>André</v>
      </c>
      <c r="G41" s="210" t="n">
        <f aca="false">IFERROR(LOOKUP(2,1/((tblCompras[Produto]=$B41)*(tblCompras[Unid.]=$C41)*(tblCompras[Preço Unit.]=$E41)),tblCompras[Data]),"")</f>
        <v>46169</v>
      </c>
      <c r="H41" s="200" t="n">
        <f aca="false">IFERROR(_xlfn.MAXIFS(tblCompras[Preço Unit.],tblCompras[Produto],$B41,tblCompras[Unid.],$C41),"")</f>
        <v>30</v>
      </c>
      <c r="I41" s="209" t="str">
        <f aca="false">IFERROR(LOOKUP(2,1/((tblCompras[Produto]=$B41)*(tblCompras[Unid.]=$C41)*(tblCompras[Preço Unit.]=$H41)),tblCompras[Mercado]),"")</f>
        <v>André</v>
      </c>
      <c r="J41" s="210" t="n">
        <f aca="false">IFERROR(LOOKUP(2,1/((tblCompras[Produto]=$B41)*(tblCompras[Unid.]=$C41)*(tblCompras[Preço Unit.]=$H41)),tblCompras[Data]),"")</f>
        <v>46169</v>
      </c>
      <c r="K41" s="211" t="n">
        <f aca="false">IF(OR($E41="",$H41=""),"",MAX(0,$H41-$E41))</f>
        <v>0</v>
      </c>
      <c r="L41" s="212" t="n">
        <f aca="false">IF(OR($E41="",$H41="",$E41=0),"",($H41-$E41)/$E41)</f>
        <v>0</v>
      </c>
      <c r="M41" s="200" t="n">
        <f aca="false">IFERROR(LOOKUP(2,1/((tblCompras[Produto]=$B41)*(tblCompras[Unid.]=$C41)*(tblCompras[Data]=_xlfn.MAXIFS(tblCompras[Data],tblCompras[Produto],$B41,tblCompras[Unid.],$C41))),tblCompras[Preço Unit.]),"")</f>
        <v>30</v>
      </c>
      <c r="N41" s="209" t="str">
        <f aca="false">IFERROR(LOOKUP(2,1/((tblCompras[Produto]=$B41)*(tblCompras[Unid.]=$C41)*(tblCompras[Data]=_xlfn.MAXIFS(tblCompras[Data],tblCompras[Produto],$B41,tblCompras[Unid.],$C41))),tblCompras[Mercado])&amp;" · "&amp;TEXT(DAY(_xlfn.MAXIFS(tblCompras[Data],tblCompras[Produto],$B41,tblCompras[Unid.],$C41)),"00")&amp;"/"&amp;TEXT(MONTH(_xlfn.MAXIFS(tblCompras[Data],tblCompras[Produto],$B41,tblCompras[Unid.],$C41)),"00")&amp;"/"&amp;TEXT(MOD(YEAR(_xlfn.MAXIFS(tblCompras[Data],tblCompras[Produto],$B41,tblCompras[Unid.],$C41)),100),"00"),"")</f>
        <v>André · 27/05/26</v>
      </c>
      <c r="O41" s="1"/>
      <c r="P41" s="1" t="str">
        <f aca="false">IF(AND(ISNUMBER($K41),$K41&gt;0,OR($B$6="Todas",$D41=$B$6)),$K41+ROW()/100000,"")</f>
        <v/>
      </c>
      <c r="Q41" s="1"/>
      <c r="R41" s="1"/>
      <c r="S41" s="1"/>
      <c r="T41" s="1"/>
    </row>
    <row r="42" customFormat="false" ht="15" hidden="false" customHeight="false" outlineLevel="0" collapsed="false">
      <c r="A42" s="1"/>
      <c r="B42" s="202" t="s">
        <v>450</v>
      </c>
      <c r="C42" s="213" t="s">
        <v>176</v>
      </c>
      <c r="D42" s="202" t="s">
        <v>25</v>
      </c>
      <c r="E42" s="205" t="n">
        <f aca="false">IFERROR(_xlfn.MINIFS(tblCompras[Preço Unit.],tblCompras[Produto],$B42,tblCompras[Unid.],$C42),"")</f>
        <v>25.9</v>
      </c>
      <c r="F42" s="213" t="str">
        <f aca="false">IFERROR(LOOKUP(2,1/((tblCompras[Produto]=$B42)*(tblCompras[Unid.]=$C42)*(tblCompras[Preço Unit.]=$E42)),tblCompras[Mercado]),"")</f>
        <v>Supermercados Nori</v>
      </c>
      <c r="G42" s="214" t="n">
        <f aca="false">IFERROR(LOOKUP(2,1/((tblCompras[Produto]=$B42)*(tblCompras[Unid.]=$C42)*(tblCompras[Preço Unit.]=$E42)),tblCompras[Data]),"")</f>
        <v>46159</v>
      </c>
      <c r="H42" s="205" t="n">
        <f aca="false">IFERROR(_xlfn.MAXIFS(tblCompras[Preço Unit.],tblCompras[Produto],$B42,tblCompras[Unid.],$C42),"")</f>
        <v>25.9</v>
      </c>
      <c r="I42" s="213" t="str">
        <f aca="false">IFERROR(LOOKUP(2,1/((tblCompras[Produto]=$B42)*(tblCompras[Unid.]=$C42)*(tblCompras[Preço Unit.]=$H42)),tblCompras[Mercado]),"")</f>
        <v>Supermercados Nori</v>
      </c>
      <c r="J42" s="214" t="n">
        <f aca="false">IFERROR(LOOKUP(2,1/((tblCompras[Produto]=$B42)*(tblCompras[Unid.]=$C42)*(tblCompras[Preço Unit.]=$H42)),tblCompras[Data]),"")</f>
        <v>46159</v>
      </c>
      <c r="K42" s="215" t="n">
        <f aca="false">IF(OR($E42="",$H42=""),"",MAX(0,$H42-$E42))</f>
        <v>0</v>
      </c>
      <c r="L42" s="216" t="n">
        <f aca="false">IF(OR($E42="",$H42="",$E42=0),"",($H42-$E42)/$E42)</f>
        <v>0</v>
      </c>
      <c r="M42" s="205" t="n">
        <f aca="false">IFERROR(LOOKUP(2,1/((tblCompras[Produto]=$B42)*(tblCompras[Unid.]=$C42)*(tblCompras[Data]=_xlfn.MAXIFS(tblCompras[Data],tblCompras[Produto],$B42,tblCompras[Unid.],$C42))),tblCompras[Preço Unit.]),"")</f>
        <v>25.9</v>
      </c>
      <c r="N42" s="213" t="str">
        <f aca="false">IFERROR(LOOKUP(2,1/((tblCompras[Produto]=$B42)*(tblCompras[Unid.]=$C42)*(tblCompras[Data]=_xlfn.MAXIFS(tblCompras[Data],tblCompras[Produto],$B42,tblCompras[Unid.],$C42))),tblCompras[Mercado])&amp;" · "&amp;TEXT(DAY(_xlfn.MAXIFS(tblCompras[Data],tblCompras[Produto],$B42,tblCompras[Unid.],$C42)),"00")&amp;"/"&amp;TEXT(MONTH(_xlfn.MAXIFS(tblCompras[Data],tblCompras[Produto],$B42,tblCompras[Unid.],$C42)),"00")&amp;"/"&amp;TEXT(MOD(YEAR(_xlfn.MAXIFS(tblCompras[Data],tblCompras[Produto],$B42,tblCompras[Unid.],$C42)),100),"00"),"")</f>
        <v>Supermercados Nori · 17/05/26</v>
      </c>
      <c r="O42" s="1"/>
      <c r="P42" s="1" t="str">
        <f aca="false">IF(AND(ISNUMBER($K42),$K42&gt;0,OR($B$6="Todas",$D42=$B$6)),$K42+ROW()/100000,"")</f>
        <v/>
      </c>
      <c r="Q42" s="1"/>
      <c r="R42" s="1"/>
      <c r="S42" s="1"/>
      <c r="T42" s="1"/>
    </row>
    <row r="43" customFormat="false" ht="15" hidden="false" customHeight="false" outlineLevel="0" collapsed="false">
      <c r="A43" s="1"/>
      <c r="B43" s="197" t="s">
        <v>452</v>
      </c>
      <c r="C43" s="209" t="s">
        <v>176</v>
      </c>
      <c r="D43" s="197" t="s">
        <v>25</v>
      </c>
      <c r="E43" s="200" t="n">
        <f aca="false">IFERROR(_xlfn.MINIFS(tblCompras[Preço Unit.],tblCompras[Produto],$B43,tblCompras[Unid.],$C43),"")</f>
        <v>49</v>
      </c>
      <c r="F43" s="209" t="str">
        <f aca="false">IFERROR(LOOKUP(2,1/((tblCompras[Produto]=$B43)*(tblCompras[Unid.]=$C43)*(tblCompras[Preço Unit.]=$E43)),tblCompras[Mercado]),"")</f>
        <v>Supermercados Nori</v>
      </c>
      <c r="G43" s="210" t="n">
        <f aca="false">IFERROR(LOOKUP(2,1/((tblCompras[Produto]=$B43)*(tblCompras[Unid.]=$C43)*(tblCompras[Preço Unit.]=$E43)),tblCompras[Data]),"")</f>
        <v>46159</v>
      </c>
      <c r="H43" s="200" t="n">
        <f aca="false">IFERROR(_xlfn.MAXIFS(tblCompras[Preço Unit.],tblCompras[Produto],$B43,tblCompras[Unid.],$C43),"")</f>
        <v>49</v>
      </c>
      <c r="I43" s="209" t="str">
        <f aca="false">IFERROR(LOOKUP(2,1/((tblCompras[Produto]=$B43)*(tblCompras[Unid.]=$C43)*(tblCompras[Preço Unit.]=$H43)),tblCompras[Mercado]),"")</f>
        <v>Supermercados Nori</v>
      </c>
      <c r="J43" s="210" t="n">
        <f aca="false">IFERROR(LOOKUP(2,1/((tblCompras[Produto]=$B43)*(tblCompras[Unid.]=$C43)*(tblCompras[Preço Unit.]=$H43)),tblCompras[Data]),"")</f>
        <v>46159</v>
      </c>
      <c r="K43" s="211" t="n">
        <f aca="false">IF(OR($E43="",$H43=""),"",MAX(0,$H43-$E43))</f>
        <v>0</v>
      </c>
      <c r="L43" s="212" t="n">
        <f aca="false">IF(OR($E43="",$H43="",$E43=0),"",($H43-$E43)/$E43)</f>
        <v>0</v>
      </c>
      <c r="M43" s="200" t="n">
        <f aca="false">IFERROR(LOOKUP(2,1/((tblCompras[Produto]=$B43)*(tblCompras[Unid.]=$C43)*(tblCompras[Data]=_xlfn.MAXIFS(tblCompras[Data],tblCompras[Produto],$B43,tblCompras[Unid.],$C43))),tblCompras[Preço Unit.]),"")</f>
        <v>49</v>
      </c>
      <c r="N43" s="209" t="str">
        <f aca="false">IFERROR(LOOKUP(2,1/((tblCompras[Produto]=$B43)*(tblCompras[Unid.]=$C43)*(tblCompras[Data]=_xlfn.MAXIFS(tblCompras[Data],tblCompras[Produto],$B43,tblCompras[Unid.],$C43))),tblCompras[Mercado])&amp;" · "&amp;TEXT(DAY(_xlfn.MAXIFS(tblCompras[Data],tblCompras[Produto],$B43,tblCompras[Unid.],$C43)),"00")&amp;"/"&amp;TEXT(MONTH(_xlfn.MAXIFS(tblCompras[Data],tblCompras[Produto],$B43,tblCompras[Unid.],$C43)),"00")&amp;"/"&amp;TEXT(MOD(YEAR(_xlfn.MAXIFS(tblCompras[Data],tblCompras[Produto],$B43,tblCompras[Unid.],$C43)),100),"00"),"")</f>
        <v>Supermercados Nori · 17/05/26</v>
      </c>
      <c r="O43" s="1"/>
      <c r="P43" s="1" t="str">
        <f aca="false">IF(AND(ISNUMBER($K43),$K43&gt;0,OR($B$6="Todas",$D43=$B$6)),$K43+ROW()/100000,"")</f>
        <v/>
      </c>
      <c r="Q43" s="1"/>
      <c r="R43" s="1"/>
      <c r="S43" s="1"/>
      <c r="T43" s="1"/>
    </row>
    <row r="44" customFormat="false" ht="15" hidden="false" customHeight="false" outlineLevel="0" collapsed="false">
      <c r="A44" s="1"/>
      <c r="B44" s="202" t="s">
        <v>515</v>
      </c>
      <c r="C44" s="213" t="s">
        <v>176</v>
      </c>
      <c r="D44" s="202" t="s">
        <v>27</v>
      </c>
      <c r="E44" s="205" t="n">
        <f aca="false">IFERROR(_xlfn.MINIFS(tblCompras[Preço Unit.],tblCompras[Produto],$B44,tblCompras[Unid.],$C44),"")</f>
        <v>14.9112426035503</v>
      </c>
      <c r="F44" s="213" t="str">
        <f aca="false">IFERROR(LOOKUP(2,1/((tblCompras[Produto]=$B44)*(tblCompras[Unid.]=$C44)*(tblCompras[Preço Unit.]=$E44)),tblCompras[Mercado]),"")</f>
        <v>André</v>
      </c>
      <c r="G44" s="214" t="n">
        <f aca="false">IFERROR(LOOKUP(2,1/((tblCompras[Produto]=$B44)*(tblCompras[Unid.]=$C44)*(tblCompras[Preço Unit.]=$E44)),tblCompras[Data]),"")</f>
        <v>46169</v>
      </c>
      <c r="H44" s="205" t="n">
        <f aca="false">IFERROR(_xlfn.MAXIFS(tblCompras[Preço Unit.],tblCompras[Produto],$B44,tblCompras[Unid.],$C44),"")</f>
        <v>14.9112426035503</v>
      </c>
      <c r="I44" s="213" t="str">
        <f aca="false">IFERROR(LOOKUP(2,1/((tblCompras[Produto]=$B44)*(tblCompras[Unid.]=$C44)*(tblCompras[Preço Unit.]=$H44)),tblCompras[Mercado]),"")</f>
        <v>André</v>
      </c>
      <c r="J44" s="214" t="n">
        <f aca="false">IFERROR(LOOKUP(2,1/((tblCompras[Produto]=$B44)*(tblCompras[Unid.]=$C44)*(tblCompras[Preço Unit.]=$H44)),tblCompras[Data]),"")</f>
        <v>46169</v>
      </c>
      <c r="K44" s="215" t="n">
        <f aca="false">IF(OR($E44="",$H44=""),"",MAX(0,$H44-$E44))</f>
        <v>0</v>
      </c>
      <c r="L44" s="216" t="n">
        <f aca="false">IF(OR($E44="",$H44="",$E44=0),"",($H44-$E44)/$E44)</f>
        <v>0</v>
      </c>
      <c r="M44" s="205" t="n">
        <f aca="false">IFERROR(LOOKUP(2,1/((tblCompras[Produto]=$B44)*(tblCompras[Unid.]=$C44)*(tblCompras[Data]=_xlfn.MAXIFS(tblCompras[Data],tblCompras[Produto],$B44,tblCompras[Unid.],$C44))),tblCompras[Preço Unit.]),"")</f>
        <v>14.9112426035503</v>
      </c>
      <c r="N44" s="213" t="str">
        <f aca="false">IFERROR(LOOKUP(2,1/((tblCompras[Produto]=$B44)*(tblCompras[Unid.]=$C44)*(tblCompras[Data]=_xlfn.MAXIFS(tblCompras[Data],tblCompras[Produto],$B44,tblCompras[Unid.],$C44))),tblCompras[Mercado])&amp;" · "&amp;TEXT(DAY(_xlfn.MAXIFS(tblCompras[Data],tblCompras[Produto],$B44,tblCompras[Unid.],$C44)),"00")&amp;"/"&amp;TEXT(MONTH(_xlfn.MAXIFS(tblCompras[Data],tblCompras[Produto],$B44,tblCompras[Unid.],$C44)),"00")&amp;"/"&amp;TEXT(MOD(YEAR(_xlfn.MAXIFS(tblCompras[Data],tblCompras[Produto],$B44,tblCompras[Unid.],$C44)),100),"00"),"")</f>
        <v>André · 27/05/26</v>
      </c>
      <c r="O44" s="1"/>
      <c r="P44" s="1" t="str">
        <f aca="false">IF(AND(ISNUMBER($K44),$K44&gt;0,OR($B$6="Todas",$D44=$B$6)),$K44+ROW()/100000,"")</f>
        <v/>
      </c>
      <c r="Q44" s="1"/>
      <c r="R44" s="1"/>
      <c r="S44" s="1"/>
      <c r="T44" s="1"/>
    </row>
    <row r="45" customFormat="false" ht="15" hidden="false" customHeight="false" outlineLevel="0" collapsed="false">
      <c r="A45" s="1"/>
      <c r="B45" s="197" t="s">
        <v>368</v>
      </c>
      <c r="C45" s="209" t="s">
        <v>179</v>
      </c>
      <c r="D45" s="197" t="s">
        <v>18</v>
      </c>
      <c r="E45" s="200" t="n">
        <f aca="false">IFERROR(_xlfn.MINIFS(tblCompras[Preço Unit.],tblCompras[Produto],$B45,tblCompras[Unid.],$C45),"")</f>
        <v>2.69</v>
      </c>
      <c r="F45" s="209" t="str">
        <f aca="false">IFERROR(LOOKUP(2,1/((tblCompras[Produto]=$B45)*(tblCompras[Unid.]=$C45)*(tblCompras[Preço Unit.]=$E45)),tblCompras[Mercado]),"")</f>
        <v>Supermercados Nori</v>
      </c>
      <c r="G45" s="210" t="n">
        <f aca="false">IFERROR(LOOKUP(2,1/((tblCompras[Produto]=$B45)*(tblCompras[Unid.]=$C45)*(tblCompras[Preço Unit.]=$E45)),tblCompras[Data]),"")</f>
        <v>46185</v>
      </c>
      <c r="H45" s="200" t="n">
        <f aca="false">IFERROR(_xlfn.MAXIFS(tblCompras[Preço Unit.],tblCompras[Produto],$B45,tblCompras[Unid.],$C45),"")</f>
        <v>2.69</v>
      </c>
      <c r="I45" s="209" t="str">
        <f aca="false">IFERROR(LOOKUP(2,1/((tblCompras[Produto]=$B45)*(tblCompras[Unid.]=$C45)*(tblCompras[Preço Unit.]=$H45)),tblCompras[Mercado]),"")</f>
        <v>Supermercados Nori</v>
      </c>
      <c r="J45" s="210" t="n">
        <f aca="false">IFERROR(LOOKUP(2,1/((tblCompras[Produto]=$B45)*(tblCompras[Unid.]=$C45)*(tblCompras[Preço Unit.]=$H45)),tblCompras[Data]),"")</f>
        <v>46185</v>
      </c>
      <c r="K45" s="211" t="n">
        <f aca="false">IF(OR($E45="",$H45=""),"",MAX(0,$H45-$E45))</f>
        <v>0</v>
      </c>
      <c r="L45" s="212" t="n">
        <f aca="false">IF(OR($E45="",$H45="",$E45=0),"",($H45-$E45)/$E45)</f>
        <v>0</v>
      </c>
      <c r="M45" s="200" t="n">
        <f aca="false">IFERROR(LOOKUP(2,1/((tblCompras[Produto]=$B45)*(tblCompras[Unid.]=$C45)*(tblCompras[Data]=_xlfn.MAXIFS(tblCompras[Data],tblCompras[Produto],$B45,tblCompras[Unid.],$C45))),tblCompras[Preço Unit.]),"")</f>
        <v>2.69</v>
      </c>
      <c r="N45" s="209" t="str">
        <f aca="false">IFERROR(LOOKUP(2,1/((tblCompras[Produto]=$B45)*(tblCompras[Unid.]=$C45)*(tblCompras[Data]=_xlfn.MAXIFS(tblCompras[Data],tblCompras[Produto],$B45,tblCompras[Unid.],$C45))),tblCompras[Mercado])&amp;" · "&amp;TEXT(DAY(_xlfn.MAXIFS(tblCompras[Data],tblCompras[Produto],$B45,tblCompras[Unid.],$C45)),"00")&amp;"/"&amp;TEXT(MONTH(_xlfn.MAXIFS(tblCompras[Data],tblCompras[Produto],$B45,tblCompras[Unid.],$C45)),"00")&amp;"/"&amp;TEXT(MOD(YEAR(_xlfn.MAXIFS(tblCompras[Data],tblCompras[Produto],$B45,tblCompras[Unid.],$C45)),100),"00"),"")</f>
        <v>Supermercados Nori · 12/06/26</v>
      </c>
      <c r="O45" s="1"/>
      <c r="P45" s="1" t="str">
        <f aca="false">IF(AND(ISNUMBER($K45),$K45&gt;0,OR($B$6="Todas",$D45=$B$6)),$K45+ROW()/100000,"")</f>
        <v/>
      </c>
      <c r="Q45" s="1"/>
      <c r="R45" s="1"/>
      <c r="S45" s="1"/>
      <c r="T45" s="1"/>
    </row>
    <row r="46" customFormat="false" ht="15" hidden="false" customHeight="false" outlineLevel="0" collapsed="false">
      <c r="A46" s="1"/>
      <c r="B46" s="202" t="s">
        <v>1073</v>
      </c>
      <c r="C46" s="213" t="s">
        <v>179</v>
      </c>
      <c r="D46" s="202" t="s">
        <v>18</v>
      </c>
      <c r="E46" s="205" t="n">
        <f aca="false">IFERROR(_xlfn.MINIFS(tblCompras[Preço Unit.],tblCompras[Produto],$B46,tblCompras[Unid.],$C46),"")</f>
        <v>2.35</v>
      </c>
      <c r="F46" s="213" t="str">
        <f aca="false">IFERROR(LOOKUP(2,1/((tblCompras[Produto]=$B46)*(tblCompras[Unid.]=$C46)*(tblCompras[Preço Unit.]=$E46)),tblCompras[Mercado]),"")</f>
        <v>Supermercados Nori</v>
      </c>
      <c r="G46" s="214" t="n">
        <f aca="false">IFERROR(LOOKUP(2,1/((tblCompras[Produto]=$B46)*(tblCompras[Unid.]=$C46)*(tblCompras[Preço Unit.]=$E46)),tblCompras[Data]),"")</f>
        <v>46157</v>
      </c>
      <c r="H46" s="205" t="n">
        <f aca="false">IFERROR(_xlfn.MAXIFS(tblCompras[Preço Unit.],tblCompras[Produto],$B46,tblCompras[Unid.],$C46),"")</f>
        <v>2.35</v>
      </c>
      <c r="I46" s="213" t="str">
        <f aca="false">IFERROR(LOOKUP(2,1/((tblCompras[Produto]=$B46)*(tblCompras[Unid.]=$C46)*(tblCompras[Preço Unit.]=$H46)),tblCompras[Mercado]),"")</f>
        <v>Supermercados Nori</v>
      </c>
      <c r="J46" s="214" t="n">
        <f aca="false">IFERROR(LOOKUP(2,1/((tblCompras[Produto]=$B46)*(tblCompras[Unid.]=$C46)*(tblCompras[Preço Unit.]=$H46)),tblCompras[Data]),"")</f>
        <v>46157</v>
      </c>
      <c r="K46" s="215" t="n">
        <f aca="false">IF(OR($E46="",$H46=""),"",MAX(0,$H46-$E46))</f>
        <v>0</v>
      </c>
      <c r="L46" s="216" t="n">
        <f aca="false">IF(OR($E46="",$H46="",$E46=0),"",($H46-$E46)/$E46)</f>
        <v>0</v>
      </c>
      <c r="M46" s="205" t="n">
        <f aca="false">IFERROR(LOOKUP(2,1/((tblCompras[Produto]=$B46)*(tblCompras[Unid.]=$C46)*(tblCompras[Data]=_xlfn.MAXIFS(tblCompras[Data],tblCompras[Produto],$B46,tblCompras[Unid.],$C46))),tblCompras[Preço Unit.]),"")</f>
        <v>2.35</v>
      </c>
      <c r="N46" s="213" t="str">
        <f aca="false">IFERROR(LOOKUP(2,1/((tblCompras[Produto]=$B46)*(tblCompras[Unid.]=$C46)*(tblCompras[Data]=_xlfn.MAXIFS(tblCompras[Data],tblCompras[Produto],$B46,tblCompras[Unid.],$C46))),tblCompras[Mercado])&amp;" · "&amp;TEXT(DAY(_xlfn.MAXIFS(tblCompras[Data],tblCompras[Produto],$B46,tblCompras[Unid.],$C46)),"00")&amp;"/"&amp;TEXT(MONTH(_xlfn.MAXIFS(tblCompras[Data],tblCompras[Produto],$B46,tblCompras[Unid.],$C46)),"00")&amp;"/"&amp;TEXT(MOD(YEAR(_xlfn.MAXIFS(tblCompras[Data],tblCompras[Produto],$B46,tblCompras[Unid.],$C46)),100),"00"),"")</f>
        <v>Supermercados Nori · 15/05/26</v>
      </c>
      <c r="O46" s="1"/>
      <c r="P46" s="1" t="str">
        <f aca="false">IF(AND(ISNUMBER($K46),$K46&gt;0,OR($B$6="Todas",$D46=$B$6)),$K46+ROW()/100000,"")</f>
        <v/>
      </c>
      <c r="Q46" s="1"/>
      <c r="R46" s="1"/>
      <c r="S46" s="1"/>
      <c r="T46" s="1"/>
    </row>
    <row r="47" customFormat="false" ht="15" hidden="false" customHeight="false" outlineLevel="0" collapsed="false">
      <c r="A47" s="1"/>
      <c r="B47" s="197" t="s">
        <v>568</v>
      </c>
      <c r="C47" s="209" t="s">
        <v>179</v>
      </c>
      <c r="D47" s="197" t="s">
        <v>18</v>
      </c>
      <c r="E47" s="200" t="n">
        <f aca="false">IFERROR(_xlfn.MINIFS(tblCompras[Preço Unit.],tblCompras[Produto],$B47,tblCompras[Unid.],$C47),"")</f>
        <v>3.99</v>
      </c>
      <c r="F47" s="209" t="str">
        <f aca="false">IFERROR(LOOKUP(2,1/((tblCompras[Produto]=$B47)*(tblCompras[Unid.]=$C47)*(tblCompras[Preço Unit.]=$E47)),tblCompras[Mercado]),"")</f>
        <v>Supermercados Nori</v>
      </c>
      <c r="G47" s="210" t="n">
        <f aca="false">IFERROR(LOOKUP(2,1/((tblCompras[Produto]=$B47)*(tblCompras[Unid.]=$C47)*(tblCompras[Preço Unit.]=$E47)),tblCompras[Data]),"")</f>
        <v>46207</v>
      </c>
      <c r="H47" s="200" t="n">
        <f aca="false">IFERROR(_xlfn.MAXIFS(tblCompras[Preço Unit.],tblCompras[Produto],$B47,tblCompras[Unid.],$C47),"")</f>
        <v>3.99</v>
      </c>
      <c r="I47" s="209" t="str">
        <f aca="false">IFERROR(LOOKUP(2,1/((tblCompras[Produto]=$B47)*(tblCompras[Unid.]=$C47)*(tblCompras[Preço Unit.]=$H47)),tblCompras[Mercado]),"")</f>
        <v>Supermercados Nori</v>
      </c>
      <c r="J47" s="210" t="n">
        <f aca="false">IFERROR(LOOKUP(2,1/((tblCompras[Produto]=$B47)*(tblCompras[Unid.]=$C47)*(tblCompras[Preço Unit.]=$H47)),tblCompras[Data]),"")</f>
        <v>46207</v>
      </c>
      <c r="K47" s="211" t="n">
        <f aca="false">IF(OR($E47="",$H47=""),"",MAX(0,$H47-$E47))</f>
        <v>0</v>
      </c>
      <c r="L47" s="212" t="n">
        <f aca="false">IF(OR($E47="",$H47="",$E47=0),"",($H47-$E47)/$E47)</f>
        <v>0</v>
      </c>
      <c r="M47" s="200" t="n">
        <f aca="false">IFERROR(LOOKUP(2,1/((tblCompras[Produto]=$B47)*(tblCompras[Unid.]=$C47)*(tblCompras[Data]=_xlfn.MAXIFS(tblCompras[Data],tblCompras[Produto],$B47,tblCompras[Unid.],$C47))),tblCompras[Preço Unit.]),"")</f>
        <v>3.99</v>
      </c>
      <c r="N47" s="209" t="str">
        <f aca="false">IFERROR(LOOKUP(2,1/((tblCompras[Produto]=$B47)*(tblCompras[Unid.]=$C47)*(tblCompras[Data]=_xlfn.MAXIFS(tblCompras[Data],tblCompras[Produto],$B47,tblCompras[Unid.],$C47))),tblCompras[Mercado])&amp;" · "&amp;TEXT(DAY(_xlfn.MAXIFS(tblCompras[Data],tblCompras[Produto],$B47,tblCompras[Unid.],$C47)),"00")&amp;"/"&amp;TEXT(MONTH(_xlfn.MAXIFS(tblCompras[Data],tblCompras[Produto],$B47,tblCompras[Unid.],$C47)),"00")&amp;"/"&amp;TEXT(MOD(YEAR(_xlfn.MAXIFS(tblCompras[Data],tblCompras[Produto],$B47,tblCompras[Unid.],$C47)),100),"00"),"")</f>
        <v>Supermercados Nori · 04/07/26</v>
      </c>
      <c r="O47" s="1"/>
      <c r="P47" s="1" t="str">
        <f aca="false">IF(AND(ISNUMBER($K47),$K47&gt;0,OR($B$6="Todas",$D47=$B$6)),$K47+ROW()/100000,"")</f>
        <v/>
      </c>
      <c r="Q47" s="1"/>
      <c r="R47" s="1"/>
      <c r="S47" s="1"/>
      <c r="T47" s="1"/>
    </row>
    <row r="48" customFormat="false" ht="15" hidden="false" customHeight="false" outlineLevel="0" collapsed="false">
      <c r="A48" s="1"/>
      <c r="B48" s="202" t="s">
        <v>421</v>
      </c>
      <c r="C48" s="213" t="s">
        <v>179</v>
      </c>
      <c r="D48" s="202" t="s">
        <v>18</v>
      </c>
      <c r="E48" s="205" t="n">
        <f aca="false">IFERROR(_xlfn.MINIFS(tblCompras[Preço Unit.],tblCompras[Produto],$B48,tblCompras[Unid.],$C48),"")</f>
        <v>12.9</v>
      </c>
      <c r="F48" s="213" t="str">
        <f aca="false">IFERROR(LOOKUP(2,1/((tblCompras[Produto]=$B48)*(tblCompras[Unid.]=$C48)*(tblCompras[Preço Unit.]=$E48)),tblCompras[Mercado]),"")</f>
        <v>Supermercados Nori</v>
      </c>
      <c r="G48" s="214" t="n">
        <f aca="false">IFERROR(LOOKUP(2,1/((tblCompras[Produto]=$B48)*(tblCompras[Unid.]=$C48)*(tblCompras[Preço Unit.]=$E48)),tblCompras[Data]),"")</f>
        <v>46185</v>
      </c>
      <c r="H48" s="205" t="n">
        <f aca="false">IFERROR(_xlfn.MAXIFS(tblCompras[Preço Unit.],tblCompras[Produto],$B48,tblCompras[Unid.],$C48),"")</f>
        <v>15.6</v>
      </c>
      <c r="I48" s="213" t="str">
        <f aca="false">IFERROR(LOOKUP(2,1/((tblCompras[Produto]=$B48)*(tblCompras[Unid.]=$C48)*(tblCompras[Preço Unit.]=$H48)),tblCompras[Mercado]),"")</f>
        <v>Supermercados Nori</v>
      </c>
      <c r="J48" s="214" t="n">
        <f aca="false">IFERROR(LOOKUP(2,1/((tblCompras[Produto]=$B48)*(tblCompras[Unid.]=$C48)*(tblCompras[Preço Unit.]=$H48)),tblCompras[Data]),"")</f>
        <v>46173</v>
      </c>
      <c r="K48" s="215" t="n">
        <f aca="false">IF(OR($E48="",$H48=""),"",MAX(0,$H48-$E48))</f>
        <v>2.7</v>
      </c>
      <c r="L48" s="216" t="n">
        <f aca="false">IF(OR($E48="",$H48="",$E48=0),"",($H48-$E48)/$E48)</f>
        <v>0.209302325581395</v>
      </c>
      <c r="M48" s="205" t="n">
        <f aca="false">IFERROR(LOOKUP(2,1/((tblCompras[Produto]=$B48)*(tblCompras[Unid.]=$C48)*(tblCompras[Data]=_xlfn.MAXIFS(tblCompras[Data],tblCompras[Produto],$B48,tblCompras[Unid.],$C48))),tblCompras[Preço Unit.]),"")</f>
        <v>12.99</v>
      </c>
      <c r="N48" s="213" t="str">
        <f aca="false">IFERROR(LOOKUP(2,1/((tblCompras[Produto]=$B48)*(tblCompras[Unid.]=$C48)*(tblCompras[Data]=_xlfn.MAXIFS(tblCompras[Data],tblCompras[Produto],$B48,tblCompras[Unid.],$C48))),tblCompras[Mercado])&amp;" · "&amp;TEXT(DAY(_xlfn.MAXIFS(tblCompras[Data],tblCompras[Produto],$B48,tblCompras[Unid.],$C48)),"00")&amp;"/"&amp;TEXT(MONTH(_xlfn.MAXIFS(tblCompras[Data],tblCompras[Produto],$B48,tblCompras[Unid.],$C48)),"00")&amp;"/"&amp;TEXT(MOD(YEAR(_xlfn.MAXIFS(tblCompras[Data],tblCompras[Produto],$B48,tblCompras[Unid.],$C48)),100),"00"),"")</f>
        <v>Supermercados Nori · 09/07/26</v>
      </c>
      <c r="O48" s="1"/>
      <c r="P48" s="1" t="n">
        <f aca="false">IF(AND(ISNUMBER($K48),$K48&gt;0,OR($B$6="Todas",$D48=$B$6)),$K48+ROW()/100000,"")</f>
        <v>2.70048</v>
      </c>
      <c r="Q48" s="1"/>
      <c r="R48" s="1"/>
      <c r="S48" s="1"/>
      <c r="T48" s="1"/>
    </row>
    <row r="49" customFormat="false" ht="15" hidden="false" customHeight="false" outlineLevel="0" collapsed="false">
      <c r="A49" s="1"/>
      <c r="B49" s="197" t="s">
        <v>1109</v>
      </c>
      <c r="C49" s="209" t="s">
        <v>179</v>
      </c>
      <c r="D49" s="197" t="s">
        <v>18</v>
      </c>
      <c r="E49" s="200" t="n">
        <f aca="false">IFERROR(_xlfn.MINIFS(tblCompras[Preço Unit.],tblCompras[Produto],$B49,tblCompras[Unid.],$C49),"")</f>
        <v>13.95</v>
      </c>
      <c r="F49" s="209" t="str">
        <f aca="false">IFERROR(LOOKUP(2,1/((tblCompras[Produto]=$B49)*(tblCompras[Unid.]=$C49)*(tblCompras[Preço Unit.]=$E49)),tblCompras[Mercado]),"")</f>
        <v>Supermercados Nori</v>
      </c>
      <c r="G49" s="210" t="n">
        <f aca="false">IFERROR(LOOKUP(2,1/((tblCompras[Produto]=$B49)*(tblCompras[Unid.]=$C49)*(tblCompras[Preço Unit.]=$E49)),tblCompras[Data]),"")</f>
        <v>46157</v>
      </c>
      <c r="H49" s="200" t="n">
        <f aca="false">IFERROR(_xlfn.MAXIFS(tblCompras[Preço Unit.],tblCompras[Produto],$B49,tblCompras[Unid.],$C49),"")</f>
        <v>13.95</v>
      </c>
      <c r="I49" s="209" t="str">
        <f aca="false">IFERROR(LOOKUP(2,1/((tblCompras[Produto]=$B49)*(tblCompras[Unid.]=$C49)*(tblCompras[Preço Unit.]=$H49)),tblCompras[Mercado]),"")</f>
        <v>Supermercados Nori</v>
      </c>
      <c r="J49" s="210" t="n">
        <f aca="false">IFERROR(LOOKUP(2,1/((tblCompras[Produto]=$B49)*(tblCompras[Unid.]=$C49)*(tblCompras[Preço Unit.]=$H49)),tblCompras[Data]),"")</f>
        <v>46157</v>
      </c>
      <c r="K49" s="211" t="n">
        <f aca="false">IF(OR($E49="",$H49=""),"",MAX(0,$H49-$E49))</f>
        <v>0</v>
      </c>
      <c r="L49" s="212" t="n">
        <f aca="false">IF(OR($E49="",$H49="",$E49=0),"",($H49-$E49)/$E49)</f>
        <v>0</v>
      </c>
      <c r="M49" s="200" t="n">
        <f aca="false">IFERROR(LOOKUP(2,1/((tblCompras[Produto]=$B49)*(tblCompras[Unid.]=$C49)*(tblCompras[Data]=_xlfn.MAXIFS(tblCompras[Data],tblCompras[Produto],$B49,tblCompras[Unid.],$C49))),tblCompras[Preço Unit.]),"")</f>
        <v>13.95</v>
      </c>
      <c r="N49" s="209" t="str">
        <f aca="false">IFERROR(LOOKUP(2,1/((tblCompras[Produto]=$B49)*(tblCompras[Unid.]=$C49)*(tblCompras[Data]=_xlfn.MAXIFS(tblCompras[Data],tblCompras[Produto],$B49,tblCompras[Unid.],$C49))),tblCompras[Mercado])&amp;" · "&amp;TEXT(DAY(_xlfn.MAXIFS(tblCompras[Data],tblCompras[Produto],$B49,tblCompras[Unid.],$C49)),"00")&amp;"/"&amp;TEXT(MONTH(_xlfn.MAXIFS(tblCompras[Data],tblCompras[Produto],$B49,tblCompras[Unid.],$C49)),"00")&amp;"/"&amp;TEXT(MOD(YEAR(_xlfn.MAXIFS(tblCompras[Data],tblCompras[Produto],$B49,tblCompras[Unid.],$C49)),100),"00"),"")</f>
        <v>Supermercados Nori · 15/05/26</v>
      </c>
      <c r="O49" s="1"/>
      <c r="P49" s="1" t="str">
        <f aca="false">IF(AND(ISNUMBER($K49),$K49&gt;0,OR($B$6="Todas",$D49=$B$6)),$K49+ROW()/100000,"")</f>
        <v/>
      </c>
      <c r="Q49" s="1"/>
      <c r="R49" s="1"/>
      <c r="S49" s="1"/>
      <c r="T49" s="1"/>
    </row>
    <row r="50" customFormat="false" ht="15" hidden="false" customHeight="false" outlineLevel="0" collapsed="false">
      <c r="A50" s="1"/>
      <c r="B50" s="202" t="s">
        <v>572</v>
      </c>
      <c r="C50" s="213" t="s">
        <v>179</v>
      </c>
      <c r="D50" s="202" t="s">
        <v>18</v>
      </c>
      <c r="E50" s="205" t="n">
        <f aca="false">IFERROR(_xlfn.MINIFS(tblCompras[Preço Unit.],tblCompras[Produto],$B50,tblCompras[Unid.],$C50),"")</f>
        <v>4.49</v>
      </c>
      <c r="F50" s="213" t="str">
        <f aca="false">IFERROR(LOOKUP(2,1/((tblCompras[Produto]=$B50)*(tblCompras[Unid.]=$C50)*(tblCompras[Preço Unit.]=$E50)),tblCompras[Mercado]),"")</f>
        <v>Supermercados Nori</v>
      </c>
      <c r="G50" s="214" t="n">
        <f aca="false">IFERROR(LOOKUP(2,1/((tblCompras[Produto]=$B50)*(tblCompras[Unid.]=$C50)*(tblCompras[Preço Unit.]=$E50)),tblCompras[Data]),"")</f>
        <v>46185</v>
      </c>
      <c r="H50" s="205" t="n">
        <f aca="false">IFERROR(_xlfn.MAXIFS(tblCompras[Preço Unit.],tblCompras[Produto],$B50,tblCompras[Unid.],$C50),"")</f>
        <v>4.49</v>
      </c>
      <c r="I50" s="213" t="str">
        <f aca="false">IFERROR(LOOKUP(2,1/((tblCompras[Produto]=$B50)*(tblCompras[Unid.]=$C50)*(tblCompras[Preço Unit.]=$H50)),tblCompras[Mercado]),"")</f>
        <v>Supermercados Nori</v>
      </c>
      <c r="J50" s="214" t="n">
        <f aca="false">IFERROR(LOOKUP(2,1/((tblCompras[Produto]=$B50)*(tblCompras[Unid.]=$C50)*(tblCompras[Preço Unit.]=$H50)),tblCompras[Data]),"")</f>
        <v>46185</v>
      </c>
      <c r="K50" s="215" t="n">
        <f aca="false">IF(OR($E50="",$H50=""),"",MAX(0,$H50-$E50))</f>
        <v>0</v>
      </c>
      <c r="L50" s="216" t="n">
        <f aca="false">IF(OR($E50="",$H50="",$E50=0),"",($H50-$E50)/$E50)</f>
        <v>0</v>
      </c>
      <c r="M50" s="205" t="n">
        <f aca="false">IFERROR(LOOKUP(2,1/((tblCompras[Produto]=$B50)*(tblCompras[Unid.]=$C50)*(tblCompras[Data]=_xlfn.MAXIFS(tblCompras[Data],tblCompras[Produto],$B50,tblCompras[Unid.],$C50))),tblCompras[Preço Unit.]),"")</f>
        <v>4.49</v>
      </c>
      <c r="N50" s="213" t="str">
        <f aca="false">IFERROR(LOOKUP(2,1/((tblCompras[Produto]=$B50)*(tblCompras[Unid.]=$C50)*(tblCompras[Data]=_xlfn.MAXIFS(tblCompras[Data],tblCompras[Produto],$B50,tblCompras[Unid.],$C50))),tblCompras[Mercado])&amp;" · "&amp;TEXT(DAY(_xlfn.MAXIFS(tblCompras[Data],tblCompras[Produto],$B50,tblCompras[Unid.],$C50)),"00")&amp;"/"&amp;TEXT(MONTH(_xlfn.MAXIFS(tblCompras[Data],tblCompras[Produto],$B50,tblCompras[Unid.],$C50)),"00")&amp;"/"&amp;TEXT(MOD(YEAR(_xlfn.MAXIFS(tblCompras[Data],tblCompras[Produto],$B50,tblCompras[Unid.],$C50)),100),"00"),"")</f>
        <v>Supermercados Nori · 12/06/26</v>
      </c>
      <c r="O50" s="1"/>
      <c r="P50" s="1" t="str">
        <f aca="false">IF(AND(ISNUMBER($K50),$K50&gt;0,OR($B$6="Todas",$D50=$B$6)),$K50+ROW()/100000,"")</f>
        <v/>
      </c>
      <c r="Q50" s="1"/>
      <c r="R50" s="1"/>
      <c r="S50" s="1"/>
      <c r="T50" s="1"/>
    </row>
    <row r="51" customFormat="false" ht="15" hidden="false" customHeight="false" outlineLevel="0" collapsed="false">
      <c r="A51" s="1"/>
      <c r="B51" s="197" t="s">
        <v>1105</v>
      </c>
      <c r="C51" s="209" t="s">
        <v>179</v>
      </c>
      <c r="D51" s="197" t="s">
        <v>18</v>
      </c>
      <c r="E51" s="200" t="n">
        <f aca="false">IFERROR(_xlfn.MINIFS(tblCompras[Preço Unit.],tblCompras[Produto],$B51,tblCompras[Unid.],$C51),"")</f>
        <v>5.7</v>
      </c>
      <c r="F51" s="209" t="str">
        <f aca="false">IFERROR(LOOKUP(2,1/((tblCompras[Produto]=$B51)*(tblCompras[Unid.]=$C51)*(tblCompras[Preço Unit.]=$E51)),tblCompras[Mercado]),"")</f>
        <v>Supermercados Nori</v>
      </c>
      <c r="G51" s="210" t="n">
        <f aca="false">IFERROR(LOOKUP(2,1/((tblCompras[Produto]=$B51)*(tblCompras[Unid.]=$C51)*(tblCompras[Preço Unit.]=$E51)),tblCompras[Data]),"")</f>
        <v>46157</v>
      </c>
      <c r="H51" s="200" t="n">
        <f aca="false">IFERROR(_xlfn.MAXIFS(tblCompras[Preço Unit.],tblCompras[Produto],$B51,tblCompras[Unid.],$C51),"")</f>
        <v>5.7</v>
      </c>
      <c r="I51" s="209" t="str">
        <f aca="false">IFERROR(LOOKUP(2,1/((tblCompras[Produto]=$B51)*(tblCompras[Unid.]=$C51)*(tblCompras[Preço Unit.]=$H51)),tblCompras[Mercado]),"")</f>
        <v>Supermercados Nori</v>
      </c>
      <c r="J51" s="210" t="n">
        <f aca="false">IFERROR(LOOKUP(2,1/((tblCompras[Produto]=$B51)*(tblCompras[Unid.]=$C51)*(tblCompras[Preço Unit.]=$H51)),tblCompras[Data]),"")</f>
        <v>46157</v>
      </c>
      <c r="K51" s="211" t="n">
        <f aca="false">IF(OR($E51="",$H51=""),"",MAX(0,$H51-$E51))</f>
        <v>0</v>
      </c>
      <c r="L51" s="212" t="n">
        <f aca="false">IF(OR($E51="",$H51="",$E51=0),"",($H51-$E51)/$E51)</f>
        <v>0</v>
      </c>
      <c r="M51" s="200" t="n">
        <f aca="false">IFERROR(LOOKUP(2,1/((tblCompras[Produto]=$B51)*(tblCompras[Unid.]=$C51)*(tblCompras[Data]=_xlfn.MAXIFS(tblCompras[Data],tblCompras[Produto],$B51,tblCompras[Unid.],$C51))),tblCompras[Preço Unit.]),"")</f>
        <v>5.7</v>
      </c>
      <c r="N51" s="209" t="str">
        <f aca="false">IFERROR(LOOKUP(2,1/((tblCompras[Produto]=$B51)*(tblCompras[Unid.]=$C51)*(tblCompras[Data]=_xlfn.MAXIFS(tblCompras[Data],tblCompras[Produto],$B51,tblCompras[Unid.],$C51))),tblCompras[Mercado])&amp;" · "&amp;TEXT(DAY(_xlfn.MAXIFS(tblCompras[Data],tblCompras[Produto],$B51,tblCompras[Unid.],$C51)),"00")&amp;"/"&amp;TEXT(MONTH(_xlfn.MAXIFS(tblCompras[Data],tblCompras[Produto],$B51,tblCompras[Unid.],$C51)),"00")&amp;"/"&amp;TEXT(MOD(YEAR(_xlfn.MAXIFS(tblCompras[Data],tblCompras[Produto],$B51,tblCompras[Unid.],$C51)),100),"00"),"")</f>
        <v>Supermercados Nori · 15/05/26</v>
      </c>
      <c r="O51" s="1"/>
      <c r="P51" s="1" t="str">
        <f aca="false">IF(AND(ISNUMBER($K51),$K51&gt;0,OR($B$6="Todas",$D51=$B$6)),$K51+ROW()/100000,"")</f>
        <v/>
      </c>
      <c r="Q51" s="1"/>
      <c r="R51" s="1"/>
      <c r="S51" s="1"/>
      <c r="T51" s="1"/>
    </row>
    <row r="52" customFormat="false" ht="15" hidden="false" customHeight="false" outlineLevel="0" collapsed="false">
      <c r="A52" s="1"/>
      <c r="B52" s="202" t="s">
        <v>1114</v>
      </c>
      <c r="C52" s="213" t="s">
        <v>176</v>
      </c>
      <c r="D52" s="202" t="s">
        <v>15</v>
      </c>
      <c r="E52" s="205" t="n">
        <f aca="false">IFERROR(_xlfn.MINIFS(tblCompras[Preço Unit.],tblCompras[Produto],$B52,tblCompras[Unid.],$C52),"")</f>
        <v>23.972602739726</v>
      </c>
      <c r="F52" s="213" t="str">
        <f aca="false">IFERROR(LOOKUP(2,1/((tblCompras[Produto]=$B52)*(tblCompras[Unid.]=$C52)*(tblCompras[Preço Unit.]=$E52)),tblCompras[Mercado]),"")</f>
        <v>Varejao Monteverde</v>
      </c>
      <c r="G52" s="214" t="n">
        <f aca="false">IFERROR(LOOKUP(2,1/((tblCompras[Produto]=$B52)*(tblCompras[Unid.]=$C52)*(tblCompras[Preço Unit.]=$E52)),tblCompras[Data]),"")</f>
        <v>46200</v>
      </c>
      <c r="H52" s="205" t="n">
        <f aca="false">IFERROR(_xlfn.MAXIFS(tblCompras[Preço Unit.],tblCompras[Produto],$B52,tblCompras[Unid.],$C52),"")</f>
        <v>25.9558823529412</v>
      </c>
      <c r="I52" s="213" t="str">
        <f aca="false">IFERROR(LOOKUP(2,1/((tblCompras[Produto]=$B52)*(tblCompras[Unid.]=$C52)*(tblCompras[Preço Unit.]=$H52)),tblCompras[Mercado]),"")</f>
        <v>Varejao Monteverde</v>
      </c>
      <c r="J52" s="214" t="n">
        <f aca="false">IFERROR(LOOKUP(2,1/((tblCompras[Produto]=$B52)*(tblCompras[Unid.]=$C52)*(tblCompras[Preço Unit.]=$H52)),tblCompras[Data]),"")</f>
        <v>46156</v>
      </c>
      <c r="K52" s="215" t="n">
        <f aca="false">IF(OR($E52="",$H52=""),"",MAX(0,$H52-$E52))</f>
        <v>1.98327961321515</v>
      </c>
      <c r="L52" s="216" t="n">
        <f aca="false">IF(OR($E52="",$H52="",$E52=0),"",($H52-$E52)/$E52)</f>
        <v>0.0827310924369747</v>
      </c>
      <c r="M52" s="205" t="n">
        <f aca="false">IFERROR(LOOKUP(2,1/((tblCompras[Produto]=$B52)*(tblCompras[Unid.]=$C52)*(tblCompras[Data]=_xlfn.MAXIFS(tblCompras[Data],tblCompras[Produto],$B52,tblCompras[Unid.],$C52))),tblCompras[Preço Unit.]),"")</f>
        <v>23.972602739726</v>
      </c>
      <c r="N52" s="213" t="str">
        <f aca="false">IFERROR(LOOKUP(2,1/((tblCompras[Produto]=$B52)*(tblCompras[Unid.]=$C52)*(tblCompras[Data]=_xlfn.MAXIFS(tblCompras[Data],tblCompras[Produto],$B52,tblCompras[Unid.],$C52))),tblCompras[Mercado])&amp;" · "&amp;TEXT(DAY(_xlfn.MAXIFS(tblCompras[Data],tblCompras[Produto],$B52,tblCompras[Unid.],$C52)),"00")&amp;"/"&amp;TEXT(MONTH(_xlfn.MAXIFS(tblCompras[Data],tblCompras[Produto],$B52,tblCompras[Unid.],$C52)),"00")&amp;"/"&amp;TEXT(MOD(YEAR(_xlfn.MAXIFS(tblCompras[Data],tblCompras[Produto],$B52,tblCompras[Unid.],$C52)),100),"00"),"")</f>
        <v>Varejao Monteverde · 27/06/26</v>
      </c>
      <c r="O52" s="1"/>
      <c r="P52" s="1" t="n">
        <f aca="false">IF(AND(ISNUMBER($K52),$K52&gt;0,OR($B$6="Todas",$D52=$B$6)),$K52+ROW()/100000,"")</f>
        <v>1.98379961321515</v>
      </c>
      <c r="Q52" s="1"/>
      <c r="R52" s="1"/>
      <c r="S52" s="1"/>
      <c r="T52" s="1"/>
    </row>
    <row r="53" customFormat="false" ht="15" hidden="false" customHeight="false" outlineLevel="0" collapsed="false">
      <c r="A53" s="1"/>
      <c r="B53" s="197" t="s">
        <v>477</v>
      </c>
      <c r="C53" s="209" t="s">
        <v>179</v>
      </c>
      <c r="D53" s="197" t="s">
        <v>15</v>
      </c>
      <c r="E53" s="200" t="n">
        <f aca="false">IFERROR(_xlfn.MINIFS(tblCompras[Preço Unit.],tblCompras[Produto],$B53,tblCompras[Unid.],$C53),"")</f>
        <v>3.9</v>
      </c>
      <c r="F53" s="209" t="str">
        <f aca="false">IFERROR(LOOKUP(2,1/((tblCompras[Produto]=$B53)*(tblCompras[Unid.]=$C53)*(tblCompras[Preço Unit.]=$E53)),tblCompras[Mercado]),"")</f>
        <v>Varejao Monteverde</v>
      </c>
      <c r="G53" s="210" t="n">
        <f aca="false">IFERROR(LOOKUP(2,1/((tblCompras[Produto]=$B53)*(tblCompras[Unid.]=$C53)*(tblCompras[Preço Unit.]=$E53)),tblCompras[Data]),"")</f>
        <v>46176</v>
      </c>
      <c r="H53" s="200" t="n">
        <f aca="false">IFERROR(_xlfn.MAXIFS(tblCompras[Preço Unit.],tblCompras[Produto],$B53,tblCompras[Unid.],$C53),"")</f>
        <v>3.9</v>
      </c>
      <c r="I53" s="209" t="str">
        <f aca="false">IFERROR(LOOKUP(2,1/((tblCompras[Produto]=$B53)*(tblCompras[Unid.]=$C53)*(tblCompras[Preço Unit.]=$H53)),tblCompras[Mercado]),"")</f>
        <v>Varejao Monteverde</v>
      </c>
      <c r="J53" s="210" t="n">
        <f aca="false">IFERROR(LOOKUP(2,1/((tblCompras[Produto]=$B53)*(tblCompras[Unid.]=$C53)*(tblCompras[Preço Unit.]=$H53)),tblCompras[Data]),"")</f>
        <v>46176</v>
      </c>
      <c r="K53" s="211" t="n">
        <f aca="false">IF(OR($E53="",$H53=""),"",MAX(0,$H53-$E53))</f>
        <v>0</v>
      </c>
      <c r="L53" s="212" t="n">
        <f aca="false">IF(OR($E53="",$H53="",$E53=0),"",($H53-$E53)/$E53)</f>
        <v>0</v>
      </c>
      <c r="M53" s="200" t="n">
        <f aca="false">IFERROR(LOOKUP(2,1/((tblCompras[Produto]=$B53)*(tblCompras[Unid.]=$C53)*(tblCompras[Data]=_xlfn.MAXIFS(tblCompras[Data],tblCompras[Produto],$B53,tblCompras[Unid.],$C53))),tblCompras[Preço Unit.]),"")</f>
        <v>3.9</v>
      </c>
      <c r="N53" s="209" t="str">
        <f aca="false">IFERROR(LOOKUP(2,1/((tblCompras[Produto]=$B53)*(tblCompras[Unid.]=$C53)*(tblCompras[Data]=_xlfn.MAXIFS(tblCompras[Data],tblCompras[Produto],$B53,tblCompras[Unid.],$C53))),tblCompras[Mercado])&amp;" · "&amp;TEXT(DAY(_xlfn.MAXIFS(tblCompras[Data],tblCompras[Produto],$B53,tblCompras[Unid.],$C53)),"00")&amp;"/"&amp;TEXT(MONTH(_xlfn.MAXIFS(tblCompras[Data],tblCompras[Produto],$B53,tblCompras[Unid.],$C53)),"00")&amp;"/"&amp;TEXT(MOD(YEAR(_xlfn.MAXIFS(tblCompras[Data],tblCompras[Produto],$B53,tblCompras[Unid.],$C53)),100),"00"),"")</f>
        <v>Varejao Monteverde · 03/06/26</v>
      </c>
      <c r="O53" s="1"/>
      <c r="P53" s="1" t="str">
        <f aca="false">IF(AND(ISNUMBER($K53),$K53&gt;0,OR($B$6="Todas",$D53=$B$6)),$K53+ROW()/100000,"")</f>
        <v/>
      </c>
      <c r="Q53" s="1"/>
      <c r="R53" s="1"/>
      <c r="S53" s="1"/>
      <c r="T53" s="1"/>
    </row>
    <row r="54" customFormat="false" ht="15" hidden="false" customHeight="false" outlineLevel="0" collapsed="false">
      <c r="A54" s="1"/>
      <c r="B54" s="202" t="s">
        <v>284</v>
      </c>
      <c r="C54" s="213" t="s">
        <v>176</v>
      </c>
      <c r="D54" s="202" t="s">
        <v>15</v>
      </c>
      <c r="E54" s="205" t="n">
        <f aca="false">IFERROR(_xlfn.MINIFS(tblCompras[Preço Unit.],tblCompras[Produto],$B54,tblCompras[Unid.],$C54),"")</f>
        <v>3.98275862068966</v>
      </c>
      <c r="F54" s="213" t="str">
        <f aca="false">IFERROR(LOOKUP(2,1/((tblCompras[Produto]=$B54)*(tblCompras[Unid.]=$C54)*(tblCompras[Preço Unit.]=$E54)),tblCompras[Mercado]),"")</f>
        <v>Supermercado Canesin</v>
      </c>
      <c r="G54" s="214" t="n">
        <f aca="false">IFERROR(LOOKUP(2,1/((tblCompras[Produto]=$B54)*(tblCompras[Unid.]=$C54)*(tblCompras[Preço Unit.]=$E54)),tblCompras[Data]),"")</f>
        <v>46177</v>
      </c>
      <c r="H54" s="205" t="n">
        <f aca="false">IFERROR(_xlfn.MAXIFS(tblCompras[Preço Unit.],tblCompras[Produto],$B54,tblCompras[Unid.],$C54),"")</f>
        <v>6.98887343532684</v>
      </c>
      <c r="I54" s="213" t="str">
        <f aca="false">IFERROR(LOOKUP(2,1/((tblCompras[Produto]=$B54)*(tblCompras[Unid.]=$C54)*(tblCompras[Preço Unit.]=$H54)),tblCompras[Mercado]),"")</f>
        <v>Supermercados Nori</v>
      </c>
      <c r="J54" s="214" t="n">
        <f aca="false">IFERROR(LOOKUP(2,1/((tblCompras[Produto]=$B54)*(tblCompras[Unid.]=$C54)*(tblCompras[Preço Unit.]=$H54)),tblCompras[Data]),"")</f>
        <v>46215</v>
      </c>
      <c r="K54" s="215" t="n">
        <f aca="false">IF(OR($E54="",$H54=""),"",MAX(0,$H54-$E54))</f>
        <v>3.00611481463719</v>
      </c>
      <c r="L54" s="216" t="n">
        <f aca="false">IF(OR($E54="",$H54="",$E54=0),"",($H54-$E54)/$E54)</f>
        <v>0.754782074670809</v>
      </c>
      <c r="M54" s="205" t="n">
        <f aca="false">IFERROR(LOOKUP(2,1/((tblCompras[Produto]=$B54)*(tblCompras[Unid.]=$C54)*(tblCompras[Data]=_xlfn.MAXIFS(tblCompras[Data],tblCompras[Produto],$B54,tblCompras[Unid.],$C54))),tblCompras[Preço Unit.]),"")</f>
        <v>6.98778833107191</v>
      </c>
      <c r="N54" s="213" t="str">
        <f aca="false">IFERROR(LOOKUP(2,1/((tblCompras[Produto]=$B54)*(tblCompras[Unid.]=$C54)*(tblCompras[Data]=_xlfn.MAXIFS(tblCompras[Data],tblCompras[Produto],$B54,tblCompras[Unid.],$C54))),tblCompras[Mercado])&amp;" · "&amp;TEXT(DAY(_xlfn.MAXIFS(tblCompras[Data],tblCompras[Produto],$B54,tblCompras[Unid.],$C54)),"00")&amp;"/"&amp;TEXT(MONTH(_xlfn.MAXIFS(tblCompras[Data],tblCompras[Produto],$B54,tblCompras[Unid.],$C54)),"00")&amp;"/"&amp;TEXT(MOD(YEAR(_xlfn.MAXIFS(tblCompras[Data],tblCompras[Produto],$B54,tblCompras[Unid.],$C54)),100),"00"),"")</f>
        <v>Supermercados Nori · 09/08/26</v>
      </c>
      <c r="O54" s="1"/>
      <c r="P54" s="1" t="n">
        <f aca="false">IF(AND(ISNUMBER($K54),$K54&gt;0,OR($B$6="Todas",$D54=$B$6)),$K54+ROW()/100000,"")</f>
        <v>3.00665481463719</v>
      </c>
      <c r="Q54" s="1"/>
      <c r="R54" s="1"/>
      <c r="S54" s="1"/>
      <c r="T54" s="1"/>
    </row>
    <row r="55" customFormat="false" ht="15" hidden="false" customHeight="false" outlineLevel="0" collapsed="false">
      <c r="A55" s="1"/>
      <c r="B55" s="197" t="s">
        <v>481</v>
      </c>
      <c r="C55" s="209" t="s">
        <v>176</v>
      </c>
      <c r="D55" s="197" t="s">
        <v>15</v>
      </c>
      <c r="E55" s="200" t="n">
        <f aca="false">IFERROR(_xlfn.MINIFS(tblCompras[Preço Unit.],tblCompras[Produto],$B55,tblCompras[Unid.],$C55),"")</f>
        <v>5.2827380952381</v>
      </c>
      <c r="F55" s="209" t="str">
        <f aca="false">IFERROR(LOOKUP(2,1/((tblCompras[Produto]=$B55)*(tblCompras[Unid.]=$C55)*(tblCompras[Preço Unit.]=$E55)),tblCompras[Mercado]),"")</f>
        <v>Varejao Monteverde</v>
      </c>
      <c r="G55" s="210" t="n">
        <f aca="false">IFERROR(LOOKUP(2,1/((tblCompras[Produto]=$B55)*(tblCompras[Unid.]=$C55)*(tblCompras[Preço Unit.]=$E55)),tblCompras[Data]),"")</f>
        <v>46220</v>
      </c>
      <c r="H55" s="200" t="n">
        <f aca="false">IFERROR(_xlfn.MAXIFS(tblCompras[Preço Unit.],tblCompras[Produto],$B55,tblCompras[Unid.],$C55),"")</f>
        <v>10.9792993630573</v>
      </c>
      <c r="I55" s="209" t="str">
        <f aca="false">IFERROR(LOOKUP(2,1/((tblCompras[Produto]=$B55)*(tblCompras[Unid.]=$C55)*(tblCompras[Preço Unit.]=$H55)),tblCompras[Mercado]),"")</f>
        <v>Varejao Monteverde</v>
      </c>
      <c r="J55" s="210" t="n">
        <f aca="false">IFERROR(LOOKUP(2,1/((tblCompras[Produto]=$B55)*(tblCompras[Unid.]=$C55)*(tblCompras[Preço Unit.]=$H55)),tblCompras[Data]),"")</f>
        <v>46163</v>
      </c>
      <c r="K55" s="211" t="n">
        <f aca="false">IF(OR($E55="",$H55=""),"",MAX(0,$H55-$E55))</f>
        <v>5.69656126781923</v>
      </c>
      <c r="L55" s="212" t="n">
        <f aca="false">IF(OR($E55="",$H55="",$E55=0),"",($H55-$E55)/$E55)</f>
        <v>1.07833497802099</v>
      </c>
      <c r="M55" s="200" t="n">
        <f aca="false">IFERROR(LOOKUP(2,1/((tblCompras[Produto]=$B55)*(tblCompras[Unid.]=$C55)*(tblCompras[Data]=_xlfn.MAXIFS(tblCompras[Data],tblCompras[Produto],$B55,tblCompras[Unid.],$C55))),tblCompras[Preço Unit.]),"")</f>
        <v>5.28301886792453</v>
      </c>
      <c r="N55" s="209" t="str">
        <f aca="false">IFERROR(LOOKUP(2,1/((tblCompras[Produto]=$B55)*(tblCompras[Unid.]=$C55)*(tblCompras[Data]=_xlfn.MAXIFS(tblCompras[Data],tblCompras[Produto],$B55,tblCompras[Unid.],$C55))),tblCompras[Mercado])&amp;" · "&amp;TEXT(DAY(_xlfn.MAXIFS(tblCompras[Data],tblCompras[Produto],$B55,tblCompras[Unid.],$C55)),"00")&amp;"/"&amp;TEXT(MONTH(_xlfn.MAXIFS(tblCompras[Data],tblCompras[Produto],$B55,tblCompras[Unid.],$C55)),"00")&amp;"/"&amp;TEXT(MOD(YEAR(_xlfn.MAXIFS(tblCompras[Data],tblCompras[Produto],$B55,tblCompras[Unid.],$C55)),100),"00"),"")</f>
        <v>Varejao Monteverde · 23/07/26</v>
      </c>
      <c r="O55" s="1"/>
      <c r="P55" s="1" t="n">
        <f aca="false">IF(AND(ISNUMBER($K55),$K55&gt;0,OR($B$6="Todas",$D55=$B$6)),$K55+ROW()/100000,"")</f>
        <v>5.69711126781923</v>
      </c>
      <c r="Q55" s="1"/>
      <c r="R55" s="1"/>
      <c r="S55" s="1"/>
      <c r="T55" s="1"/>
    </row>
    <row r="56" customFormat="false" ht="15" hidden="false" customHeight="false" outlineLevel="0" collapsed="false">
      <c r="A56" s="1"/>
      <c r="B56" s="202" t="s">
        <v>282</v>
      </c>
      <c r="C56" s="213" t="s">
        <v>176</v>
      </c>
      <c r="D56" s="202" t="s">
        <v>15</v>
      </c>
      <c r="E56" s="205" t="n">
        <f aca="false">IFERROR(_xlfn.MINIFS(tblCompras[Preço Unit.],tblCompras[Produto],$B56,tblCompras[Unid.],$C56),"")</f>
        <v>3.4775641025641</v>
      </c>
      <c r="F56" s="213" t="str">
        <f aca="false">IFERROR(LOOKUP(2,1/((tblCompras[Produto]=$B56)*(tblCompras[Unid.]=$C56)*(tblCompras[Preço Unit.]=$E56)),tblCompras[Mercado]),"")</f>
        <v>Varejao Monteverde</v>
      </c>
      <c r="G56" s="214" t="n">
        <f aca="false">IFERROR(LOOKUP(2,1/((tblCompras[Produto]=$B56)*(tblCompras[Unid.]=$C56)*(tblCompras[Preço Unit.]=$E56)),tblCompras[Data]),"")</f>
        <v>46176</v>
      </c>
      <c r="H56" s="205" t="n">
        <f aca="false">IFERROR(_xlfn.MAXIFS(tblCompras[Preço Unit.],tblCompras[Produto],$B56,tblCompras[Unid.],$C56),"")</f>
        <v>3.48432055749129</v>
      </c>
      <c r="I56" s="213" t="str">
        <f aca="false">IFERROR(LOOKUP(2,1/((tblCompras[Produto]=$B56)*(tblCompras[Unid.]=$C56)*(tblCompras[Preço Unit.]=$H56)),tblCompras[Mercado]),"")</f>
        <v>Varejao Monteverde</v>
      </c>
      <c r="J56" s="214" t="n">
        <f aca="false">IFERROR(LOOKUP(2,1/((tblCompras[Produto]=$B56)*(tblCompras[Unid.]=$C56)*(tblCompras[Preço Unit.]=$H56)),tblCompras[Data]),"")</f>
        <v>46148</v>
      </c>
      <c r="K56" s="215" t="n">
        <f aca="false">IF(OR($E56="",$H56=""),"",MAX(0,$H56-$E56))</f>
        <v>0.0067564549271868</v>
      </c>
      <c r="L56" s="216" t="n">
        <f aca="false">IF(OR($E56="",$H56="",$E56=0),"",($H56-$E56)/$E56)</f>
        <v>0.0019428699882786</v>
      </c>
      <c r="M56" s="205" t="n">
        <f aca="false">IFERROR(LOOKUP(2,1/((tblCompras[Produto]=$B56)*(tblCompras[Unid.]=$C56)*(tblCompras[Data]=_xlfn.MAXIFS(tblCompras[Data],tblCompras[Produto],$B56,tblCompras[Unid.],$C56))),tblCompras[Preço Unit.]),"")</f>
        <v>3.4775641025641</v>
      </c>
      <c r="N56" s="213" t="str">
        <f aca="false">IFERROR(LOOKUP(2,1/((tblCompras[Produto]=$B56)*(tblCompras[Unid.]=$C56)*(tblCompras[Data]=_xlfn.MAXIFS(tblCompras[Data],tblCompras[Produto],$B56,tblCompras[Unid.],$C56))),tblCompras[Mercado])&amp;" · "&amp;TEXT(DAY(_xlfn.MAXIFS(tblCompras[Data],tblCompras[Produto],$B56,tblCompras[Unid.],$C56)),"00")&amp;"/"&amp;TEXT(MONTH(_xlfn.MAXIFS(tblCompras[Data],tblCompras[Produto],$B56,tblCompras[Unid.],$C56)),"00")&amp;"/"&amp;TEXT(MOD(YEAR(_xlfn.MAXIFS(tblCompras[Data],tblCompras[Produto],$B56,tblCompras[Unid.],$C56)),100),"00"),"")</f>
        <v>Varejao Monteverde · 03/06/26</v>
      </c>
      <c r="O56" s="1"/>
      <c r="P56" s="1" t="n">
        <f aca="false">IF(AND(ISNUMBER($K56),$K56&gt;0,OR($B$6="Todas",$D56=$B$6)),$K56+ROW()/100000,"")</f>
        <v>0.00731645492718679</v>
      </c>
      <c r="Q56" s="1"/>
      <c r="R56" s="1"/>
      <c r="S56" s="1"/>
      <c r="T56" s="1"/>
    </row>
    <row r="57" customFormat="false" ht="15" hidden="false" customHeight="false" outlineLevel="0" collapsed="false">
      <c r="A57" s="1"/>
      <c r="B57" s="197" t="s">
        <v>585</v>
      </c>
      <c r="C57" s="209" t="s">
        <v>176</v>
      </c>
      <c r="D57" s="197" t="s">
        <v>15</v>
      </c>
      <c r="E57" s="200" t="n">
        <f aca="false">IFERROR(_xlfn.MINIFS(tblCompras[Preço Unit.],tblCompras[Produto],$B57,tblCompras[Unid.],$C57),"")</f>
        <v>5.28846153846154</v>
      </c>
      <c r="F57" s="209" t="str">
        <f aca="false">IFERROR(LOOKUP(2,1/((tblCompras[Produto]=$B57)*(tblCompras[Unid.]=$C57)*(tblCompras[Preço Unit.]=$E57)),tblCompras[Mercado]),"")</f>
        <v>Varejao Monteverde</v>
      </c>
      <c r="G57" s="210" t="n">
        <f aca="false">IFERROR(LOOKUP(2,1/((tblCompras[Produto]=$B57)*(tblCompras[Unid.]=$C57)*(tblCompras[Preço Unit.]=$E57)),tblCompras[Data]),"")</f>
        <v>46226</v>
      </c>
      <c r="H57" s="200" t="n">
        <f aca="false">IFERROR(_xlfn.MAXIFS(tblCompras[Preço Unit.],tblCompras[Produto],$B57,tblCompras[Unid.],$C57),"")</f>
        <v>7.97348484848485</v>
      </c>
      <c r="I57" s="209" t="str">
        <f aca="false">IFERROR(LOOKUP(2,1/((tblCompras[Produto]=$B57)*(tblCompras[Unid.]=$C57)*(tblCompras[Preço Unit.]=$H57)),tblCompras[Mercado]),"")</f>
        <v>Varejao Monteverde</v>
      </c>
      <c r="J57" s="210" t="n">
        <f aca="false">IFERROR(LOOKUP(2,1/((tblCompras[Produto]=$B57)*(tblCompras[Unid.]=$C57)*(tblCompras[Preço Unit.]=$H57)),tblCompras[Data]),"")</f>
        <v>46176</v>
      </c>
      <c r="K57" s="211" t="n">
        <f aca="false">IF(OR($E57="",$H57=""),"",MAX(0,$H57-$E57))</f>
        <v>2.68502331002331</v>
      </c>
      <c r="L57" s="212" t="n">
        <f aca="false">IF(OR($E57="",$H57="",$E57=0),"",($H57-$E57)/$E57)</f>
        <v>0.507713498622589</v>
      </c>
      <c r="M57" s="200" t="n">
        <f aca="false">IFERROR(LOOKUP(2,1/((tblCompras[Produto]=$B57)*(tblCompras[Unid.]=$C57)*(tblCompras[Data]=_xlfn.MAXIFS(tblCompras[Data],tblCompras[Produto],$B57,tblCompras[Unid.],$C57))),tblCompras[Preço Unit.]),"")</f>
        <v>5.28846153846154</v>
      </c>
      <c r="N57" s="209" t="str">
        <f aca="false">IFERROR(LOOKUP(2,1/((tblCompras[Produto]=$B57)*(tblCompras[Unid.]=$C57)*(tblCompras[Data]=_xlfn.MAXIFS(tblCompras[Data],tblCompras[Produto],$B57,tblCompras[Unid.],$C57))),tblCompras[Mercado])&amp;" · "&amp;TEXT(DAY(_xlfn.MAXIFS(tblCompras[Data],tblCompras[Produto],$B57,tblCompras[Unid.],$C57)),"00")&amp;"/"&amp;TEXT(MONTH(_xlfn.MAXIFS(tblCompras[Data],tblCompras[Produto],$B57,tblCompras[Unid.],$C57)),"00")&amp;"/"&amp;TEXT(MOD(YEAR(_xlfn.MAXIFS(tblCompras[Data],tblCompras[Produto],$B57,tblCompras[Unid.],$C57)),100),"00"),"")</f>
        <v>Varejao Monteverde · 23/07/26</v>
      </c>
      <c r="O57" s="1"/>
      <c r="P57" s="1" t="n">
        <f aca="false">IF(AND(ISNUMBER($K57),$K57&gt;0,OR($B$6="Todas",$D57=$B$6)),$K57+ROW()/100000,"")</f>
        <v>2.68559331002331</v>
      </c>
      <c r="Q57" s="1"/>
      <c r="R57" s="1"/>
      <c r="S57" s="1"/>
      <c r="T57" s="1"/>
    </row>
    <row r="58" customFormat="false" ht="15" hidden="false" customHeight="false" outlineLevel="0" collapsed="false">
      <c r="A58" s="1"/>
      <c r="B58" s="202" t="s">
        <v>1112</v>
      </c>
      <c r="C58" s="213" t="s">
        <v>179</v>
      </c>
      <c r="D58" s="202" t="s">
        <v>15</v>
      </c>
      <c r="E58" s="205" t="n">
        <f aca="false">IFERROR(_xlfn.MINIFS(tblCompras[Preço Unit.],tblCompras[Produto],$B58,tblCompras[Unid.],$C58),"")</f>
        <v>9.9</v>
      </c>
      <c r="F58" s="213" t="str">
        <f aca="false">IFERROR(LOOKUP(2,1/((tblCompras[Produto]=$B58)*(tblCompras[Unid.]=$C58)*(tblCompras[Preço Unit.]=$E58)),tblCompras[Mercado]),"")</f>
        <v>Varejao Monteverde</v>
      </c>
      <c r="G58" s="214" t="n">
        <f aca="false">IFERROR(LOOKUP(2,1/((tblCompras[Produto]=$B58)*(tblCompras[Unid.]=$C58)*(tblCompras[Preço Unit.]=$E58)),tblCompras[Data]),"")</f>
        <v>46156</v>
      </c>
      <c r="H58" s="205" t="n">
        <f aca="false">IFERROR(_xlfn.MAXIFS(tblCompras[Preço Unit.],tblCompras[Produto],$B58,tblCompras[Unid.],$C58),"")</f>
        <v>9.9</v>
      </c>
      <c r="I58" s="213" t="str">
        <f aca="false">IFERROR(LOOKUP(2,1/((tblCompras[Produto]=$B58)*(tblCompras[Unid.]=$C58)*(tblCompras[Preço Unit.]=$H58)),tblCompras[Mercado]),"")</f>
        <v>Varejao Monteverde</v>
      </c>
      <c r="J58" s="214" t="n">
        <f aca="false">IFERROR(LOOKUP(2,1/((tblCompras[Produto]=$B58)*(tblCompras[Unid.]=$C58)*(tblCompras[Preço Unit.]=$H58)),tblCompras[Data]),"")</f>
        <v>46156</v>
      </c>
      <c r="K58" s="215" t="n">
        <f aca="false">IF(OR($E58="",$H58=""),"",MAX(0,$H58-$E58))</f>
        <v>0</v>
      </c>
      <c r="L58" s="216" t="n">
        <f aca="false">IF(OR($E58="",$H58="",$E58=0),"",($H58-$E58)/$E58)</f>
        <v>0</v>
      </c>
      <c r="M58" s="205" t="n">
        <f aca="false">IFERROR(LOOKUP(2,1/((tblCompras[Produto]=$B58)*(tblCompras[Unid.]=$C58)*(tblCompras[Data]=_xlfn.MAXIFS(tblCompras[Data],tblCompras[Produto],$B58,tblCompras[Unid.],$C58))),tblCompras[Preço Unit.]),"")</f>
        <v>9.9</v>
      </c>
      <c r="N58" s="213" t="str">
        <f aca="false">IFERROR(LOOKUP(2,1/((tblCompras[Produto]=$B58)*(tblCompras[Unid.]=$C58)*(tblCompras[Data]=_xlfn.MAXIFS(tblCompras[Data],tblCompras[Produto],$B58,tblCompras[Unid.],$C58))),tblCompras[Mercado])&amp;" · "&amp;TEXT(DAY(_xlfn.MAXIFS(tblCompras[Data],tblCompras[Produto],$B58,tblCompras[Unid.],$C58)),"00")&amp;"/"&amp;TEXT(MONTH(_xlfn.MAXIFS(tblCompras[Data],tblCompras[Produto],$B58,tblCompras[Unid.],$C58)),"00")&amp;"/"&amp;TEXT(MOD(YEAR(_xlfn.MAXIFS(tblCompras[Data],tblCompras[Produto],$B58,tblCompras[Unid.],$C58)),100),"00"),"")</f>
        <v>Varejao Monteverde · 14/05/26</v>
      </c>
      <c r="O58" s="1"/>
      <c r="P58" s="1" t="str">
        <f aca="false">IF(AND(ISNUMBER($K58),$K58&gt;0,OR($B$6="Todas",$D58=$B$6)),$K58+ROW()/100000,"")</f>
        <v/>
      </c>
      <c r="Q58" s="1"/>
      <c r="R58" s="1"/>
      <c r="S58" s="1"/>
      <c r="T58" s="1"/>
    </row>
    <row r="59" customFormat="false" ht="15" hidden="false" customHeight="false" outlineLevel="0" collapsed="false">
      <c r="A59" s="1"/>
      <c r="B59" s="197" t="s">
        <v>1116</v>
      </c>
      <c r="C59" s="209" t="s">
        <v>176</v>
      </c>
      <c r="D59" s="197" t="s">
        <v>15</v>
      </c>
      <c r="E59" s="200" t="n">
        <f aca="false">IFERROR(_xlfn.MINIFS(tblCompras[Preço Unit.],tblCompras[Produto],$B59,tblCompras[Unid.],$C59),"")</f>
        <v>8.28729281767956</v>
      </c>
      <c r="F59" s="209" t="str">
        <f aca="false">IFERROR(LOOKUP(2,1/((tblCompras[Produto]=$B59)*(tblCompras[Unid.]=$C59)*(tblCompras[Preço Unit.]=$E59)),tblCompras[Mercado]),"")</f>
        <v>Varejao Monteverde</v>
      </c>
      <c r="G59" s="210" t="n">
        <f aca="false">IFERROR(LOOKUP(2,1/((tblCompras[Produto]=$B59)*(tblCompras[Unid.]=$C59)*(tblCompras[Preço Unit.]=$E59)),tblCompras[Data]),"")</f>
        <v>46156</v>
      </c>
      <c r="H59" s="200" t="n">
        <f aca="false">IFERROR(_xlfn.MAXIFS(tblCompras[Preço Unit.],tblCompras[Produto],$B59,tblCompras[Unid.],$C59),"")</f>
        <v>8.28729281767956</v>
      </c>
      <c r="I59" s="209" t="str">
        <f aca="false">IFERROR(LOOKUP(2,1/((tblCompras[Produto]=$B59)*(tblCompras[Unid.]=$C59)*(tblCompras[Preço Unit.]=$H59)),tblCompras[Mercado]),"")</f>
        <v>Varejao Monteverde</v>
      </c>
      <c r="J59" s="210" t="n">
        <f aca="false">IFERROR(LOOKUP(2,1/((tblCompras[Produto]=$B59)*(tblCompras[Unid.]=$C59)*(tblCompras[Preço Unit.]=$H59)),tblCompras[Data]),"")</f>
        <v>46156</v>
      </c>
      <c r="K59" s="211" t="n">
        <f aca="false">IF(OR($E59="",$H59=""),"",MAX(0,$H59-$E59))</f>
        <v>0</v>
      </c>
      <c r="L59" s="212" t="n">
        <f aca="false">IF(OR($E59="",$H59="",$E59=0),"",($H59-$E59)/$E59)</f>
        <v>0</v>
      </c>
      <c r="M59" s="200" t="n">
        <f aca="false">IFERROR(LOOKUP(2,1/((tblCompras[Produto]=$B59)*(tblCompras[Unid.]=$C59)*(tblCompras[Data]=_xlfn.MAXIFS(tblCompras[Data],tblCompras[Produto],$B59,tblCompras[Unid.],$C59))),tblCompras[Preço Unit.]),"")</f>
        <v>8.28729281767956</v>
      </c>
      <c r="N59" s="209" t="str">
        <f aca="false">IFERROR(LOOKUP(2,1/((tblCompras[Produto]=$B59)*(tblCompras[Unid.]=$C59)*(tblCompras[Data]=_xlfn.MAXIFS(tblCompras[Data],tblCompras[Produto],$B59,tblCompras[Unid.],$C59))),tblCompras[Mercado])&amp;" · "&amp;TEXT(DAY(_xlfn.MAXIFS(tblCompras[Data],tblCompras[Produto],$B59,tblCompras[Unid.],$C59)),"00")&amp;"/"&amp;TEXT(MONTH(_xlfn.MAXIFS(tblCompras[Data],tblCompras[Produto],$B59,tblCompras[Unid.],$C59)),"00")&amp;"/"&amp;TEXT(MOD(YEAR(_xlfn.MAXIFS(tblCompras[Data],tblCompras[Produto],$B59,tblCompras[Unid.],$C59)),100),"00"),"")</f>
        <v>Varejao Monteverde · 14/05/26</v>
      </c>
      <c r="O59" s="1"/>
      <c r="P59" s="1" t="str">
        <f aca="false">IF(AND(ISNUMBER($K59),$K59&gt;0,OR($B$6="Todas",$D59=$B$6)),$K59+ROW()/100000,"")</f>
        <v/>
      </c>
      <c r="Q59" s="1"/>
      <c r="R59" s="1"/>
      <c r="S59" s="1"/>
      <c r="T59" s="1"/>
    </row>
    <row r="60" customFormat="false" ht="15" hidden="false" customHeight="false" outlineLevel="0" collapsed="false">
      <c r="A60" s="1"/>
      <c r="B60" s="202" t="s">
        <v>479</v>
      </c>
      <c r="C60" s="213" t="s">
        <v>176</v>
      </c>
      <c r="D60" s="202" t="s">
        <v>15</v>
      </c>
      <c r="E60" s="205" t="n">
        <f aca="false">IFERROR(_xlfn.MINIFS(tblCompras[Preço Unit.],tblCompras[Produto],$B60,tblCompras[Unid.],$C60),"")</f>
        <v>9.38571428571429</v>
      </c>
      <c r="F60" s="213" t="str">
        <f aca="false">IFERROR(LOOKUP(2,1/((tblCompras[Produto]=$B60)*(tblCompras[Unid.]=$C60)*(tblCompras[Preço Unit.]=$E60)),tblCompras[Mercado]),"")</f>
        <v>Varejao Monteverde</v>
      </c>
      <c r="G60" s="214" t="n">
        <f aca="false">IFERROR(LOOKUP(2,1/((tblCompras[Produto]=$B60)*(tblCompras[Unid.]=$C60)*(tblCompras[Preço Unit.]=$E60)),tblCompras[Data]),"")</f>
        <v>46220</v>
      </c>
      <c r="H60" s="205" t="n">
        <f aca="false">IFERROR(_xlfn.MAXIFS(tblCompras[Preço Unit.],tblCompras[Produto],$B60,tblCompras[Unid.],$C60),"")</f>
        <v>11.2849872773537</v>
      </c>
      <c r="I60" s="213" t="str">
        <f aca="false">IFERROR(LOOKUP(2,1/((tblCompras[Produto]=$B60)*(tblCompras[Unid.]=$C60)*(tblCompras[Preço Unit.]=$H60)),tblCompras[Mercado]),"")</f>
        <v>Varejao Monteverde</v>
      </c>
      <c r="J60" s="214" t="n">
        <f aca="false">IFERROR(LOOKUP(2,1/((tblCompras[Produto]=$B60)*(tblCompras[Unid.]=$C60)*(tblCompras[Preço Unit.]=$H60)),tblCompras[Data]),"")</f>
        <v>46163</v>
      </c>
      <c r="K60" s="215" t="n">
        <f aca="false">IF(OR($E60="",$H60=""),"",MAX(0,$H60-$E60))</f>
        <v>1.8992729916394</v>
      </c>
      <c r="L60" s="216" t="n">
        <f aca="false">IF(OR($E60="",$H60="",$E60=0),"",($H60-$E60)/$E60)</f>
        <v>0.202357852990499</v>
      </c>
      <c r="M60" s="205" t="n">
        <f aca="false">IFERROR(LOOKUP(2,1/((tblCompras[Produto]=$B60)*(tblCompras[Unid.]=$C60)*(tblCompras[Data]=_xlfn.MAXIFS(tblCompras[Data],tblCompras[Produto],$B60,tblCompras[Unid.],$C60))),tblCompras[Preço Unit.]),"")</f>
        <v>9.38571428571429</v>
      </c>
      <c r="N60" s="213" t="str">
        <f aca="false">IFERROR(LOOKUP(2,1/((tblCompras[Produto]=$B60)*(tblCompras[Unid.]=$C60)*(tblCompras[Data]=_xlfn.MAXIFS(tblCompras[Data],tblCompras[Produto],$B60,tblCompras[Unid.],$C60))),tblCompras[Mercado])&amp;" · "&amp;TEXT(DAY(_xlfn.MAXIFS(tblCompras[Data],tblCompras[Produto],$B60,tblCompras[Unid.],$C60)),"00")&amp;"/"&amp;TEXT(MONTH(_xlfn.MAXIFS(tblCompras[Data],tblCompras[Produto],$B60,tblCompras[Unid.],$C60)),"00")&amp;"/"&amp;TEXT(MOD(YEAR(_xlfn.MAXIFS(tblCompras[Data],tblCompras[Produto],$B60,tblCompras[Unid.],$C60)),100),"00"),"")</f>
        <v>Varejao Monteverde · 17/07/26</v>
      </c>
      <c r="O60" s="1"/>
      <c r="P60" s="1" t="n">
        <f aca="false">IF(AND(ISNUMBER($K60),$K60&gt;0,OR($B$6="Todas",$D60=$B$6)),$K60+ROW()/100000,"")</f>
        <v>1.8998729916394</v>
      </c>
      <c r="Q60" s="1"/>
      <c r="R60" s="1"/>
      <c r="S60" s="1"/>
      <c r="T60" s="1"/>
    </row>
    <row r="61" customFormat="false" ht="15" hidden="false" customHeight="false" outlineLevel="0" collapsed="false">
      <c r="A61" s="1"/>
      <c r="B61" s="197" t="s">
        <v>750</v>
      </c>
      <c r="C61" s="209" t="s">
        <v>179</v>
      </c>
      <c r="D61" s="197" t="s">
        <v>15</v>
      </c>
      <c r="E61" s="200" t="n">
        <f aca="false">IFERROR(_xlfn.MINIFS(tblCompras[Preço Unit.],tblCompras[Produto],$B61,tblCompras[Unid.],$C61),"")</f>
        <v>4.9</v>
      </c>
      <c r="F61" s="209" t="str">
        <f aca="false">IFERROR(LOOKUP(2,1/((tblCompras[Produto]=$B61)*(tblCompras[Unid.]=$C61)*(tblCompras[Preço Unit.]=$E61)),tblCompras[Mercado]),"")</f>
        <v>Varejao Monteverde</v>
      </c>
      <c r="G61" s="210" t="n">
        <f aca="false">IFERROR(LOOKUP(2,1/((tblCompras[Produto]=$B61)*(tblCompras[Unid.]=$C61)*(tblCompras[Preço Unit.]=$E61)),tblCompras[Data]),"")</f>
        <v>46200</v>
      </c>
      <c r="H61" s="200" t="n">
        <f aca="false">IFERROR(_xlfn.MAXIFS(tblCompras[Preço Unit.],tblCompras[Produto],$B61,tblCompras[Unid.],$C61),"")</f>
        <v>4.9</v>
      </c>
      <c r="I61" s="209" t="str">
        <f aca="false">IFERROR(LOOKUP(2,1/((tblCompras[Produto]=$B61)*(tblCompras[Unid.]=$C61)*(tblCompras[Preço Unit.]=$H61)),tblCompras[Mercado]),"")</f>
        <v>Varejao Monteverde</v>
      </c>
      <c r="J61" s="210" t="n">
        <f aca="false">IFERROR(LOOKUP(2,1/((tblCompras[Produto]=$B61)*(tblCompras[Unid.]=$C61)*(tblCompras[Preço Unit.]=$H61)),tblCompras[Data]),"")</f>
        <v>46200</v>
      </c>
      <c r="K61" s="211" t="n">
        <f aca="false">IF(OR($E61="",$H61=""),"",MAX(0,$H61-$E61))</f>
        <v>0</v>
      </c>
      <c r="L61" s="212" t="n">
        <f aca="false">IF(OR($E61="",$H61="",$E61=0),"",($H61-$E61)/$E61)</f>
        <v>0</v>
      </c>
      <c r="M61" s="200" t="n">
        <f aca="false">IFERROR(LOOKUP(2,1/((tblCompras[Produto]=$B61)*(tblCompras[Unid.]=$C61)*(tblCompras[Data]=_xlfn.MAXIFS(tblCompras[Data],tblCompras[Produto],$B61,tblCompras[Unid.],$C61))),tblCompras[Preço Unit.]),"")</f>
        <v>4.9</v>
      </c>
      <c r="N61" s="209" t="str">
        <f aca="false">IFERROR(LOOKUP(2,1/((tblCompras[Produto]=$B61)*(tblCompras[Unid.]=$C61)*(tblCompras[Data]=_xlfn.MAXIFS(tblCompras[Data],tblCompras[Produto],$B61,tblCompras[Unid.],$C61))),tblCompras[Mercado])&amp;" · "&amp;TEXT(DAY(_xlfn.MAXIFS(tblCompras[Data],tblCompras[Produto],$B61,tblCompras[Unid.],$C61)),"00")&amp;"/"&amp;TEXT(MONTH(_xlfn.MAXIFS(tblCompras[Data],tblCompras[Produto],$B61,tblCompras[Unid.],$C61)),"00")&amp;"/"&amp;TEXT(MOD(YEAR(_xlfn.MAXIFS(tblCompras[Data],tblCompras[Produto],$B61,tblCompras[Unid.],$C61)),100),"00"),"")</f>
        <v>Varejao Monteverde · 27/06/26</v>
      </c>
      <c r="O61" s="1"/>
      <c r="P61" s="1" t="str">
        <f aca="false">IF(AND(ISNUMBER($K61),$K61&gt;0,OR($B$6="Todas",$D61=$B$6)),$K61+ROW()/100000,"")</f>
        <v/>
      </c>
      <c r="Q61" s="1"/>
      <c r="R61" s="1"/>
      <c r="S61" s="1"/>
      <c r="T61" s="1"/>
    </row>
    <row r="62" customFormat="false" ht="15" hidden="false" customHeight="false" outlineLevel="0" collapsed="false">
      <c r="A62" s="1"/>
      <c r="B62" s="202" t="s">
        <v>430</v>
      </c>
      <c r="C62" s="213" t="s">
        <v>179</v>
      </c>
      <c r="D62" s="202" t="s">
        <v>15</v>
      </c>
      <c r="E62" s="205" t="n">
        <f aca="false">IFERROR(_xlfn.MINIFS(tblCompras[Preço Unit.],tblCompras[Produto],$B62,tblCompras[Unid.],$C62),"")</f>
        <v>6</v>
      </c>
      <c r="F62" s="213" t="str">
        <f aca="false">IFERROR(LOOKUP(2,1/((tblCompras[Produto]=$B62)*(tblCompras[Unid.]=$C62)*(tblCompras[Preço Unit.]=$E62)),tblCompras[Mercado]),"")</f>
        <v>Varejao Monteverde</v>
      </c>
      <c r="G62" s="214" t="n">
        <f aca="false">IFERROR(LOOKUP(2,1/((tblCompras[Produto]=$B62)*(tblCompras[Unid.]=$C62)*(tblCompras[Preço Unit.]=$E62)),tblCompras[Data]),"")</f>
        <v>46173</v>
      </c>
      <c r="H62" s="205" t="n">
        <f aca="false">IFERROR(_xlfn.MAXIFS(tblCompras[Preço Unit.],tblCompras[Produto],$B62,tblCompras[Unid.],$C62),"")</f>
        <v>6.98</v>
      </c>
      <c r="I62" s="213" t="str">
        <f aca="false">IFERROR(LOOKUP(2,1/((tblCompras[Produto]=$B62)*(tblCompras[Unid.]=$C62)*(tblCompras[Preço Unit.]=$H62)),tblCompras[Mercado]),"")</f>
        <v>Varejao Nova Brasil</v>
      </c>
      <c r="J62" s="214" t="n">
        <f aca="false">IFERROR(LOOKUP(2,1/((tblCompras[Produto]=$B62)*(tblCompras[Unid.]=$C62)*(tblCompras[Preço Unit.]=$H62)),tblCompras[Data]),"")</f>
        <v>46158</v>
      </c>
      <c r="K62" s="215" t="n">
        <f aca="false">IF(OR($E62="",$H62=""),"",MAX(0,$H62-$E62))</f>
        <v>0.98</v>
      </c>
      <c r="L62" s="216" t="n">
        <f aca="false">IF(OR($E62="",$H62="",$E62=0),"",($H62-$E62)/$E62)</f>
        <v>0.163333333333333</v>
      </c>
      <c r="M62" s="205" t="n">
        <f aca="false">IFERROR(LOOKUP(2,1/((tblCompras[Produto]=$B62)*(tblCompras[Unid.]=$C62)*(tblCompras[Data]=_xlfn.MAXIFS(tblCompras[Data],tblCompras[Produto],$B62,tblCompras[Unid.],$C62))),tblCompras[Preço Unit.]),"")</f>
        <v>6</v>
      </c>
      <c r="N62" s="213" t="str">
        <f aca="false">IFERROR(LOOKUP(2,1/((tblCompras[Produto]=$B62)*(tblCompras[Unid.]=$C62)*(tblCompras[Data]=_xlfn.MAXIFS(tblCompras[Data],tblCompras[Produto],$B62,tblCompras[Unid.],$C62))),tblCompras[Mercado])&amp;" · "&amp;TEXT(DAY(_xlfn.MAXIFS(tblCompras[Data],tblCompras[Produto],$B62,tblCompras[Unid.],$C62)),"00")&amp;"/"&amp;TEXT(MONTH(_xlfn.MAXIFS(tblCompras[Data],tblCompras[Produto],$B62,tblCompras[Unid.],$C62)),"00")&amp;"/"&amp;TEXT(MOD(YEAR(_xlfn.MAXIFS(tblCompras[Data],tblCompras[Produto],$B62,tblCompras[Unid.],$C62)),100),"00"),"")</f>
        <v>Varejao Monteverde · 31/05/26</v>
      </c>
      <c r="O62" s="1"/>
      <c r="P62" s="1" t="n">
        <f aca="false">IF(AND(ISNUMBER($K62),$K62&gt;0,OR($B$6="Todas",$D62=$B$6)),$K62+ROW()/100000,"")</f>
        <v>0.98062</v>
      </c>
      <c r="Q62" s="1"/>
      <c r="R62" s="1"/>
      <c r="S62" s="1"/>
      <c r="T62" s="1"/>
    </row>
    <row r="63" customFormat="false" ht="15" hidden="false" customHeight="false" outlineLevel="0" collapsed="false">
      <c r="A63" s="1"/>
      <c r="B63" s="197" t="s">
        <v>491</v>
      </c>
      <c r="C63" s="209" t="s">
        <v>179</v>
      </c>
      <c r="D63" s="197" t="s">
        <v>15</v>
      </c>
      <c r="E63" s="200" t="n">
        <f aca="false">IFERROR(_xlfn.MINIFS(tblCompras[Preço Unit.],tblCompras[Produto],$B63,tblCompras[Unid.],$C63),"")</f>
        <v>6</v>
      </c>
      <c r="F63" s="209" t="str">
        <f aca="false">IFERROR(LOOKUP(2,1/((tblCompras[Produto]=$B63)*(tblCompras[Unid.]=$C63)*(tblCompras[Preço Unit.]=$E63)),tblCompras[Mercado]),"")</f>
        <v>Varejao Monteverde</v>
      </c>
      <c r="G63" s="210" t="n">
        <f aca="false">IFERROR(LOOKUP(2,1/((tblCompras[Produto]=$B63)*(tblCompras[Unid.]=$C63)*(tblCompras[Preço Unit.]=$E63)),tblCompras[Data]),"")</f>
        <v>46173</v>
      </c>
      <c r="H63" s="200" t="n">
        <f aca="false">IFERROR(_xlfn.MAXIFS(tblCompras[Preço Unit.],tblCompras[Produto],$B63,tblCompras[Unid.],$C63),"")</f>
        <v>6.98</v>
      </c>
      <c r="I63" s="209" t="str">
        <f aca="false">IFERROR(LOOKUP(2,1/((tblCompras[Produto]=$B63)*(tblCompras[Unid.]=$C63)*(tblCompras[Preço Unit.]=$H63)),tblCompras[Mercado]),"")</f>
        <v>Varejao Nova Brasil</v>
      </c>
      <c r="J63" s="210" t="n">
        <f aca="false">IFERROR(LOOKUP(2,1/((tblCompras[Produto]=$B63)*(tblCompras[Unid.]=$C63)*(tblCompras[Preço Unit.]=$H63)),tblCompras[Data]),"")</f>
        <v>46158</v>
      </c>
      <c r="K63" s="211" t="n">
        <f aca="false">IF(OR($E63="",$H63=""),"",MAX(0,$H63-$E63))</f>
        <v>0.98</v>
      </c>
      <c r="L63" s="212" t="n">
        <f aca="false">IF(OR($E63="",$H63="",$E63=0),"",($H63-$E63)/$E63)</f>
        <v>0.163333333333333</v>
      </c>
      <c r="M63" s="200" t="n">
        <f aca="false">IFERROR(LOOKUP(2,1/((tblCompras[Produto]=$B63)*(tblCompras[Unid.]=$C63)*(tblCompras[Data]=_xlfn.MAXIFS(tblCompras[Data],tblCompras[Produto],$B63,tblCompras[Unid.],$C63))),tblCompras[Preço Unit.]),"")</f>
        <v>6</v>
      </c>
      <c r="N63" s="209" t="str">
        <f aca="false">IFERROR(LOOKUP(2,1/((tblCompras[Produto]=$B63)*(tblCompras[Unid.]=$C63)*(tblCompras[Data]=_xlfn.MAXIFS(tblCompras[Data],tblCompras[Produto],$B63,tblCompras[Unid.],$C63))),tblCompras[Mercado])&amp;" · "&amp;TEXT(DAY(_xlfn.MAXIFS(tblCompras[Data],tblCompras[Produto],$B63,tblCompras[Unid.],$C63)),"00")&amp;"/"&amp;TEXT(MONTH(_xlfn.MAXIFS(tblCompras[Data],tblCompras[Produto],$B63,tblCompras[Unid.],$C63)),"00")&amp;"/"&amp;TEXT(MOD(YEAR(_xlfn.MAXIFS(tblCompras[Data],tblCompras[Produto],$B63,tblCompras[Unid.],$C63)),100),"00"),"")</f>
        <v>Varejao Monteverde · 31/05/26</v>
      </c>
      <c r="O63" s="1"/>
      <c r="P63" s="1" t="n">
        <f aca="false">IF(AND(ISNUMBER($K63),$K63&gt;0,OR($B$6="Todas",$D63=$B$6)),$K63+ROW()/100000,"")</f>
        <v>0.98063</v>
      </c>
      <c r="Q63" s="1"/>
      <c r="R63" s="1"/>
      <c r="S63" s="1"/>
      <c r="T63" s="1"/>
    </row>
    <row r="64" customFormat="false" ht="15" hidden="false" customHeight="false" outlineLevel="0" collapsed="false">
      <c r="A64" s="1"/>
      <c r="B64" s="202" t="s">
        <v>475</v>
      </c>
      <c r="C64" s="213" t="s">
        <v>176</v>
      </c>
      <c r="D64" s="202" t="s">
        <v>15</v>
      </c>
      <c r="E64" s="205" t="n">
        <f aca="false">IFERROR(_xlfn.MINIFS(tblCompras[Preço Unit.],tblCompras[Produto],$B64,tblCompras[Unid.],$C64),"")</f>
        <v>2.87810383747178</v>
      </c>
      <c r="F64" s="213" t="str">
        <f aca="false">IFERROR(LOOKUP(2,1/((tblCompras[Produto]=$B64)*(tblCompras[Unid.]=$C64)*(tblCompras[Preço Unit.]=$E64)),tblCompras[Mercado]),"")</f>
        <v>Varejao Monteverde</v>
      </c>
      <c r="G64" s="214" t="n">
        <f aca="false">IFERROR(LOOKUP(2,1/((tblCompras[Produto]=$B64)*(tblCompras[Unid.]=$C64)*(tblCompras[Preço Unit.]=$E64)),tblCompras[Data]),"")</f>
        <v>46209</v>
      </c>
      <c r="H64" s="205" t="n">
        <f aca="false">IFERROR(_xlfn.MAXIFS(tblCompras[Preço Unit.],tblCompras[Produto],$B64,tblCompras[Unid.],$C64),"")</f>
        <v>3.98104265402844</v>
      </c>
      <c r="I64" s="213" t="str">
        <f aca="false">IFERROR(LOOKUP(2,1/((tblCompras[Produto]=$B64)*(tblCompras[Unid.]=$C64)*(tblCompras[Preço Unit.]=$H64)),tblCompras[Mercado]),"")</f>
        <v>Varejao Monteverde</v>
      </c>
      <c r="J64" s="214" t="n">
        <f aca="false">IFERROR(LOOKUP(2,1/((tblCompras[Produto]=$B64)*(tblCompras[Unid.]=$C64)*(tblCompras[Preço Unit.]=$H64)),tblCompras[Data]),"")</f>
        <v>46163</v>
      </c>
      <c r="K64" s="215" t="n">
        <f aca="false">IF(OR($E64="",$H64=""),"",MAX(0,$H64-$E64))</f>
        <v>1.10293881655665</v>
      </c>
      <c r="L64" s="216" t="n">
        <f aca="false">IF(OR($E64="",$H64="",$E64=0),"",($H64-$E64)/$E64)</f>
        <v>0.383217173125174</v>
      </c>
      <c r="M64" s="205" t="n">
        <f aca="false">IFERROR(LOOKUP(2,1/((tblCompras[Produto]=$B64)*(tblCompras[Unid.]=$C64)*(tblCompras[Data]=_xlfn.MAXIFS(tblCompras[Data],tblCompras[Produto],$B64,tblCompras[Unid.],$C64))),tblCompras[Preço Unit.]),"")</f>
        <v>2.87810383747178</v>
      </c>
      <c r="N64" s="213" t="str">
        <f aca="false">IFERROR(LOOKUP(2,1/((tblCompras[Produto]=$B64)*(tblCompras[Unid.]=$C64)*(tblCompras[Data]=_xlfn.MAXIFS(tblCompras[Data],tblCompras[Produto],$B64,tblCompras[Unid.],$C64))),tblCompras[Mercado])&amp;" · "&amp;TEXT(DAY(_xlfn.MAXIFS(tblCompras[Data],tblCompras[Produto],$B64,tblCompras[Unid.],$C64)),"00")&amp;"/"&amp;TEXT(MONTH(_xlfn.MAXIFS(tblCompras[Data],tblCompras[Produto],$B64,tblCompras[Unid.],$C64)),"00")&amp;"/"&amp;TEXT(MOD(YEAR(_xlfn.MAXIFS(tblCompras[Data],tblCompras[Produto],$B64,tblCompras[Unid.],$C64)),100),"00"),"")</f>
        <v>Varejao Monteverde · 06/07/26</v>
      </c>
      <c r="O64" s="1"/>
      <c r="P64" s="1" t="n">
        <f aca="false">IF(AND(ISNUMBER($K64),$K64&gt;0,OR($B$6="Todas",$D64=$B$6)),$K64+ROW()/100000,"")</f>
        <v>1.10357881655665</v>
      </c>
      <c r="Q64" s="1"/>
      <c r="R64" s="1"/>
      <c r="S64" s="1"/>
      <c r="T64" s="1"/>
    </row>
    <row r="65" customFormat="false" ht="15" hidden="false" customHeight="false" outlineLevel="0" collapsed="false">
      <c r="A65" s="1"/>
      <c r="B65" s="197" t="s">
        <v>290</v>
      </c>
      <c r="C65" s="209" t="s">
        <v>176</v>
      </c>
      <c r="D65" s="197" t="s">
        <v>15</v>
      </c>
      <c r="E65" s="200" t="n">
        <f aca="false">IFERROR(_xlfn.MINIFS(tblCompras[Preço Unit.],tblCompras[Produto],$B65,tblCompras[Unid.],$C65),"")</f>
        <v>1.98449612403101</v>
      </c>
      <c r="F65" s="209" t="str">
        <f aca="false">IFERROR(LOOKUP(2,1/((tblCompras[Produto]=$B65)*(tblCompras[Unid.]=$C65)*(tblCompras[Preço Unit.]=$E65)),tblCompras[Mercado]),"")</f>
        <v>Supermercado Canesin</v>
      </c>
      <c r="G65" s="210" t="n">
        <f aca="false">IFERROR(LOOKUP(2,1/((tblCompras[Produto]=$B65)*(tblCompras[Unid.]=$C65)*(tblCompras[Preço Unit.]=$E65)),tblCompras[Data]),"")</f>
        <v>46151</v>
      </c>
      <c r="H65" s="200" t="n">
        <f aca="false">IFERROR(_xlfn.MAXIFS(tblCompras[Preço Unit.],tblCompras[Produto],$B65,tblCompras[Unid.],$C65),"")</f>
        <v>9.89873417721519</v>
      </c>
      <c r="I65" s="209" t="str">
        <f aca="false">IFERROR(LOOKUP(2,1/((tblCompras[Produto]=$B65)*(tblCompras[Unid.]=$C65)*(tblCompras[Preço Unit.]=$H65)),tblCompras[Mercado]),"")</f>
        <v>Supermercado Canesin</v>
      </c>
      <c r="J65" s="210" t="n">
        <f aca="false">IFERROR(LOOKUP(2,1/((tblCompras[Produto]=$B65)*(tblCompras[Unid.]=$C65)*(tblCompras[Preço Unit.]=$H65)),tblCompras[Data]),"")</f>
        <v>46239</v>
      </c>
      <c r="K65" s="211" t="n">
        <f aca="false">IF(OR($E65="",$H65=""),"",MAX(0,$H65-$E65))</f>
        <v>7.91423805318418</v>
      </c>
      <c r="L65" s="212" t="n">
        <f aca="false">IF(OR($E65="",$H65="",$E65=0),"",($H65-$E65)/$E65)</f>
        <v>3.98803401898734</v>
      </c>
      <c r="M65" s="200" t="n">
        <f aca="false">IFERROR(LOOKUP(2,1/((tblCompras[Produto]=$B65)*(tblCompras[Unid.]=$C65)*(tblCompras[Data]=_xlfn.MAXIFS(tblCompras[Data],tblCompras[Produto],$B65,tblCompras[Unid.],$C65))),tblCompras[Preço Unit.]),"")</f>
        <v>9.89873417721519</v>
      </c>
      <c r="N65" s="209" t="str">
        <f aca="false">IFERROR(LOOKUP(2,1/((tblCompras[Produto]=$B65)*(tblCompras[Unid.]=$C65)*(tblCompras[Data]=_xlfn.MAXIFS(tblCompras[Data],tblCompras[Produto],$B65,tblCompras[Unid.],$C65))),tblCompras[Mercado])&amp;" · "&amp;TEXT(DAY(_xlfn.MAXIFS(tblCompras[Data],tblCompras[Produto],$B65,tblCompras[Unid.],$C65)),"00")&amp;"/"&amp;TEXT(MONTH(_xlfn.MAXIFS(tblCompras[Data],tblCompras[Produto],$B65,tblCompras[Unid.],$C65)),"00")&amp;"/"&amp;TEXT(MOD(YEAR(_xlfn.MAXIFS(tblCompras[Data],tblCompras[Produto],$B65,tblCompras[Unid.],$C65)),100),"00"),"")</f>
        <v>Supermercado Canesin · 05/08/26</v>
      </c>
      <c r="O65" s="1"/>
      <c r="P65" s="1" t="n">
        <f aca="false">IF(AND(ISNUMBER($K65),$K65&gt;0,OR($B$6="Todas",$D65=$B$6)),$K65+ROW()/100000,"")</f>
        <v>7.91488805318418</v>
      </c>
      <c r="Q65" s="1"/>
      <c r="R65" s="1"/>
      <c r="S65" s="1"/>
      <c r="T65" s="1"/>
    </row>
    <row r="66" customFormat="false" ht="15" hidden="false" customHeight="false" outlineLevel="0" collapsed="false">
      <c r="A66" s="1"/>
      <c r="B66" s="202" t="s">
        <v>483</v>
      </c>
      <c r="C66" s="213" t="s">
        <v>176</v>
      </c>
      <c r="D66" s="202" t="s">
        <v>15</v>
      </c>
      <c r="E66" s="205" t="n">
        <f aca="false">IFERROR(_xlfn.MINIFS(tblCompras[Preço Unit.],tblCompras[Produto],$B66,tblCompras[Unid.],$C66),"")</f>
        <v>2.68258426966292</v>
      </c>
      <c r="F66" s="213" t="str">
        <f aca="false">IFERROR(LOOKUP(2,1/((tblCompras[Produto]=$B66)*(tblCompras[Unid.]=$C66)*(tblCompras[Preço Unit.]=$E66)),tblCompras[Mercado]),"")</f>
        <v>Varejao Monteverde</v>
      </c>
      <c r="G66" s="214" t="n">
        <f aca="false">IFERROR(LOOKUP(2,1/((tblCompras[Produto]=$B66)*(tblCompras[Unid.]=$C66)*(tblCompras[Preço Unit.]=$E66)),tblCompras[Data]),"")</f>
        <v>46173</v>
      </c>
      <c r="H66" s="205" t="n">
        <f aca="false">IFERROR(_xlfn.MAXIFS(tblCompras[Preço Unit.],tblCompras[Produto],$B66,tblCompras[Unid.],$C66),"")</f>
        <v>7.50515463917526</v>
      </c>
      <c r="I66" s="213" t="str">
        <f aca="false">IFERROR(LOOKUP(2,1/((tblCompras[Produto]=$B66)*(tblCompras[Unid.]=$C66)*(tblCompras[Preço Unit.]=$H66)),tblCompras[Mercado]),"")</f>
        <v>Varejao Monteverde</v>
      </c>
      <c r="J66" s="214" t="n">
        <f aca="false">IFERROR(LOOKUP(2,1/((tblCompras[Produto]=$B66)*(tblCompras[Unid.]=$C66)*(tblCompras[Preço Unit.]=$H66)),tblCompras[Data]),"")</f>
        <v>46244</v>
      </c>
      <c r="K66" s="215" t="n">
        <f aca="false">IF(OR($E66="",$H66=""),"",MAX(0,$H66-$E66))</f>
        <v>4.82257036951234</v>
      </c>
      <c r="L66" s="216" t="n">
        <f aca="false">IF(OR($E66="",$H66="",$E66=0),"",($H66-$E66)/$E66)</f>
        <v>1.79773303826847</v>
      </c>
      <c r="M66" s="205" t="n">
        <f aca="false">IFERROR(LOOKUP(2,1/((tblCompras[Produto]=$B66)*(tblCompras[Unid.]=$C66)*(tblCompras[Data]=_xlfn.MAXIFS(tblCompras[Data],tblCompras[Produto],$B66,tblCompras[Unid.],$C66))),tblCompras[Preço Unit.]),"")</f>
        <v>7.50515463917526</v>
      </c>
      <c r="N66" s="213" t="str">
        <f aca="false">IFERROR(LOOKUP(2,1/((tblCompras[Produto]=$B66)*(tblCompras[Unid.]=$C66)*(tblCompras[Data]=_xlfn.MAXIFS(tblCompras[Data],tblCompras[Produto],$B66,tblCompras[Unid.],$C66))),tblCompras[Mercado])&amp;" · "&amp;TEXT(DAY(_xlfn.MAXIFS(tblCompras[Data],tblCompras[Produto],$B66,tblCompras[Unid.],$C66)),"00")&amp;"/"&amp;TEXT(MONTH(_xlfn.MAXIFS(tblCompras[Data],tblCompras[Produto],$B66,tblCompras[Unid.],$C66)),"00")&amp;"/"&amp;TEXT(MOD(YEAR(_xlfn.MAXIFS(tblCompras[Data],tblCompras[Produto],$B66,tblCompras[Unid.],$C66)),100),"00"),"")</f>
        <v>Varejao Monteverde · 10/08/26</v>
      </c>
      <c r="O66" s="1"/>
      <c r="P66" s="1" t="n">
        <f aca="false">IF(AND(ISNUMBER($K66),$K66&gt;0,OR($B$6="Todas",$D66=$B$6)),$K66+ROW()/100000,"")</f>
        <v>4.82323036951234</v>
      </c>
      <c r="Q66" s="1"/>
      <c r="R66" s="1"/>
      <c r="S66" s="1"/>
      <c r="T66" s="1"/>
    </row>
    <row r="67" customFormat="false" ht="15" hidden="false" customHeight="false" outlineLevel="0" collapsed="false">
      <c r="A67" s="1"/>
      <c r="B67" s="197" t="s">
        <v>1058</v>
      </c>
      <c r="C67" s="209" t="s">
        <v>176</v>
      </c>
      <c r="D67" s="197" t="s">
        <v>15</v>
      </c>
      <c r="E67" s="200" t="n">
        <f aca="false">IFERROR(_xlfn.MINIFS(tblCompras[Preço Unit.],tblCompras[Produto],$B67,tblCompras[Unid.],$C67),"")</f>
        <v>7.98425196850394</v>
      </c>
      <c r="F67" s="209" t="str">
        <f aca="false">IFERROR(LOOKUP(2,1/((tblCompras[Produto]=$B67)*(tblCompras[Unid.]=$C67)*(tblCompras[Preço Unit.]=$E67)),tblCompras[Mercado]),"")</f>
        <v>Varejao Nova Brasil</v>
      </c>
      <c r="G67" s="210" t="n">
        <f aca="false">IFERROR(LOOKUP(2,1/((tblCompras[Produto]=$B67)*(tblCompras[Unid.]=$C67)*(tblCompras[Preço Unit.]=$E67)),tblCompras[Data]),"")</f>
        <v>46158</v>
      </c>
      <c r="H67" s="200" t="n">
        <f aca="false">IFERROR(_xlfn.MAXIFS(tblCompras[Preço Unit.],tblCompras[Produto],$B67,tblCompras[Unid.],$C67),"")</f>
        <v>7.98425196850394</v>
      </c>
      <c r="I67" s="209" t="str">
        <f aca="false">IFERROR(LOOKUP(2,1/((tblCompras[Produto]=$B67)*(tblCompras[Unid.]=$C67)*(tblCompras[Preço Unit.]=$H67)),tblCompras[Mercado]),"")</f>
        <v>Varejao Nova Brasil</v>
      </c>
      <c r="J67" s="210" t="n">
        <f aca="false">IFERROR(LOOKUP(2,1/((tblCompras[Produto]=$B67)*(tblCompras[Unid.]=$C67)*(tblCompras[Preço Unit.]=$H67)),tblCompras[Data]),"")</f>
        <v>46158</v>
      </c>
      <c r="K67" s="211" t="n">
        <f aca="false">IF(OR($E67="",$H67=""),"",MAX(0,$H67-$E67))</f>
        <v>0</v>
      </c>
      <c r="L67" s="212" t="n">
        <f aca="false">IF(OR($E67="",$H67="",$E67=0),"",($H67-$E67)/$E67)</f>
        <v>0</v>
      </c>
      <c r="M67" s="200" t="n">
        <f aca="false">IFERROR(LOOKUP(2,1/((tblCompras[Produto]=$B67)*(tblCompras[Unid.]=$C67)*(tblCompras[Data]=_xlfn.MAXIFS(tblCompras[Data],tblCompras[Produto],$B67,tblCompras[Unid.],$C67))),tblCompras[Preço Unit.]),"")</f>
        <v>7.98425196850394</v>
      </c>
      <c r="N67" s="209" t="str">
        <f aca="false">IFERROR(LOOKUP(2,1/((tblCompras[Produto]=$B67)*(tblCompras[Unid.]=$C67)*(tblCompras[Data]=_xlfn.MAXIFS(tblCompras[Data],tblCompras[Produto],$B67,tblCompras[Unid.],$C67))),tblCompras[Mercado])&amp;" · "&amp;TEXT(DAY(_xlfn.MAXIFS(tblCompras[Data],tblCompras[Produto],$B67,tblCompras[Unid.],$C67)),"00")&amp;"/"&amp;TEXT(MONTH(_xlfn.MAXIFS(tblCompras[Data],tblCompras[Produto],$B67,tblCompras[Unid.],$C67)),"00")&amp;"/"&amp;TEXT(MOD(YEAR(_xlfn.MAXIFS(tblCompras[Data],tblCompras[Produto],$B67,tblCompras[Unid.],$C67)),100),"00"),"")</f>
        <v>Varejao Nova Brasil · 16/05/26</v>
      </c>
      <c r="O67" s="1"/>
      <c r="P67" s="1" t="str">
        <f aca="false">IF(AND(ISNUMBER($K67),$K67&gt;0,OR($B$6="Todas",$D67=$B$6)),$K67+ROW()/100000,"")</f>
        <v/>
      </c>
      <c r="Q67" s="1"/>
      <c r="R67" s="1"/>
      <c r="S67" s="1"/>
      <c r="T67" s="1"/>
    </row>
    <row r="68" customFormat="false" ht="15" hidden="false" customHeight="false" outlineLevel="0" collapsed="false">
      <c r="A68" s="1"/>
      <c r="B68" s="202" t="s">
        <v>286</v>
      </c>
      <c r="C68" s="213" t="s">
        <v>176</v>
      </c>
      <c r="D68" s="202" t="s">
        <v>15</v>
      </c>
      <c r="E68" s="205" t="n">
        <f aca="false">IFERROR(_xlfn.MINIFS(tblCompras[Preço Unit.],tblCompras[Produto],$B68,tblCompras[Unid.],$C68),"")</f>
        <v>11.6729323308271</v>
      </c>
      <c r="F68" s="213" t="str">
        <f aca="false">IFERROR(LOOKUP(2,1/((tblCompras[Produto]=$B68)*(tblCompras[Unid.]=$C68)*(tblCompras[Preço Unit.]=$E68)),tblCompras[Mercado]),"")</f>
        <v>Varejao Monteverde</v>
      </c>
      <c r="G68" s="214" t="n">
        <f aca="false">IFERROR(LOOKUP(2,1/((tblCompras[Produto]=$B68)*(tblCompras[Unid.]=$C68)*(tblCompras[Preço Unit.]=$E68)),tblCompras[Data]),"")</f>
        <v>46226</v>
      </c>
      <c r="H68" s="205" t="n">
        <f aca="false">IFERROR(_xlfn.MAXIFS(tblCompras[Preço Unit.],tblCompras[Produto],$B68,tblCompras[Unid.],$C68),"")</f>
        <v>11.6856492027335</v>
      </c>
      <c r="I68" s="213" t="str">
        <f aca="false">IFERROR(LOOKUP(2,1/((tblCompras[Produto]=$B68)*(tblCompras[Unid.]=$C68)*(tblCompras[Preço Unit.]=$H68)),tblCompras[Mercado]),"")</f>
        <v>Varejao Monteverde</v>
      </c>
      <c r="J68" s="214" t="n">
        <f aca="false">IFERROR(LOOKUP(2,1/((tblCompras[Produto]=$B68)*(tblCompras[Unid.]=$C68)*(tblCompras[Preço Unit.]=$H68)),tblCompras[Data]),"")</f>
        <v>46220</v>
      </c>
      <c r="K68" s="215" t="n">
        <f aca="false">IF(OR($E68="",$H68=""),"",MAX(0,$H68-$E68))</f>
        <v>0.0127168719064183</v>
      </c>
      <c r="L68" s="216" t="n">
        <f aca="false">IF(OR($E68="",$H68="",$E68=0),"",($H68-$E68)/$E68)</f>
        <v>0.00108943250470444</v>
      </c>
      <c r="M68" s="205" t="n">
        <f aca="false">IFERROR(LOOKUP(2,1/((tblCompras[Produto]=$B68)*(tblCompras[Unid.]=$C68)*(tblCompras[Data]=_xlfn.MAXIFS(tblCompras[Data],tblCompras[Produto],$B68,tblCompras[Unid.],$C68))),tblCompras[Preço Unit.]),"")</f>
        <v>11.6729323308271</v>
      </c>
      <c r="N68" s="213" t="str">
        <f aca="false">IFERROR(LOOKUP(2,1/((tblCompras[Produto]=$B68)*(tblCompras[Unid.]=$C68)*(tblCompras[Data]=_xlfn.MAXIFS(tblCompras[Data],tblCompras[Produto],$B68,tblCompras[Unid.],$C68))),tblCompras[Mercado])&amp;" · "&amp;TEXT(DAY(_xlfn.MAXIFS(tblCompras[Data],tblCompras[Produto],$B68,tblCompras[Unid.],$C68)),"00")&amp;"/"&amp;TEXT(MONTH(_xlfn.MAXIFS(tblCompras[Data],tblCompras[Produto],$B68,tblCompras[Unid.],$C68)),"00")&amp;"/"&amp;TEXT(MOD(YEAR(_xlfn.MAXIFS(tblCompras[Data],tblCompras[Produto],$B68,tblCompras[Unid.],$C68)),100),"00"),"")</f>
        <v>Varejao Monteverde · 23/07/26</v>
      </c>
      <c r="O68" s="1"/>
      <c r="P68" s="1" t="n">
        <f aca="false">IF(AND(ISNUMBER($K68),$K68&gt;0,OR($B$6="Todas",$D68=$B$6)),$K68+ROW()/100000,"")</f>
        <v>0.0133968719064183</v>
      </c>
      <c r="Q68" s="1"/>
      <c r="R68" s="1"/>
      <c r="S68" s="1"/>
      <c r="T68" s="1"/>
    </row>
    <row r="69" customFormat="false" ht="15" hidden="false" customHeight="false" outlineLevel="0" collapsed="false">
      <c r="A69" s="1"/>
      <c r="B69" s="197" t="s">
        <v>951</v>
      </c>
      <c r="C69" s="209" t="s">
        <v>176</v>
      </c>
      <c r="D69" s="197" t="s">
        <v>15</v>
      </c>
      <c r="E69" s="200" t="n">
        <f aca="false">IFERROR(_xlfn.MINIFS(tblCompras[Preço Unit.],tblCompras[Produto],$B69,tblCompras[Unid.],$C69),"")</f>
        <v>5.98473282442748</v>
      </c>
      <c r="F69" s="209" t="str">
        <f aca="false">IFERROR(LOOKUP(2,1/((tblCompras[Produto]=$B69)*(tblCompras[Unid.]=$C69)*(tblCompras[Preço Unit.]=$E69)),tblCompras[Mercado]),"")</f>
        <v>Supermercado Canesin</v>
      </c>
      <c r="G69" s="210" t="n">
        <f aca="false">IFERROR(LOOKUP(2,1/((tblCompras[Produto]=$B69)*(tblCompras[Unid.]=$C69)*(tblCompras[Preço Unit.]=$E69)),tblCompras[Data]),"")</f>
        <v>46228</v>
      </c>
      <c r="H69" s="200" t="n">
        <f aca="false">IFERROR(_xlfn.MAXIFS(tblCompras[Preço Unit.],tblCompras[Produto],$B69,tblCompras[Unid.],$C69),"")</f>
        <v>5.98657718120805</v>
      </c>
      <c r="I69" s="209" t="str">
        <f aca="false">IFERROR(LOOKUP(2,1/((tblCompras[Produto]=$B69)*(tblCompras[Unid.]=$C69)*(tblCompras[Preço Unit.]=$H69)),tblCompras[Mercado]),"")</f>
        <v>Supermercado Canesin</v>
      </c>
      <c r="J69" s="210" t="n">
        <f aca="false">IFERROR(LOOKUP(2,1/((tblCompras[Produto]=$B69)*(tblCompras[Unid.]=$C69)*(tblCompras[Preço Unit.]=$H69)),tblCompras[Data]),"")</f>
        <v>46226</v>
      </c>
      <c r="K69" s="211" t="n">
        <f aca="false">IF(OR($E69="",$H69=""),"",MAX(0,$H69-$E69))</f>
        <v>0.00184435678057326</v>
      </c>
      <c r="L69" s="212" t="n">
        <f aca="false">IF(OR($E69="",$H69="",$E69=0),"",($H69-$E69)/$E69)</f>
        <v>0.000308176962060074</v>
      </c>
      <c r="M69" s="200" t="n">
        <f aca="false">IFERROR(LOOKUP(2,1/((tblCompras[Produto]=$B69)*(tblCompras[Unid.]=$C69)*(tblCompras[Data]=_xlfn.MAXIFS(tblCompras[Data],tblCompras[Produto],$B69,tblCompras[Unid.],$C69))),tblCompras[Preço Unit.]),"")</f>
        <v>5.98611111111111</v>
      </c>
      <c r="N69" s="209" t="str">
        <f aca="false">IFERROR(LOOKUP(2,1/((tblCompras[Produto]=$B69)*(tblCompras[Unid.]=$C69)*(tblCompras[Data]=_xlfn.MAXIFS(tblCompras[Data],tblCompras[Produto],$B69,tblCompras[Unid.],$C69))),tblCompras[Mercado])&amp;" · "&amp;TEXT(DAY(_xlfn.MAXIFS(tblCompras[Data],tblCompras[Produto],$B69,tblCompras[Unid.],$C69)),"00")&amp;"/"&amp;TEXT(MONTH(_xlfn.MAXIFS(tblCompras[Data],tblCompras[Produto],$B69,tblCompras[Unid.],$C69)),"00")&amp;"/"&amp;TEXT(MOD(YEAR(_xlfn.MAXIFS(tblCompras[Data],tblCompras[Produto],$B69,tblCompras[Unid.],$C69)),100),"00"),"")</f>
        <v>Supermercado Canesin · 05/08/26</v>
      </c>
      <c r="O69" s="1"/>
      <c r="P69" s="1" t="n">
        <f aca="false">IF(AND(ISNUMBER($K69),$K69&gt;0,OR($B$6="Todas",$D69=$B$6)),$K69+ROW()/100000,"")</f>
        <v>0.00253435678057326</v>
      </c>
      <c r="Q69" s="1"/>
      <c r="R69" s="1"/>
      <c r="S69" s="1"/>
      <c r="T69" s="1"/>
    </row>
    <row r="70" customFormat="false" ht="15" hidden="false" customHeight="false" outlineLevel="0" collapsed="false">
      <c r="A70" s="1"/>
      <c r="B70" s="202" t="s">
        <v>1056</v>
      </c>
      <c r="C70" s="213" t="s">
        <v>176</v>
      </c>
      <c r="D70" s="202" t="s">
        <v>15</v>
      </c>
      <c r="E70" s="205" t="n">
        <f aca="false">IFERROR(_xlfn.MINIFS(tblCompras[Preço Unit.],tblCompras[Produto],$B70,tblCompras[Unid.],$C70),"")</f>
        <v>17.9055118110236</v>
      </c>
      <c r="F70" s="213" t="str">
        <f aca="false">IFERROR(LOOKUP(2,1/((tblCompras[Produto]=$B70)*(tblCompras[Unid.]=$C70)*(tblCompras[Preço Unit.]=$E70)),tblCompras[Mercado]),"")</f>
        <v>Varejao Nova Brasil</v>
      </c>
      <c r="G70" s="214" t="n">
        <f aca="false">IFERROR(LOOKUP(2,1/((tblCompras[Produto]=$B70)*(tblCompras[Unid.]=$C70)*(tblCompras[Preço Unit.]=$E70)),tblCompras[Data]),"")</f>
        <v>46158</v>
      </c>
      <c r="H70" s="205" t="n">
        <f aca="false">IFERROR(_xlfn.MAXIFS(tblCompras[Preço Unit.],tblCompras[Produto],$B70,tblCompras[Unid.],$C70),"")</f>
        <v>17.9055118110236</v>
      </c>
      <c r="I70" s="213" t="str">
        <f aca="false">IFERROR(LOOKUP(2,1/((tblCompras[Produto]=$B70)*(tblCompras[Unid.]=$C70)*(tblCompras[Preço Unit.]=$H70)),tblCompras[Mercado]),"")</f>
        <v>Varejao Nova Brasil</v>
      </c>
      <c r="J70" s="214" t="n">
        <f aca="false">IFERROR(LOOKUP(2,1/((tblCompras[Produto]=$B70)*(tblCompras[Unid.]=$C70)*(tblCompras[Preço Unit.]=$H70)),tblCompras[Data]),"")</f>
        <v>46158</v>
      </c>
      <c r="K70" s="215" t="n">
        <f aca="false">IF(OR($E70="",$H70=""),"",MAX(0,$H70-$E70))</f>
        <v>0</v>
      </c>
      <c r="L70" s="216" t="n">
        <f aca="false">IF(OR($E70="",$H70="",$E70=0),"",($H70-$E70)/$E70)</f>
        <v>0</v>
      </c>
      <c r="M70" s="205" t="n">
        <f aca="false">IFERROR(LOOKUP(2,1/((tblCompras[Produto]=$B70)*(tblCompras[Unid.]=$C70)*(tblCompras[Data]=_xlfn.MAXIFS(tblCompras[Data],tblCompras[Produto],$B70,tblCompras[Unid.],$C70))),tblCompras[Preço Unit.]),"")</f>
        <v>17.9055118110236</v>
      </c>
      <c r="N70" s="213" t="str">
        <f aca="false">IFERROR(LOOKUP(2,1/((tblCompras[Produto]=$B70)*(tblCompras[Unid.]=$C70)*(tblCompras[Data]=_xlfn.MAXIFS(tblCompras[Data],tblCompras[Produto],$B70,tblCompras[Unid.],$C70))),tblCompras[Mercado])&amp;" · "&amp;TEXT(DAY(_xlfn.MAXIFS(tblCompras[Data],tblCompras[Produto],$B70,tblCompras[Unid.],$C70)),"00")&amp;"/"&amp;TEXT(MONTH(_xlfn.MAXIFS(tblCompras[Data],tblCompras[Produto],$B70,tblCompras[Unid.],$C70)),"00")&amp;"/"&amp;TEXT(MOD(YEAR(_xlfn.MAXIFS(tblCompras[Data],tblCompras[Produto],$B70,tblCompras[Unid.],$C70)),100),"00"),"")</f>
        <v>Varejao Nova Brasil · 16/05/26</v>
      </c>
      <c r="O70" s="1"/>
      <c r="P70" s="1" t="str">
        <f aca="false">IF(AND(ISNUMBER($K70),$K70&gt;0,OR($B$6="Todas",$D70=$B$6)),$K70+ROW()/100000,"")</f>
        <v/>
      </c>
      <c r="Q70" s="1"/>
      <c r="R70" s="1"/>
      <c r="S70" s="1"/>
      <c r="T70" s="1"/>
    </row>
    <row r="71" customFormat="false" ht="15" hidden="false" customHeight="false" outlineLevel="0" collapsed="false">
      <c r="A71" s="1"/>
      <c r="B71" s="197" t="s">
        <v>250</v>
      </c>
      <c r="C71" s="209" t="s">
        <v>179</v>
      </c>
      <c r="D71" s="197" t="s">
        <v>13</v>
      </c>
      <c r="E71" s="200" t="n">
        <f aca="false">IFERROR(_xlfn.MINIFS(tblCompras[Preço Unit.],tblCompras[Produto],$B71,tblCompras[Unid.],$C71),"")</f>
        <v>2.1</v>
      </c>
      <c r="F71" s="209" t="str">
        <f aca="false">IFERROR(LOOKUP(2,1/((tblCompras[Produto]=$B71)*(tblCompras[Unid.]=$C71)*(tblCompras[Preço Unit.]=$E71)),tblCompras[Mercado]),"")</f>
        <v>Supermercados Nori</v>
      </c>
      <c r="G71" s="210" t="n">
        <f aca="false">IFERROR(LOOKUP(2,1/((tblCompras[Produto]=$B71)*(tblCompras[Unid.]=$C71)*(tblCompras[Preço Unit.]=$E71)),tblCompras[Data]),"")</f>
        <v>46185</v>
      </c>
      <c r="H71" s="200" t="n">
        <f aca="false">IFERROR(_xlfn.MAXIFS(tblCompras[Preço Unit.],tblCompras[Produto],$B71,tblCompras[Unid.],$C71),"")</f>
        <v>2.75</v>
      </c>
      <c r="I71" s="209" t="str">
        <f aca="false">IFERROR(LOOKUP(2,1/((tblCompras[Produto]=$B71)*(tblCompras[Unid.]=$C71)*(tblCompras[Preço Unit.]=$H71)),tblCompras[Mercado]),"")</f>
        <v>Supermercados Nori</v>
      </c>
      <c r="J71" s="210" t="n">
        <f aca="false">IFERROR(LOOKUP(2,1/((tblCompras[Produto]=$B71)*(tblCompras[Unid.]=$C71)*(tblCompras[Preço Unit.]=$H71)),tblCompras[Data]),"")</f>
        <v>46147</v>
      </c>
      <c r="K71" s="211" t="n">
        <f aca="false">IF(OR($E71="",$H71=""),"",MAX(0,$H71-$E71))</f>
        <v>0.65</v>
      </c>
      <c r="L71" s="212" t="n">
        <f aca="false">IF(OR($E71="",$H71="",$E71=0),"",($H71-$E71)/$E71)</f>
        <v>0.30952380952381</v>
      </c>
      <c r="M71" s="200" t="n">
        <f aca="false">IFERROR(LOOKUP(2,1/((tblCompras[Produto]=$B71)*(tblCompras[Unid.]=$C71)*(tblCompras[Data]=_xlfn.MAXIFS(tblCompras[Data],tblCompras[Produto],$B71,tblCompras[Unid.],$C71))),tblCompras[Preço Unit.]),"")</f>
        <v>2.1</v>
      </c>
      <c r="N71" s="209" t="str">
        <f aca="false">IFERROR(LOOKUP(2,1/((tblCompras[Produto]=$B71)*(tblCompras[Unid.]=$C71)*(tblCompras[Data]=_xlfn.MAXIFS(tblCompras[Data],tblCompras[Produto],$B71,tblCompras[Unid.],$C71))),tblCompras[Mercado])&amp;" · "&amp;TEXT(DAY(_xlfn.MAXIFS(tblCompras[Data],tblCompras[Produto],$B71,tblCompras[Unid.],$C71)),"00")&amp;"/"&amp;TEXT(MONTH(_xlfn.MAXIFS(tblCompras[Data],tblCompras[Produto],$B71,tblCompras[Unid.],$C71)),"00")&amp;"/"&amp;TEXT(MOD(YEAR(_xlfn.MAXIFS(tblCompras[Data],tblCompras[Produto],$B71,tblCompras[Unid.],$C71)),100),"00"),"")</f>
        <v>Supermercados Nori · 12/06/26</v>
      </c>
      <c r="O71" s="1"/>
      <c r="P71" s="1" t="n">
        <f aca="false">IF(AND(ISNUMBER($K71),$K71&gt;0,OR($B$6="Todas",$D71=$B$6)),$K71+ROW()/100000,"")</f>
        <v>0.65071</v>
      </c>
      <c r="Q71" s="1"/>
      <c r="R71" s="1"/>
      <c r="S71" s="1"/>
      <c r="T71" s="1"/>
    </row>
    <row r="72" customFormat="false" ht="15" hidden="false" customHeight="false" outlineLevel="0" collapsed="false">
      <c r="A72" s="1"/>
      <c r="B72" s="202" t="s">
        <v>386</v>
      </c>
      <c r="C72" s="213" t="s">
        <v>179</v>
      </c>
      <c r="D72" s="202" t="s">
        <v>13</v>
      </c>
      <c r="E72" s="205" t="n">
        <f aca="false">IFERROR(_xlfn.MINIFS(tblCompras[Preço Unit.],tblCompras[Produto],$B72,tblCompras[Unid.],$C72),"")</f>
        <v>1.99</v>
      </c>
      <c r="F72" s="213" t="str">
        <f aca="false">IFERROR(LOOKUP(2,1/((tblCompras[Produto]=$B72)*(tblCompras[Unid.]=$C72)*(tblCompras[Preço Unit.]=$E72)),tblCompras[Mercado]),"")</f>
        <v>Supermercados Nori</v>
      </c>
      <c r="G72" s="214" t="n">
        <f aca="false">IFERROR(LOOKUP(2,1/((tblCompras[Produto]=$B72)*(tblCompras[Unid.]=$C72)*(tblCompras[Preço Unit.]=$E72)),tblCompras[Data]),"")</f>
        <v>46176</v>
      </c>
      <c r="H72" s="205" t="n">
        <f aca="false">IFERROR(_xlfn.MAXIFS(tblCompras[Preço Unit.],tblCompras[Produto],$B72,tblCompras[Unid.],$C72),"")</f>
        <v>2.3</v>
      </c>
      <c r="I72" s="213" t="str">
        <f aca="false">IFERROR(LOOKUP(2,1/((tblCompras[Produto]=$B72)*(tblCompras[Unid.]=$C72)*(tblCompras[Preço Unit.]=$H72)),tblCompras[Mercado]),"")</f>
        <v>Supermercados Nori</v>
      </c>
      <c r="J72" s="214" t="n">
        <f aca="false">IFERROR(LOOKUP(2,1/((tblCompras[Produto]=$B72)*(tblCompras[Unid.]=$C72)*(tblCompras[Preço Unit.]=$H72)),tblCompras[Data]),"")</f>
        <v>46193</v>
      </c>
      <c r="K72" s="215" t="n">
        <f aca="false">IF(OR($E72="",$H72=""),"",MAX(0,$H72-$E72))</f>
        <v>0.31</v>
      </c>
      <c r="L72" s="216" t="n">
        <f aca="false">IF(OR($E72="",$H72="",$E72=0),"",($H72-$E72)/$E72)</f>
        <v>0.155778894472362</v>
      </c>
      <c r="M72" s="205" t="n">
        <f aca="false">IFERROR(LOOKUP(2,1/((tblCompras[Produto]=$B72)*(tblCompras[Unid.]=$C72)*(tblCompras[Data]=_xlfn.MAXIFS(tblCompras[Data],tblCompras[Produto],$B72,tblCompras[Unid.],$C72))),tblCompras[Preço Unit.]),"")</f>
        <v>2.3</v>
      </c>
      <c r="N72" s="213" t="str">
        <f aca="false">IFERROR(LOOKUP(2,1/((tblCompras[Produto]=$B72)*(tblCompras[Unid.]=$C72)*(tblCompras[Data]=_xlfn.MAXIFS(tblCompras[Data],tblCompras[Produto],$B72,tblCompras[Unid.],$C72))),tblCompras[Mercado])&amp;" · "&amp;TEXT(DAY(_xlfn.MAXIFS(tblCompras[Data],tblCompras[Produto],$B72,tblCompras[Unid.],$C72)),"00")&amp;"/"&amp;TEXT(MONTH(_xlfn.MAXIFS(tblCompras[Data],tblCompras[Produto],$B72,tblCompras[Unid.],$C72)),"00")&amp;"/"&amp;TEXT(MOD(YEAR(_xlfn.MAXIFS(tblCompras[Data],tblCompras[Produto],$B72,tblCompras[Unid.],$C72)),100),"00"),"")</f>
        <v>Supermercados Nori · 20/06/26</v>
      </c>
      <c r="O72" s="1"/>
      <c r="P72" s="1" t="n">
        <f aca="false">IF(AND(ISNUMBER($K72),$K72&gt;0,OR($B$6="Todas",$D72=$B$6)),$K72+ROW()/100000,"")</f>
        <v>0.31072</v>
      </c>
      <c r="Q72" s="1"/>
      <c r="R72" s="1"/>
      <c r="S72" s="1"/>
      <c r="T72" s="1"/>
    </row>
    <row r="73" customFormat="false" ht="15" hidden="false" customHeight="false" outlineLevel="0" collapsed="false">
      <c r="A73" s="1"/>
      <c r="B73" s="197" t="s">
        <v>225</v>
      </c>
      <c r="C73" s="209" t="s">
        <v>179</v>
      </c>
      <c r="D73" s="197" t="s">
        <v>13</v>
      </c>
      <c r="E73" s="200" t="n">
        <f aca="false">IFERROR(_xlfn.MINIFS(tblCompras[Preço Unit.],tblCompras[Produto],$B73,tblCompras[Unid.],$C73),"")</f>
        <v>14.5</v>
      </c>
      <c r="F73" s="209" t="str">
        <f aca="false">IFERROR(LOOKUP(2,1/((tblCompras[Produto]=$B73)*(tblCompras[Unid.]=$C73)*(tblCompras[Preço Unit.]=$E73)),tblCompras[Mercado]),"")</f>
        <v>Supermercados Nori</v>
      </c>
      <c r="G73" s="210" t="n">
        <f aca="false">IFERROR(LOOKUP(2,1/((tblCompras[Produto]=$B73)*(tblCompras[Unid.]=$C73)*(tblCompras[Preço Unit.]=$E73)),tblCompras[Data]),"")</f>
        <v>46147</v>
      </c>
      <c r="H73" s="200" t="n">
        <f aca="false">IFERROR(_xlfn.MAXIFS(tblCompras[Preço Unit.],tblCompras[Produto],$B73,tblCompras[Unid.],$C73),"")</f>
        <v>14.5</v>
      </c>
      <c r="I73" s="209" t="str">
        <f aca="false">IFERROR(LOOKUP(2,1/((tblCompras[Produto]=$B73)*(tblCompras[Unid.]=$C73)*(tblCompras[Preço Unit.]=$H73)),tblCompras[Mercado]),"")</f>
        <v>Supermercados Nori</v>
      </c>
      <c r="J73" s="210" t="n">
        <f aca="false">IFERROR(LOOKUP(2,1/((tblCompras[Produto]=$B73)*(tblCompras[Unid.]=$C73)*(tblCompras[Preço Unit.]=$H73)),tblCompras[Data]),"")</f>
        <v>46147</v>
      </c>
      <c r="K73" s="211" t="n">
        <f aca="false">IF(OR($E73="",$H73=""),"",MAX(0,$H73-$E73))</f>
        <v>0</v>
      </c>
      <c r="L73" s="212" t="n">
        <f aca="false">IF(OR($E73="",$H73="",$E73=0),"",($H73-$E73)/$E73)</f>
        <v>0</v>
      </c>
      <c r="M73" s="200" t="n">
        <f aca="false">IFERROR(LOOKUP(2,1/((tblCompras[Produto]=$B73)*(tblCompras[Unid.]=$C73)*(tblCompras[Data]=_xlfn.MAXIFS(tblCompras[Data],tblCompras[Produto],$B73,tblCompras[Unid.],$C73))),tblCompras[Preço Unit.]),"")</f>
        <v>14.5</v>
      </c>
      <c r="N73" s="209" t="str">
        <f aca="false">IFERROR(LOOKUP(2,1/((tblCompras[Produto]=$B73)*(tblCompras[Unid.]=$C73)*(tblCompras[Data]=_xlfn.MAXIFS(tblCompras[Data],tblCompras[Produto],$B73,tblCompras[Unid.],$C73))),tblCompras[Mercado])&amp;" · "&amp;TEXT(DAY(_xlfn.MAXIFS(tblCompras[Data],tblCompras[Produto],$B73,tblCompras[Unid.],$C73)),"00")&amp;"/"&amp;TEXT(MONTH(_xlfn.MAXIFS(tblCompras[Data],tblCompras[Produto],$B73,tblCompras[Unid.],$C73)),"00")&amp;"/"&amp;TEXT(MOD(YEAR(_xlfn.MAXIFS(tblCompras[Data],tblCompras[Produto],$B73,tblCompras[Unid.],$C73)),100),"00"),"")</f>
        <v>Supermercados Nori · 05/05/26</v>
      </c>
      <c r="O73" s="1"/>
      <c r="P73" s="1" t="str">
        <f aca="false">IF(AND(ISNUMBER($K73),$K73&gt;0,OR($B$6="Todas",$D73=$B$6)),$K73+ROW()/100000,"")</f>
        <v/>
      </c>
      <c r="Q73" s="1"/>
      <c r="R73" s="1"/>
      <c r="S73" s="1"/>
      <c r="T73" s="1"/>
    </row>
    <row r="74" customFormat="false" ht="15" hidden="false" customHeight="false" outlineLevel="0" collapsed="false">
      <c r="A74" s="1"/>
      <c r="B74" s="202" t="s">
        <v>223</v>
      </c>
      <c r="C74" s="213" t="s">
        <v>179</v>
      </c>
      <c r="D74" s="202" t="s">
        <v>13</v>
      </c>
      <c r="E74" s="205" t="n">
        <f aca="false">IFERROR(_xlfn.MINIFS(tblCompras[Preço Unit.],tblCompras[Produto],$B74,tblCompras[Unid.],$C74),"")</f>
        <v>10.8</v>
      </c>
      <c r="F74" s="213" t="str">
        <f aca="false">IFERROR(LOOKUP(2,1/((tblCompras[Produto]=$B74)*(tblCompras[Unid.]=$C74)*(tblCompras[Preço Unit.]=$E74)),tblCompras[Mercado]),"")</f>
        <v>Supermercados Nori</v>
      </c>
      <c r="G74" s="214" t="n">
        <f aca="false">IFERROR(LOOKUP(2,1/((tblCompras[Produto]=$B74)*(tblCompras[Unid.]=$C74)*(tblCompras[Preço Unit.]=$E74)),tblCompras[Data]),"")</f>
        <v>46147</v>
      </c>
      <c r="H74" s="205" t="n">
        <f aca="false">IFERROR(_xlfn.MAXIFS(tblCompras[Preço Unit.],tblCompras[Produto],$B74,tblCompras[Unid.],$C74),"")</f>
        <v>10.8</v>
      </c>
      <c r="I74" s="213" t="str">
        <f aca="false">IFERROR(LOOKUP(2,1/((tblCompras[Produto]=$B74)*(tblCompras[Unid.]=$C74)*(tblCompras[Preço Unit.]=$H74)),tblCompras[Mercado]),"")</f>
        <v>Supermercados Nori</v>
      </c>
      <c r="J74" s="214" t="n">
        <f aca="false">IFERROR(LOOKUP(2,1/((tblCompras[Produto]=$B74)*(tblCompras[Unid.]=$C74)*(tblCompras[Preço Unit.]=$H74)),tblCompras[Data]),"")</f>
        <v>46147</v>
      </c>
      <c r="K74" s="215" t="n">
        <f aca="false">IF(OR($E74="",$H74=""),"",MAX(0,$H74-$E74))</f>
        <v>0</v>
      </c>
      <c r="L74" s="216" t="n">
        <f aca="false">IF(OR($E74="",$H74="",$E74=0),"",($H74-$E74)/$E74)</f>
        <v>0</v>
      </c>
      <c r="M74" s="205" t="n">
        <f aca="false">IFERROR(LOOKUP(2,1/((tblCompras[Produto]=$B74)*(tblCompras[Unid.]=$C74)*(tblCompras[Data]=_xlfn.MAXIFS(tblCompras[Data],tblCompras[Produto],$B74,tblCompras[Unid.],$C74))),tblCompras[Preço Unit.]),"")</f>
        <v>10.8</v>
      </c>
      <c r="N74" s="213" t="str">
        <f aca="false">IFERROR(LOOKUP(2,1/((tblCompras[Produto]=$B74)*(tblCompras[Unid.]=$C74)*(tblCompras[Data]=_xlfn.MAXIFS(tblCompras[Data],tblCompras[Produto],$B74,tblCompras[Unid.],$C74))),tblCompras[Mercado])&amp;" · "&amp;TEXT(DAY(_xlfn.MAXIFS(tblCompras[Data],tblCompras[Produto],$B74,tblCompras[Unid.],$C74)),"00")&amp;"/"&amp;TEXT(MONTH(_xlfn.MAXIFS(tblCompras[Data],tblCompras[Produto],$B74,tblCompras[Unid.],$C74)),"00")&amp;"/"&amp;TEXT(MOD(YEAR(_xlfn.MAXIFS(tblCompras[Data],tblCompras[Produto],$B74,tblCompras[Unid.],$C74)),100),"00"),"")</f>
        <v>Supermercados Nori · 05/05/26</v>
      </c>
      <c r="O74" s="1"/>
      <c r="P74" s="1" t="str">
        <f aca="false">IF(AND(ISNUMBER($K74),$K74&gt;0,OR($B$6="Todas",$D74=$B$6)),$K74+ROW()/100000,"")</f>
        <v/>
      </c>
      <c r="Q74" s="1"/>
      <c r="R74" s="1"/>
      <c r="S74" s="1"/>
      <c r="T74" s="1"/>
    </row>
    <row r="75" customFormat="false" ht="15" hidden="false" customHeight="false" outlineLevel="0" collapsed="false">
      <c r="A75" s="1"/>
      <c r="B75" s="197" t="s">
        <v>325</v>
      </c>
      <c r="C75" s="209" t="s">
        <v>179</v>
      </c>
      <c r="D75" s="197" t="s">
        <v>13</v>
      </c>
      <c r="E75" s="200" t="n">
        <f aca="false">IFERROR(_xlfn.MINIFS(tblCompras[Preço Unit.],tblCompras[Produto],$B75,tblCompras[Unid.],$C75),"")</f>
        <v>8.25</v>
      </c>
      <c r="F75" s="209" t="str">
        <f aca="false">IFERROR(LOOKUP(2,1/((tblCompras[Produto]=$B75)*(tblCompras[Unid.]=$C75)*(tblCompras[Preço Unit.]=$E75)),tblCompras[Mercado]),"")</f>
        <v>Supermercados Nori</v>
      </c>
      <c r="G75" s="210" t="n">
        <f aca="false">IFERROR(LOOKUP(2,1/((tblCompras[Produto]=$B75)*(tblCompras[Unid.]=$C75)*(tblCompras[Preço Unit.]=$E75)),tblCompras[Data]),"")</f>
        <v>46159</v>
      </c>
      <c r="H75" s="200" t="n">
        <f aca="false">IFERROR(_xlfn.MAXIFS(tblCompras[Preço Unit.],tblCompras[Produto],$B75,tblCompras[Unid.],$C75),"")</f>
        <v>8.5</v>
      </c>
      <c r="I75" s="209" t="str">
        <f aca="false">IFERROR(LOOKUP(2,1/((tblCompras[Produto]=$B75)*(tblCompras[Unid.]=$C75)*(tblCompras[Preço Unit.]=$H75)),tblCompras[Mercado]),"")</f>
        <v>Supermercados Nori</v>
      </c>
      <c r="J75" s="210" t="n">
        <f aca="false">IFERROR(LOOKUP(2,1/((tblCompras[Produto]=$B75)*(tblCompras[Unid.]=$C75)*(tblCompras[Preço Unit.]=$H75)),tblCompras[Data]),"")</f>
        <v>46210</v>
      </c>
      <c r="K75" s="211" t="n">
        <f aca="false">IF(OR($E75="",$H75=""),"",MAX(0,$H75-$E75))</f>
        <v>0.25</v>
      </c>
      <c r="L75" s="212" t="n">
        <f aca="false">IF(OR($E75="",$H75="",$E75=0),"",($H75-$E75)/$E75)</f>
        <v>0.0303030303030303</v>
      </c>
      <c r="M75" s="200" t="n">
        <f aca="false">IFERROR(LOOKUP(2,1/((tblCompras[Produto]=$B75)*(tblCompras[Unid.]=$C75)*(tblCompras[Data]=_xlfn.MAXIFS(tblCompras[Data],tblCompras[Produto],$B75,tblCompras[Unid.],$C75))),tblCompras[Preço Unit.]),"")</f>
        <v>8.5</v>
      </c>
      <c r="N75" s="209" t="str">
        <f aca="false">IFERROR(LOOKUP(2,1/((tblCompras[Produto]=$B75)*(tblCompras[Unid.]=$C75)*(tblCompras[Data]=_xlfn.MAXIFS(tblCompras[Data],tblCompras[Produto],$B75,tblCompras[Unid.],$C75))),tblCompras[Mercado])&amp;" · "&amp;TEXT(DAY(_xlfn.MAXIFS(tblCompras[Data],tblCompras[Produto],$B75,tblCompras[Unid.],$C75)),"00")&amp;"/"&amp;TEXT(MONTH(_xlfn.MAXIFS(tblCompras[Data],tblCompras[Produto],$B75,tblCompras[Unid.],$C75)),"00")&amp;"/"&amp;TEXT(MOD(YEAR(_xlfn.MAXIFS(tblCompras[Data],tblCompras[Produto],$B75,tblCompras[Unid.],$C75)),100),"00"),"")</f>
        <v>Supermercados Nori · 07/07/26</v>
      </c>
      <c r="O75" s="1"/>
      <c r="P75" s="1" t="n">
        <f aca="false">IF(AND(ISNUMBER($K75),$K75&gt;0,OR($B$6="Todas",$D75=$B$6)),$K75+ROW()/100000,"")</f>
        <v>0.25075</v>
      </c>
      <c r="Q75" s="1"/>
      <c r="R75" s="1"/>
      <c r="S75" s="1"/>
      <c r="T75" s="1"/>
    </row>
    <row r="76" customFormat="false" ht="15" hidden="false" customHeight="false" outlineLevel="0" collapsed="false">
      <c r="A76" s="1"/>
      <c r="B76" s="202" t="s">
        <v>244</v>
      </c>
      <c r="C76" s="213" t="s">
        <v>179</v>
      </c>
      <c r="D76" s="202" t="s">
        <v>13</v>
      </c>
      <c r="E76" s="205" t="n">
        <f aca="false">IFERROR(_xlfn.MINIFS(tblCompras[Preço Unit.],tblCompras[Produto],$B76,tblCompras[Unid.],$C76),"")</f>
        <v>21.99</v>
      </c>
      <c r="F76" s="213" t="str">
        <f aca="false">IFERROR(LOOKUP(2,1/((tblCompras[Produto]=$B76)*(tblCompras[Unid.]=$C76)*(tblCompras[Preço Unit.]=$E76)),tblCompras[Mercado]),"")</f>
        <v>Supermercados Nori</v>
      </c>
      <c r="G76" s="214" t="n">
        <f aca="false">IFERROR(LOOKUP(2,1/((tblCompras[Produto]=$B76)*(tblCompras[Unid.]=$C76)*(tblCompras[Preço Unit.]=$E76)),tblCompras[Data]),"")</f>
        <v>46147</v>
      </c>
      <c r="H76" s="205" t="n">
        <f aca="false">IFERROR(_xlfn.MAXIFS(tblCompras[Preço Unit.],tblCompras[Produto],$B76,tblCompras[Unid.],$C76),"")</f>
        <v>21.99</v>
      </c>
      <c r="I76" s="213" t="str">
        <f aca="false">IFERROR(LOOKUP(2,1/((tblCompras[Produto]=$B76)*(tblCompras[Unid.]=$C76)*(tblCompras[Preço Unit.]=$H76)),tblCompras[Mercado]),"")</f>
        <v>Supermercados Nori</v>
      </c>
      <c r="J76" s="214" t="n">
        <f aca="false">IFERROR(LOOKUP(2,1/((tblCompras[Produto]=$B76)*(tblCompras[Unid.]=$C76)*(tblCompras[Preço Unit.]=$H76)),tblCompras[Data]),"")</f>
        <v>46147</v>
      </c>
      <c r="K76" s="215" t="n">
        <f aca="false">IF(OR($E76="",$H76=""),"",MAX(0,$H76-$E76))</f>
        <v>0</v>
      </c>
      <c r="L76" s="216" t="n">
        <f aca="false">IF(OR($E76="",$H76="",$E76=0),"",($H76-$E76)/$E76)</f>
        <v>0</v>
      </c>
      <c r="M76" s="205" t="n">
        <f aca="false">IFERROR(LOOKUP(2,1/((tblCompras[Produto]=$B76)*(tblCompras[Unid.]=$C76)*(tblCompras[Data]=_xlfn.MAXIFS(tblCompras[Data],tblCompras[Produto],$B76,tblCompras[Unid.],$C76))),tblCompras[Preço Unit.]),"")</f>
        <v>21.99</v>
      </c>
      <c r="N76" s="213" t="str">
        <f aca="false">IFERROR(LOOKUP(2,1/((tblCompras[Produto]=$B76)*(tblCompras[Unid.]=$C76)*(tblCompras[Data]=_xlfn.MAXIFS(tblCompras[Data],tblCompras[Produto],$B76,tblCompras[Unid.],$C76))),tblCompras[Mercado])&amp;" · "&amp;TEXT(DAY(_xlfn.MAXIFS(tblCompras[Data],tblCompras[Produto],$B76,tblCompras[Unid.],$C76)),"00")&amp;"/"&amp;TEXT(MONTH(_xlfn.MAXIFS(tblCompras[Data],tblCompras[Produto],$B76,tblCompras[Unid.],$C76)),"00")&amp;"/"&amp;TEXT(MOD(YEAR(_xlfn.MAXIFS(tblCompras[Data],tblCompras[Produto],$B76,tblCompras[Unid.],$C76)),100),"00"),"")</f>
        <v>Supermercados Nori · 05/05/26</v>
      </c>
      <c r="O76" s="1"/>
      <c r="P76" s="1" t="str">
        <f aca="false">IF(AND(ISNUMBER($K76),$K76&gt;0,OR($B$6="Todas",$D76=$B$6)),$K76+ROW()/100000,"")</f>
        <v/>
      </c>
      <c r="Q76" s="1"/>
      <c r="R76" s="1"/>
      <c r="S76" s="1"/>
      <c r="T76" s="1"/>
    </row>
    <row r="77" customFormat="false" ht="15" hidden="false" customHeight="false" outlineLevel="0" collapsed="false">
      <c r="A77" s="1"/>
      <c r="B77" s="197" t="s">
        <v>231</v>
      </c>
      <c r="C77" s="209" t="s">
        <v>179</v>
      </c>
      <c r="D77" s="197" t="s">
        <v>13</v>
      </c>
      <c r="E77" s="200" t="n">
        <f aca="false">IFERROR(_xlfn.MINIFS(tblCompras[Preço Unit.],tblCompras[Produto],$B77,tblCompras[Unid.],$C77),"")</f>
        <v>6.65</v>
      </c>
      <c r="F77" s="209" t="str">
        <f aca="false">IFERROR(LOOKUP(2,1/((tblCompras[Produto]=$B77)*(tblCompras[Unid.]=$C77)*(tblCompras[Preço Unit.]=$E77)),tblCompras[Mercado]),"")</f>
        <v>Supermercados Nori</v>
      </c>
      <c r="G77" s="210" t="n">
        <f aca="false">IFERROR(LOOKUP(2,1/((tblCompras[Produto]=$B77)*(tblCompras[Unid.]=$C77)*(tblCompras[Preço Unit.]=$E77)),tblCompras[Data]),"")</f>
        <v>46193</v>
      </c>
      <c r="H77" s="200" t="n">
        <f aca="false">IFERROR(_xlfn.MAXIFS(tblCompras[Preço Unit.],tblCompras[Produto],$B77,tblCompras[Unid.],$C77),"")</f>
        <v>6.65</v>
      </c>
      <c r="I77" s="209" t="str">
        <f aca="false">IFERROR(LOOKUP(2,1/((tblCompras[Produto]=$B77)*(tblCompras[Unid.]=$C77)*(tblCompras[Preço Unit.]=$H77)),tblCompras[Mercado]),"")</f>
        <v>Supermercados Nori</v>
      </c>
      <c r="J77" s="210" t="n">
        <f aca="false">IFERROR(LOOKUP(2,1/((tblCompras[Produto]=$B77)*(tblCompras[Unid.]=$C77)*(tblCompras[Preço Unit.]=$H77)),tblCompras[Data]),"")</f>
        <v>46193</v>
      </c>
      <c r="K77" s="211" t="n">
        <f aca="false">IF(OR($E77="",$H77=""),"",MAX(0,$H77-$E77))</f>
        <v>0</v>
      </c>
      <c r="L77" s="212" t="n">
        <f aca="false">IF(OR($E77="",$H77="",$E77=0),"",($H77-$E77)/$E77)</f>
        <v>0</v>
      </c>
      <c r="M77" s="200" t="n">
        <f aca="false">IFERROR(LOOKUP(2,1/((tblCompras[Produto]=$B77)*(tblCompras[Unid.]=$C77)*(tblCompras[Data]=_xlfn.MAXIFS(tblCompras[Data],tblCompras[Produto],$B77,tblCompras[Unid.],$C77))),tblCompras[Preço Unit.]),"")</f>
        <v>6.65</v>
      </c>
      <c r="N77" s="209" t="str">
        <f aca="false">IFERROR(LOOKUP(2,1/((tblCompras[Produto]=$B77)*(tblCompras[Unid.]=$C77)*(tblCompras[Data]=_xlfn.MAXIFS(tblCompras[Data],tblCompras[Produto],$B77,tblCompras[Unid.],$C77))),tblCompras[Mercado])&amp;" · "&amp;TEXT(DAY(_xlfn.MAXIFS(tblCompras[Data],tblCompras[Produto],$B77,tblCompras[Unid.],$C77)),"00")&amp;"/"&amp;TEXT(MONTH(_xlfn.MAXIFS(tblCompras[Data],tblCompras[Produto],$B77,tblCompras[Unid.],$C77)),"00")&amp;"/"&amp;TEXT(MOD(YEAR(_xlfn.MAXIFS(tblCompras[Data],tblCompras[Produto],$B77,tblCompras[Unid.],$C77)),100),"00"),"")</f>
        <v>Supermercados Nori · 20/06/26</v>
      </c>
      <c r="O77" s="1"/>
      <c r="P77" s="1" t="str">
        <f aca="false">IF(AND(ISNUMBER($K77),$K77&gt;0,OR($B$6="Todas",$D77=$B$6)),$K77+ROW()/100000,"")</f>
        <v/>
      </c>
      <c r="Q77" s="1"/>
      <c r="R77" s="1"/>
      <c r="S77" s="1"/>
      <c r="T77" s="1"/>
    </row>
    <row r="78" customFormat="false" ht="15" hidden="false" customHeight="false" outlineLevel="0" collapsed="false">
      <c r="A78" s="1"/>
      <c r="B78" s="202" t="s">
        <v>574</v>
      </c>
      <c r="C78" s="213" t="s">
        <v>179</v>
      </c>
      <c r="D78" s="202" t="s">
        <v>13</v>
      </c>
      <c r="E78" s="205" t="n">
        <f aca="false">IFERROR(_xlfn.MINIFS(tblCompras[Preço Unit.],tblCompras[Produto],$B78,tblCompras[Unid.],$C78),"")</f>
        <v>6.65</v>
      </c>
      <c r="F78" s="213" t="str">
        <f aca="false">IFERROR(LOOKUP(2,1/((tblCompras[Produto]=$B78)*(tblCompras[Unid.]=$C78)*(tblCompras[Preço Unit.]=$E78)),tblCompras[Mercado]),"")</f>
        <v>Supermercados Nori</v>
      </c>
      <c r="G78" s="214" t="n">
        <f aca="false">IFERROR(LOOKUP(2,1/((tblCompras[Produto]=$B78)*(tblCompras[Unid.]=$C78)*(tblCompras[Preço Unit.]=$E78)),tblCompras[Data]),"")</f>
        <v>46215</v>
      </c>
      <c r="H78" s="205" t="n">
        <f aca="false">IFERROR(_xlfn.MAXIFS(tblCompras[Preço Unit.],tblCompras[Produto],$B78,tblCompras[Unid.],$C78),"")</f>
        <v>6.65</v>
      </c>
      <c r="I78" s="213" t="str">
        <f aca="false">IFERROR(LOOKUP(2,1/((tblCompras[Produto]=$B78)*(tblCompras[Unid.]=$C78)*(tblCompras[Preço Unit.]=$H78)),tblCompras[Mercado]),"")</f>
        <v>Supermercados Nori</v>
      </c>
      <c r="J78" s="214" t="n">
        <f aca="false">IFERROR(LOOKUP(2,1/((tblCompras[Produto]=$B78)*(tblCompras[Unid.]=$C78)*(tblCompras[Preço Unit.]=$H78)),tblCompras[Data]),"")</f>
        <v>46215</v>
      </c>
      <c r="K78" s="215" t="n">
        <f aca="false">IF(OR($E78="",$H78=""),"",MAX(0,$H78-$E78))</f>
        <v>0</v>
      </c>
      <c r="L78" s="216" t="n">
        <f aca="false">IF(OR($E78="",$H78="",$E78=0),"",($H78-$E78)/$E78)</f>
        <v>0</v>
      </c>
      <c r="M78" s="205" t="n">
        <f aca="false">IFERROR(LOOKUP(2,1/((tblCompras[Produto]=$B78)*(tblCompras[Unid.]=$C78)*(tblCompras[Data]=_xlfn.MAXIFS(tblCompras[Data],tblCompras[Produto],$B78,tblCompras[Unid.],$C78))),tblCompras[Preço Unit.]),"")</f>
        <v>6.65</v>
      </c>
      <c r="N78" s="213" t="str">
        <f aca="false">IFERROR(LOOKUP(2,1/((tblCompras[Produto]=$B78)*(tblCompras[Unid.]=$C78)*(tblCompras[Data]=_xlfn.MAXIFS(tblCompras[Data],tblCompras[Produto],$B78,tblCompras[Unid.],$C78))),tblCompras[Mercado])&amp;" · "&amp;TEXT(DAY(_xlfn.MAXIFS(tblCompras[Data],tblCompras[Produto],$B78,tblCompras[Unid.],$C78)),"00")&amp;"/"&amp;TEXT(MONTH(_xlfn.MAXIFS(tblCompras[Data],tblCompras[Produto],$B78,tblCompras[Unid.],$C78)),"00")&amp;"/"&amp;TEXT(MOD(YEAR(_xlfn.MAXIFS(tblCompras[Data],tblCompras[Produto],$B78,tblCompras[Unid.],$C78)),100),"00"),"")</f>
        <v>Supermercados Nori · 12/07/26</v>
      </c>
      <c r="O78" s="1"/>
      <c r="P78" s="1" t="str">
        <f aca="false">IF(AND(ISNUMBER($K78),$K78&gt;0,OR($B$6="Todas",$D78=$B$6)),$K78+ROW()/100000,"")</f>
        <v/>
      </c>
      <c r="Q78" s="1"/>
      <c r="R78" s="1"/>
      <c r="S78" s="1"/>
      <c r="T78" s="1"/>
    </row>
    <row r="79" customFormat="false" ht="15" hidden="false" customHeight="false" outlineLevel="0" collapsed="false">
      <c r="A79" s="1"/>
      <c r="B79" s="197" t="s">
        <v>650</v>
      </c>
      <c r="C79" s="209" t="s">
        <v>179</v>
      </c>
      <c r="D79" s="197" t="s">
        <v>13</v>
      </c>
      <c r="E79" s="200" t="n">
        <f aca="false">IFERROR(_xlfn.MINIFS(tblCompras[Preço Unit.],tblCompras[Produto],$B79,tblCompras[Unid.],$C79),"")</f>
        <v>6.69</v>
      </c>
      <c r="F79" s="209" t="str">
        <f aca="false">IFERROR(LOOKUP(2,1/((tblCompras[Produto]=$B79)*(tblCompras[Unid.]=$C79)*(tblCompras[Preço Unit.]=$E79)),tblCompras[Mercado]),"")</f>
        <v>Supermercado Canesin</v>
      </c>
      <c r="G79" s="210" t="n">
        <f aca="false">IFERROR(LOOKUP(2,1/((tblCompras[Produto]=$B79)*(tblCompras[Unid.]=$C79)*(tblCompras[Preço Unit.]=$E79)),tblCompras[Data]),"")</f>
        <v>46222</v>
      </c>
      <c r="H79" s="200" t="n">
        <f aca="false">IFERROR(_xlfn.MAXIFS(tblCompras[Preço Unit.],tblCompras[Produto],$B79,tblCompras[Unid.],$C79),"")</f>
        <v>6.69</v>
      </c>
      <c r="I79" s="209" t="str">
        <f aca="false">IFERROR(LOOKUP(2,1/((tblCompras[Produto]=$B79)*(tblCompras[Unid.]=$C79)*(tblCompras[Preço Unit.]=$H79)),tblCompras[Mercado]),"")</f>
        <v>Supermercado Canesin</v>
      </c>
      <c r="J79" s="210" t="n">
        <f aca="false">IFERROR(LOOKUP(2,1/((tblCompras[Produto]=$B79)*(tblCompras[Unid.]=$C79)*(tblCompras[Preço Unit.]=$H79)),tblCompras[Data]),"")</f>
        <v>46222</v>
      </c>
      <c r="K79" s="211" t="n">
        <f aca="false">IF(OR($E79="",$H79=""),"",MAX(0,$H79-$E79))</f>
        <v>0</v>
      </c>
      <c r="L79" s="212" t="n">
        <f aca="false">IF(OR($E79="",$H79="",$E79=0),"",($H79-$E79)/$E79)</f>
        <v>0</v>
      </c>
      <c r="M79" s="200" t="n">
        <f aca="false">IFERROR(LOOKUP(2,1/((tblCompras[Produto]=$B79)*(tblCompras[Unid.]=$C79)*(tblCompras[Data]=_xlfn.MAXIFS(tblCompras[Data],tblCompras[Produto],$B79,tblCompras[Unid.],$C79))),tblCompras[Preço Unit.]),"")</f>
        <v>6.69</v>
      </c>
      <c r="N79" s="209" t="str">
        <f aca="false">IFERROR(LOOKUP(2,1/((tblCompras[Produto]=$B79)*(tblCompras[Unid.]=$C79)*(tblCompras[Data]=_xlfn.MAXIFS(tblCompras[Data],tblCompras[Produto],$B79,tblCompras[Unid.],$C79))),tblCompras[Mercado])&amp;" · "&amp;TEXT(DAY(_xlfn.MAXIFS(tblCompras[Data],tblCompras[Produto],$B79,tblCompras[Unid.],$C79)),"00")&amp;"/"&amp;TEXT(MONTH(_xlfn.MAXIFS(tblCompras[Data],tblCompras[Produto],$B79,tblCompras[Unid.],$C79)),"00")&amp;"/"&amp;TEXT(MOD(YEAR(_xlfn.MAXIFS(tblCompras[Data],tblCompras[Produto],$B79,tblCompras[Unid.],$C79)),100),"00"),"")</f>
        <v>Supermercado Canesin · 19/07/26</v>
      </c>
      <c r="O79" s="1"/>
      <c r="P79" s="1" t="str">
        <f aca="false">IF(AND(ISNUMBER($K79),$K79&gt;0,OR($B$6="Todas",$D79=$B$6)),$K79+ROW()/100000,"")</f>
        <v/>
      </c>
      <c r="Q79" s="1"/>
      <c r="R79" s="1"/>
      <c r="S79" s="1"/>
      <c r="T79" s="1"/>
    </row>
    <row r="80" customFormat="false" ht="15" hidden="false" customHeight="false" outlineLevel="0" collapsed="false">
      <c r="A80" s="1"/>
      <c r="B80" s="202" t="s">
        <v>760</v>
      </c>
      <c r="C80" s="213" t="s">
        <v>179</v>
      </c>
      <c r="D80" s="202" t="s">
        <v>13</v>
      </c>
      <c r="E80" s="205" t="n">
        <f aca="false">IFERROR(_xlfn.MINIFS(tblCompras[Preço Unit.],tblCompras[Produto],$B80,tblCompras[Unid.],$C80),"")</f>
        <v>6.69</v>
      </c>
      <c r="F80" s="213" t="str">
        <f aca="false">IFERROR(LOOKUP(2,1/((tblCompras[Produto]=$B80)*(tblCompras[Unid.]=$C80)*(tblCompras[Preço Unit.]=$E80)),tblCompras[Mercado]),"")</f>
        <v>Supermercado Canesin</v>
      </c>
      <c r="G80" s="214" t="n">
        <f aca="false">IFERROR(LOOKUP(2,1/((tblCompras[Produto]=$B80)*(tblCompras[Unid.]=$C80)*(tblCompras[Preço Unit.]=$E80)),tblCompras[Data]),"")</f>
        <v>46240</v>
      </c>
      <c r="H80" s="205" t="n">
        <f aca="false">IFERROR(_xlfn.MAXIFS(tblCompras[Preço Unit.],tblCompras[Produto],$B80,tblCompras[Unid.],$C80),"")</f>
        <v>6.69</v>
      </c>
      <c r="I80" s="213" t="str">
        <f aca="false">IFERROR(LOOKUP(2,1/((tblCompras[Produto]=$B80)*(tblCompras[Unid.]=$C80)*(tblCompras[Preço Unit.]=$H80)),tblCompras[Mercado]),"")</f>
        <v>Supermercado Canesin</v>
      </c>
      <c r="J80" s="214" t="n">
        <f aca="false">IFERROR(LOOKUP(2,1/((tblCompras[Produto]=$B80)*(tblCompras[Unid.]=$C80)*(tblCompras[Preço Unit.]=$H80)),tblCompras[Data]),"")</f>
        <v>46240</v>
      </c>
      <c r="K80" s="215" t="n">
        <f aca="false">IF(OR($E80="",$H80=""),"",MAX(0,$H80-$E80))</f>
        <v>0</v>
      </c>
      <c r="L80" s="216" t="n">
        <f aca="false">IF(OR($E80="",$H80="",$E80=0),"",($H80-$E80)/$E80)</f>
        <v>0</v>
      </c>
      <c r="M80" s="205" t="n">
        <f aca="false">IFERROR(LOOKUP(2,1/((tblCompras[Produto]=$B80)*(tblCompras[Unid.]=$C80)*(tblCompras[Data]=_xlfn.MAXIFS(tblCompras[Data],tblCompras[Produto],$B80,tblCompras[Unid.],$C80))),tblCompras[Preço Unit.]),"")</f>
        <v>6.69</v>
      </c>
      <c r="N80" s="213" t="str">
        <f aca="false">IFERROR(LOOKUP(2,1/((tblCompras[Produto]=$B80)*(tblCompras[Unid.]=$C80)*(tblCompras[Data]=_xlfn.MAXIFS(tblCompras[Data],tblCompras[Produto],$B80,tblCompras[Unid.],$C80))),tblCompras[Mercado])&amp;" · "&amp;TEXT(DAY(_xlfn.MAXIFS(tblCompras[Data],tblCompras[Produto],$B80,tblCompras[Unid.],$C80)),"00")&amp;"/"&amp;TEXT(MONTH(_xlfn.MAXIFS(tblCompras[Data],tblCompras[Produto],$B80,tblCompras[Unid.],$C80)),"00")&amp;"/"&amp;TEXT(MOD(YEAR(_xlfn.MAXIFS(tblCompras[Data],tblCompras[Produto],$B80,tblCompras[Unid.],$C80)),100),"00"),"")</f>
        <v>Supermercado Canesin · 06/08/26</v>
      </c>
      <c r="O80" s="1"/>
      <c r="P80" s="1" t="str">
        <f aca="false">IF(AND(ISNUMBER($K80),$K80&gt;0,OR($B$6="Todas",$D80=$B$6)),$K80+ROW()/100000,"")</f>
        <v/>
      </c>
      <c r="Q80" s="1"/>
      <c r="R80" s="1"/>
      <c r="S80" s="1"/>
      <c r="T80" s="1"/>
    </row>
    <row r="81" customFormat="false" ht="15" hidden="false" customHeight="false" outlineLevel="0" collapsed="false">
      <c r="A81" s="1"/>
      <c r="B81" s="197" t="s">
        <v>647</v>
      </c>
      <c r="C81" s="209" t="s">
        <v>179</v>
      </c>
      <c r="D81" s="197" t="s">
        <v>13</v>
      </c>
      <c r="E81" s="200" t="n">
        <f aca="false">IFERROR(_xlfn.MINIFS(tblCompras[Preço Unit.],tblCompras[Produto],$B81,tblCompras[Unid.],$C81),"")</f>
        <v>5.09</v>
      </c>
      <c r="F81" s="209" t="str">
        <f aca="false">IFERROR(LOOKUP(2,1/((tblCompras[Produto]=$B81)*(tblCompras[Unid.]=$C81)*(tblCompras[Preço Unit.]=$E81)),tblCompras[Mercado]),"")</f>
        <v>Supermercados Nori</v>
      </c>
      <c r="G81" s="210" t="n">
        <f aca="false">IFERROR(LOOKUP(2,1/((tblCompras[Produto]=$B81)*(tblCompras[Unid.]=$C81)*(tblCompras[Preço Unit.]=$E81)),tblCompras[Data]),"")</f>
        <v>46179</v>
      </c>
      <c r="H81" s="200" t="n">
        <f aca="false">IFERROR(_xlfn.MAXIFS(tblCompras[Preço Unit.],tblCompras[Produto],$B81,tblCompras[Unid.],$C81),"")</f>
        <v>5.5</v>
      </c>
      <c r="I81" s="209" t="str">
        <f aca="false">IFERROR(LOOKUP(2,1/((tblCompras[Produto]=$B81)*(tblCompras[Unid.]=$C81)*(tblCompras[Preço Unit.]=$H81)),tblCompras[Mercado]),"")</f>
        <v>Supermercados Nori</v>
      </c>
      <c r="J81" s="210" t="n">
        <f aca="false">IFERROR(LOOKUP(2,1/((tblCompras[Produto]=$B81)*(tblCompras[Unid.]=$C81)*(tblCompras[Preço Unit.]=$H81)),tblCompras[Data]),"")</f>
        <v>46210</v>
      </c>
      <c r="K81" s="211" t="n">
        <f aca="false">IF(OR($E81="",$H81=""),"",MAX(0,$H81-$E81))</f>
        <v>0.41</v>
      </c>
      <c r="L81" s="212" t="n">
        <f aca="false">IF(OR($E81="",$H81="",$E81=0),"",($H81-$E81)/$E81)</f>
        <v>0.0805500982318271</v>
      </c>
      <c r="M81" s="200" t="n">
        <f aca="false">IFERROR(LOOKUP(2,1/((tblCompras[Produto]=$B81)*(tblCompras[Unid.]=$C81)*(tblCompras[Data]=_xlfn.MAXIFS(tblCompras[Data],tblCompras[Produto],$B81,tblCompras[Unid.],$C81))),tblCompras[Preço Unit.]),"")</f>
        <v>5.5</v>
      </c>
      <c r="N81" s="209" t="str">
        <f aca="false">IFERROR(LOOKUP(2,1/((tblCompras[Produto]=$B81)*(tblCompras[Unid.]=$C81)*(tblCompras[Data]=_xlfn.MAXIFS(tblCompras[Data],tblCompras[Produto],$B81,tblCompras[Unid.],$C81))),tblCompras[Mercado])&amp;" · "&amp;TEXT(DAY(_xlfn.MAXIFS(tblCompras[Data],tblCompras[Produto],$B81,tblCompras[Unid.],$C81)),"00")&amp;"/"&amp;TEXT(MONTH(_xlfn.MAXIFS(tblCompras[Data],tblCompras[Produto],$B81,tblCompras[Unid.],$C81)),"00")&amp;"/"&amp;TEXT(MOD(YEAR(_xlfn.MAXIFS(tblCompras[Data],tblCompras[Produto],$B81,tblCompras[Unid.],$C81)),100),"00"),"")</f>
        <v>Supermercados Nori · 07/07/26</v>
      </c>
      <c r="O81" s="1"/>
      <c r="P81" s="1" t="n">
        <f aca="false">IF(AND(ISNUMBER($K81),$K81&gt;0,OR($B$6="Todas",$D81=$B$6)),$K81+ROW()/100000,"")</f>
        <v>0.41081</v>
      </c>
      <c r="Q81" s="1"/>
      <c r="R81" s="1"/>
      <c r="S81" s="1"/>
      <c r="T81" s="1"/>
    </row>
    <row r="82" customFormat="false" ht="15" hidden="false" customHeight="false" outlineLevel="0" collapsed="false">
      <c r="A82" s="1"/>
      <c r="B82" s="202" t="s">
        <v>229</v>
      </c>
      <c r="C82" s="213" t="s">
        <v>179</v>
      </c>
      <c r="D82" s="202" t="s">
        <v>13</v>
      </c>
      <c r="E82" s="205" t="n">
        <f aca="false">IFERROR(_xlfn.MINIFS(tblCompras[Preço Unit.],tblCompras[Produto],$B82,tblCompras[Unid.],$C82),"")</f>
        <v>6.25</v>
      </c>
      <c r="F82" s="213" t="str">
        <f aca="false">IFERROR(LOOKUP(2,1/((tblCompras[Produto]=$B82)*(tblCompras[Unid.]=$C82)*(tblCompras[Preço Unit.]=$E82)),tblCompras[Mercado]),"")</f>
        <v>Supermercados Nori</v>
      </c>
      <c r="G82" s="214" t="n">
        <f aca="false">IFERROR(LOOKUP(2,1/((tblCompras[Produto]=$B82)*(tblCompras[Unid.]=$C82)*(tblCompras[Preço Unit.]=$E82)),tblCompras[Data]),"")</f>
        <v>46147</v>
      </c>
      <c r="H82" s="205" t="n">
        <f aca="false">IFERROR(_xlfn.MAXIFS(tblCompras[Preço Unit.],tblCompras[Produto],$B82,tblCompras[Unid.],$C82),"")</f>
        <v>6.5</v>
      </c>
      <c r="I82" s="213" t="str">
        <f aca="false">IFERROR(LOOKUP(2,1/((tblCompras[Produto]=$B82)*(tblCompras[Unid.]=$C82)*(tblCompras[Preço Unit.]=$H82)),tblCompras[Mercado]),"")</f>
        <v>Supermercados Nori</v>
      </c>
      <c r="J82" s="214" t="n">
        <f aca="false">IFERROR(LOOKUP(2,1/((tblCompras[Produto]=$B82)*(tblCompras[Unid.]=$C82)*(tblCompras[Preço Unit.]=$H82)),tblCompras[Data]),"")</f>
        <v>46185</v>
      </c>
      <c r="K82" s="215" t="n">
        <f aca="false">IF(OR($E82="",$H82=""),"",MAX(0,$H82-$E82))</f>
        <v>0.25</v>
      </c>
      <c r="L82" s="216" t="n">
        <f aca="false">IF(OR($E82="",$H82="",$E82=0),"",($H82-$E82)/$E82)</f>
        <v>0.04</v>
      </c>
      <c r="M82" s="205" t="n">
        <f aca="false">IFERROR(LOOKUP(2,1/((tblCompras[Produto]=$B82)*(tblCompras[Unid.]=$C82)*(tblCompras[Data]=_xlfn.MAXIFS(tblCompras[Data],tblCompras[Produto],$B82,tblCompras[Unid.],$C82))),tblCompras[Preço Unit.]),"")</f>
        <v>6.5</v>
      </c>
      <c r="N82" s="213" t="str">
        <f aca="false">IFERROR(LOOKUP(2,1/((tblCompras[Produto]=$B82)*(tblCompras[Unid.]=$C82)*(tblCompras[Data]=_xlfn.MAXIFS(tblCompras[Data],tblCompras[Produto],$B82,tblCompras[Unid.],$C82))),tblCompras[Mercado])&amp;" · "&amp;TEXT(DAY(_xlfn.MAXIFS(tblCompras[Data],tblCompras[Produto],$B82,tblCompras[Unid.],$C82)),"00")&amp;"/"&amp;TEXT(MONTH(_xlfn.MAXIFS(tblCompras[Data],tblCompras[Produto],$B82,tblCompras[Unid.],$C82)),"00")&amp;"/"&amp;TEXT(MOD(YEAR(_xlfn.MAXIFS(tblCompras[Data],tblCompras[Produto],$B82,tblCompras[Unid.],$C82)),100),"00"),"")</f>
        <v>Supermercados Nori · 12/06/26</v>
      </c>
      <c r="O82" s="1"/>
      <c r="P82" s="1" t="n">
        <f aca="false">IF(AND(ISNUMBER($K82),$K82&gt;0,OR($B$6="Todas",$D82=$B$6)),$K82+ROW()/100000,"")</f>
        <v>0.25082</v>
      </c>
      <c r="Q82" s="1"/>
      <c r="R82" s="1"/>
      <c r="S82" s="1"/>
      <c r="T82" s="1"/>
    </row>
    <row r="83" customFormat="false" ht="15" hidden="false" customHeight="false" outlineLevel="0" collapsed="false">
      <c r="A83" s="1"/>
      <c r="B83" s="197" t="s">
        <v>227</v>
      </c>
      <c r="C83" s="209" t="s">
        <v>179</v>
      </c>
      <c r="D83" s="197" t="s">
        <v>13</v>
      </c>
      <c r="E83" s="200" t="n">
        <f aca="false">IFERROR(_xlfn.MINIFS(tblCompras[Preço Unit.],tblCompras[Produto],$B83,tblCompras[Unid.],$C83),"")</f>
        <v>17.5</v>
      </c>
      <c r="F83" s="209" t="str">
        <f aca="false">IFERROR(LOOKUP(2,1/((tblCompras[Produto]=$B83)*(tblCompras[Unid.]=$C83)*(tblCompras[Preço Unit.]=$E83)),tblCompras[Mercado]),"")</f>
        <v>Supermercados Nori</v>
      </c>
      <c r="G83" s="210" t="n">
        <f aca="false">IFERROR(LOOKUP(2,1/((tblCompras[Produto]=$B83)*(tblCompras[Unid.]=$C83)*(tblCompras[Preço Unit.]=$E83)),tblCompras[Data]),"")</f>
        <v>46147</v>
      </c>
      <c r="H83" s="200" t="n">
        <f aca="false">IFERROR(_xlfn.MAXIFS(tblCompras[Preço Unit.],tblCompras[Produto],$B83,tblCompras[Unid.],$C83),"")</f>
        <v>18.2</v>
      </c>
      <c r="I83" s="209" t="str">
        <f aca="false">IFERROR(LOOKUP(2,1/((tblCompras[Produto]=$B83)*(tblCompras[Unid.]=$C83)*(tblCompras[Preço Unit.]=$H83)),tblCompras[Mercado]),"")</f>
        <v>Supermercados Nori</v>
      </c>
      <c r="J83" s="210" t="n">
        <f aca="false">IFERROR(LOOKUP(2,1/((tblCompras[Produto]=$B83)*(tblCompras[Unid.]=$C83)*(tblCompras[Preço Unit.]=$H83)),tblCompras[Data]),"")</f>
        <v>46193</v>
      </c>
      <c r="K83" s="211" t="n">
        <f aca="false">IF(OR($E83="",$H83=""),"",MAX(0,$H83-$E83))</f>
        <v>0.699999999999999</v>
      </c>
      <c r="L83" s="212" t="n">
        <f aca="false">IF(OR($E83="",$H83="",$E83=0),"",($H83-$E83)/$E83)</f>
        <v>0.04</v>
      </c>
      <c r="M83" s="200" t="n">
        <f aca="false">IFERROR(LOOKUP(2,1/((tblCompras[Produto]=$B83)*(tblCompras[Unid.]=$C83)*(tblCompras[Data]=_xlfn.MAXIFS(tblCompras[Data],tblCompras[Produto],$B83,tblCompras[Unid.],$C83))),tblCompras[Preço Unit.]),"")</f>
        <v>18.2</v>
      </c>
      <c r="N83" s="209" t="str">
        <f aca="false">IFERROR(LOOKUP(2,1/((tblCompras[Produto]=$B83)*(tblCompras[Unid.]=$C83)*(tblCompras[Data]=_xlfn.MAXIFS(tblCompras[Data],tblCompras[Produto],$B83,tblCompras[Unid.],$C83))),tblCompras[Mercado])&amp;" · "&amp;TEXT(DAY(_xlfn.MAXIFS(tblCompras[Data],tblCompras[Produto],$B83,tblCompras[Unid.],$C83)),"00")&amp;"/"&amp;TEXT(MONTH(_xlfn.MAXIFS(tblCompras[Data],tblCompras[Produto],$B83,tblCompras[Unid.],$C83)),"00")&amp;"/"&amp;TEXT(MOD(YEAR(_xlfn.MAXIFS(tblCompras[Data],tblCompras[Produto],$B83,tblCompras[Unid.],$C83)),100),"00"),"")</f>
        <v>Supermercados Nori · 20/06/26</v>
      </c>
      <c r="O83" s="1"/>
      <c r="P83" s="1" t="n">
        <f aca="false">IF(AND(ISNUMBER($K83),$K83&gt;0,OR($B$6="Todas",$D83=$B$6)),$K83+ROW()/100000,"")</f>
        <v>0.700829999999999</v>
      </c>
      <c r="Q83" s="1"/>
      <c r="R83" s="1"/>
      <c r="S83" s="1"/>
      <c r="T83" s="1"/>
    </row>
    <row r="84" customFormat="false" ht="15" hidden="false" customHeight="false" outlineLevel="0" collapsed="false">
      <c r="A84" s="1"/>
      <c r="B84" s="202" t="s">
        <v>1086</v>
      </c>
      <c r="C84" s="213" t="s">
        <v>179</v>
      </c>
      <c r="D84" s="202" t="s">
        <v>20</v>
      </c>
      <c r="E84" s="205" t="n">
        <f aca="false">IFERROR(_xlfn.MINIFS(tblCompras[Preço Unit.],tblCompras[Produto],$B84,tblCompras[Unid.],$C84),"")</f>
        <v>2.49</v>
      </c>
      <c r="F84" s="213" t="str">
        <f aca="false">IFERROR(LOOKUP(2,1/((tblCompras[Produto]=$B84)*(tblCompras[Unid.]=$C84)*(tblCompras[Preço Unit.]=$E84)),tblCompras[Mercado]),"")</f>
        <v>Supermercados Nori</v>
      </c>
      <c r="G84" s="214" t="n">
        <f aca="false">IFERROR(LOOKUP(2,1/((tblCompras[Produto]=$B84)*(tblCompras[Unid.]=$C84)*(tblCompras[Preço Unit.]=$E84)),tblCompras[Data]),"")</f>
        <v>46157</v>
      </c>
      <c r="H84" s="205" t="n">
        <f aca="false">IFERROR(_xlfn.MAXIFS(tblCompras[Preço Unit.],tblCompras[Produto],$B84,tblCompras[Unid.],$C84),"")</f>
        <v>2.49</v>
      </c>
      <c r="I84" s="213" t="str">
        <f aca="false">IFERROR(LOOKUP(2,1/((tblCompras[Produto]=$B84)*(tblCompras[Unid.]=$C84)*(tblCompras[Preço Unit.]=$H84)),tblCompras[Mercado]),"")</f>
        <v>Supermercados Nori</v>
      </c>
      <c r="J84" s="214" t="n">
        <f aca="false">IFERROR(LOOKUP(2,1/((tblCompras[Produto]=$B84)*(tblCompras[Unid.]=$C84)*(tblCompras[Preço Unit.]=$H84)),tblCompras[Data]),"")</f>
        <v>46157</v>
      </c>
      <c r="K84" s="215" t="n">
        <f aca="false">IF(OR($E84="",$H84=""),"",MAX(0,$H84-$E84))</f>
        <v>0</v>
      </c>
      <c r="L84" s="216" t="n">
        <f aca="false">IF(OR($E84="",$H84="",$E84=0),"",($H84-$E84)/$E84)</f>
        <v>0</v>
      </c>
      <c r="M84" s="205" t="n">
        <f aca="false">IFERROR(LOOKUP(2,1/((tblCompras[Produto]=$B84)*(tblCompras[Unid.]=$C84)*(tblCompras[Data]=_xlfn.MAXIFS(tblCompras[Data],tblCompras[Produto],$B84,tblCompras[Unid.],$C84))),tblCompras[Preço Unit.]),"")</f>
        <v>2.49</v>
      </c>
      <c r="N84" s="213" t="str">
        <f aca="false">IFERROR(LOOKUP(2,1/((tblCompras[Produto]=$B84)*(tblCompras[Unid.]=$C84)*(tblCompras[Data]=_xlfn.MAXIFS(tblCompras[Data],tblCompras[Produto],$B84,tblCompras[Unid.],$C84))),tblCompras[Mercado])&amp;" · "&amp;TEXT(DAY(_xlfn.MAXIFS(tblCompras[Data],tblCompras[Produto],$B84,tblCompras[Unid.],$C84)),"00")&amp;"/"&amp;TEXT(MONTH(_xlfn.MAXIFS(tblCompras[Data],tblCompras[Produto],$B84,tblCompras[Unid.],$C84)),"00")&amp;"/"&amp;TEXT(MOD(YEAR(_xlfn.MAXIFS(tblCompras[Data],tblCompras[Produto],$B84,tblCompras[Unid.],$C84)),100),"00"),"")</f>
        <v>Supermercados Nori · 15/05/26</v>
      </c>
      <c r="O84" s="1"/>
      <c r="P84" s="1" t="str">
        <f aca="false">IF(AND(ISNUMBER($K84),$K84&gt;0,OR($B$6="Todas",$D84=$B$6)),$K84+ROW()/100000,"")</f>
        <v/>
      </c>
      <c r="Q84" s="1"/>
      <c r="R84" s="1"/>
      <c r="S84" s="1"/>
      <c r="T84" s="1"/>
    </row>
    <row r="85" customFormat="false" ht="15" hidden="false" customHeight="false" outlineLevel="0" collapsed="false">
      <c r="A85" s="1"/>
      <c r="B85" s="197" t="s">
        <v>1110</v>
      </c>
      <c r="C85" s="209" t="s">
        <v>179</v>
      </c>
      <c r="D85" s="197" t="s">
        <v>20</v>
      </c>
      <c r="E85" s="200" t="n">
        <f aca="false">IFERROR(_xlfn.MINIFS(tblCompras[Preço Unit.],tblCompras[Produto],$B85,tblCompras[Unid.],$C85),"")</f>
        <v>8.25</v>
      </c>
      <c r="F85" s="209" t="str">
        <f aca="false">IFERROR(LOOKUP(2,1/((tblCompras[Produto]=$B85)*(tblCompras[Unid.]=$C85)*(tblCompras[Preço Unit.]=$E85)),tblCompras[Mercado]),"")</f>
        <v>Supermercados Nori</v>
      </c>
      <c r="G85" s="210" t="n">
        <f aca="false">IFERROR(LOOKUP(2,1/((tblCompras[Produto]=$B85)*(tblCompras[Unid.]=$C85)*(tblCompras[Preço Unit.]=$E85)),tblCompras[Data]),"")</f>
        <v>46159</v>
      </c>
      <c r="H85" s="200" t="n">
        <f aca="false">IFERROR(_xlfn.MAXIFS(tblCompras[Preço Unit.],tblCompras[Produto],$B85,tblCompras[Unid.],$C85),"")</f>
        <v>8.5</v>
      </c>
      <c r="I85" s="209" t="str">
        <f aca="false">IFERROR(LOOKUP(2,1/((tblCompras[Produto]=$B85)*(tblCompras[Unid.]=$C85)*(tblCompras[Preço Unit.]=$H85)),tblCompras[Mercado]),"")</f>
        <v>Supermercados Nori</v>
      </c>
      <c r="J85" s="210" t="n">
        <f aca="false">IFERROR(LOOKUP(2,1/((tblCompras[Produto]=$B85)*(tblCompras[Unid.]=$C85)*(tblCompras[Preço Unit.]=$H85)),tblCompras[Data]),"")</f>
        <v>46210</v>
      </c>
      <c r="K85" s="211" t="n">
        <f aca="false">IF(OR($E85="",$H85=""),"",MAX(0,$H85-$E85))</f>
        <v>0.25</v>
      </c>
      <c r="L85" s="212" t="n">
        <f aca="false">IF(OR($E85="",$H85="",$E85=0),"",($H85-$E85)/$E85)</f>
        <v>0.0303030303030303</v>
      </c>
      <c r="M85" s="200" t="n">
        <f aca="false">IFERROR(LOOKUP(2,1/((tblCompras[Produto]=$B85)*(tblCompras[Unid.]=$C85)*(tblCompras[Data]=_xlfn.MAXIFS(tblCompras[Data],tblCompras[Produto],$B85,tblCompras[Unid.],$C85))),tblCompras[Preço Unit.]),"")</f>
        <v>8.5</v>
      </c>
      <c r="N85" s="209" t="str">
        <f aca="false">IFERROR(LOOKUP(2,1/((tblCompras[Produto]=$B85)*(tblCompras[Unid.]=$C85)*(tblCompras[Data]=_xlfn.MAXIFS(tblCompras[Data],tblCompras[Produto],$B85,tblCompras[Unid.],$C85))),tblCompras[Mercado])&amp;" · "&amp;TEXT(DAY(_xlfn.MAXIFS(tblCompras[Data],tblCompras[Produto],$B85,tblCompras[Unid.],$C85)),"00")&amp;"/"&amp;TEXT(MONTH(_xlfn.MAXIFS(tblCompras[Data],tblCompras[Produto],$B85,tblCompras[Unid.],$C85)),"00")&amp;"/"&amp;TEXT(MOD(YEAR(_xlfn.MAXIFS(tblCompras[Data],tblCompras[Produto],$B85,tblCompras[Unid.],$C85)),100),"00"),"")</f>
        <v>Supermercados Nori · 07/07/26</v>
      </c>
      <c r="O85" s="1"/>
      <c r="P85" s="1" t="n">
        <f aca="false">IF(AND(ISNUMBER($K85),$K85&gt;0,OR($B$6="Todas",$D85=$B$6)),$K85+ROW()/100000,"")</f>
        <v>0.25085</v>
      </c>
      <c r="Q85" s="1"/>
      <c r="R85" s="1"/>
      <c r="S85" s="1"/>
      <c r="T85" s="1"/>
    </row>
    <row r="86" customFormat="false" ht="15" hidden="false" customHeight="false" outlineLevel="0" collapsed="false">
      <c r="A86" s="1"/>
      <c r="B86" s="202" t="s">
        <v>213</v>
      </c>
      <c r="C86" s="213" t="s">
        <v>179</v>
      </c>
      <c r="D86" s="202" t="s">
        <v>20</v>
      </c>
      <c r="E86" s="205" t="n">
        <f aca="false">IFERROR(_xlfn.MINIFS(tblCompras[Preço Unit.],tblCompras[Produto],$B86,tblCompras[Unid.],$C86),"")</f>
        <v>5.09</v>
      </c>
      <c r="F86" s="213" t="str">
        <f aca="false">IFERROR(LOOKUP(2,1/((tblCompras[Produto]=$B86)*(tblCompras[Unid.]=$C86)*(tblCompras[Preço Unit.]=$E86)),tblCompras[Mercado]),"")</f>
        <v>Supermercados Nori</v>
      </c>
      <c r="G86" s="214" t="n">
        <f aca="false">IFERROR(LOOKUP(2,1/((tblCompras[Produto]=$B86)*(tblCompras[Unid.]=$C86)*(tblCompras[Preço Unit.]=$E86)),tblCompras[Data]),"")</f>
        <v>46146</v>
      </c>
      <c r="H86" s="205" t="n">
        <f aca="false">IFERROR(_xlfn.MAXIFS(tblCompras[Preço Unit.],tblCompras[Produto],$B86,tblCompras[Unid.],$C86),"")</f>
        <v>5.09</v>
      </c>
      <c r="I86" s="213" t="str">
        <f aca="false">IFERROR(LOOKUP(2,1/((tblCompras[Produto]=$B86)*(tblCompras[Unid.]=$C86)*(tblCompras[Preço Unit.]=$H86)),tblCompras[Mercado]),"")</f>
        <v>Supermercados Nori</v>
      </c>
      <c r="J86" s="214" t="n">
        <f aca="false">IFERROR(LOOKUP(2,1/((tblCompras[Produto]=$B86)*(tblCompras[Unid.]=$C86)*(tblCompras[Preço Unit.]=$H86)),tblCompras[Data]),"")</f>
        <v>46146</v>
      </c>
      <c r="K86" s="215" t="n">
        <f aca="false">IF(OR($E86="",$H86=""),"",MAX(0,$H86-$E86))</f>
        <v>0</v>
      </c>
      <c r="L86" s="216" t="n">
        <f aca="false">IF(OR($E86="",$H86="",$E86=0),"",($H86-$E86)/$E86)</f>
        <v>0</v>
      </c>
      <c r="M86" s="205" t="n">
        <f aca="false">IFERROR(LOOKUP(2,1/((tblCompras[Produto]=$B86)*(tblCompras[Unid.]=$C86)*(tblCompras[Data]=_xlfn.MAXIFS(tblCompras[Data],tblCompras[Produto],$B86,tblCompras[Unid.],$C86))),tblCompras[Preço Unit.]),"")</f>
        <v>5.09</v>
      </c>
      <c r="N86" s="213" t="str">
        <f aca="false">IFERROR(LOOKUP(2,1/((tblCompras[Produto]=$B86)*(tblCompras[Unid.]=$C86)*(tblCompras[Data]=_xlfn.MAXIFS(tblCompras[Data],tblCompras[Produto],$B86,tblCompras[Unid.],$C86))),tblCompras[Mercado])&amp;" · "&amp;TEXT(DAY(_xlfn.MAXIFS(tblCompras[Data],tblCompras[Produto],$B86,tblCompras[Unid.],$C86)),"00")&amp;"/"&amp;TEXT(MONTH(_xlfn.MAXIFS(tblCompras[Data],tblCompras[Produto],$B86,tblCompras[Unid.],$C86)),"00")&amp;"/"&amp;TEXT(MOD(YEAR(_xlfn.MAXIFS(tblCompras[Data],tblCompras[Produto],$B86,tblCompras[Unid.],$C86)),100),"00"),"")</f>
        <v>Supermercados Nori · 04/05/26</v>
      </c>
      <c r="O86" s="1"/>
      <c r="P86" s="1" t="str">
        <f aca="false">IF(AND(ISNUMBER($K86),$K86&gt;0,OR($B$6="Todas",$D86=$B$6)),$K86+ROW()/100000,"")</f>
        <v/>
      </c>
      <c r="Q86" s="1"/>
      <c r="R86" s="1"/>
      <c r="S86" s="1"/>
      <c r="T86" s="1"/>
    </row>
    <row r="87" customFormat="false" ht="15" hidden="false" customHeight="false" outlineLevel="0" collapsed="false">
      <c r="A87" s="1"/>
      <c r="B87" s="197" t="s">
        <v>1074</v>
      </c>
      <c r="C87" s="209" t="s">
        <v>176</v>
      </c>
      <c r="D87" s="197" t="s">
        <v>20</v>
      </c>
      <c r="E87" s="200" t="n">
        <f aca="false">IFERROR(_xlfn.MINIFS(tblCompras[Preço Unit.],tblCompras[Produto],$B87,tblCompras[Unid.],$C87),"")</f>
        <v>110</v>
      </c>
      <c r="F87" s="209" t="str">
        <f aca="false">IFERROR(LOOKUP(2,1/((tblCompras[Produto]=$B87)*(tblCompras[Unid.]=$C87)*(tblCompras[Preço Unit.]=$E87)),tblCompras[Mercado]),"")</f>
        <v>Supermercados Nori</v>
      </c>
      <c r="G87" s="210" t="n">
        <f aca="false">IFERROR(LOOKUP(2,1/((tblCompras[Produto]=$B87)*(tblCompras[Unid.]=$C87)*(tblCompras[Preço Unit.]=$E87)),tblCompras[Data]),"")</f>
        <v>46157</v>
      </c>
      <c r="H87" s="200" t="n">
        <f aca="false">IFERROR(_xlfn.MAXIFS(tblCompras[Preço Unit.],tblCompras[Produto],$B87,tblCompras[Unid.],$C87),"")</f>
        <v>110</v>
      </c>
      <c r="I87" s="209" t="str">
        <f aca="false">IFERROR(LOOKUP(2,1/((tblCompras[Produto]=$B87)*(tblCompras[Unid.]=$C87)*(tblCompras[Preço Unit.]=$H87)),tblCompras[Mercado]),"")</f>
        <v>Supermercados Nori</v>
      </c>
      <c r="J87" s="210" t="n">
        <f aca="false">IFERROR(LOOKUP(2,1/((tblCompras[Produto]=$B87)*(tblCompras[Unid.]=$C87)*(tblCompras[Preço Unit.]=$H87)),tblCompras[Data]),"")</f>
        <v>46157</v>
      </c>
      <c r="K87" s="211" t="n">
        <f aca="false">IF(OR($E87="",$H87=""),"",MAX(0,$H87-$E87))</f>
        <v>0</v>
      </c>
      <c r="L87" s="212" t="n">
        <f aca="false">IF(OR($E87="",$H87="",$E87=0),"",($H87-$E87)/$E87)</f>
        <v>0</v>
      </c>
      <c r="M87" s="200" t="n">
        <f aca="false">IFERROR(LOOKUP(2,1/((tblCompras[Produto]=$B87)*(tblCompras[Unid.]=$C87)*(tblCompras[Data]=_xlfn.MAXIFS(tblCompras[Data],tblCompras[Produto],$B87,tblCompras[Unid.],$C87))),tblCompras[Preço Unit.]),"")</f>
        <v>110</v>
      </c>
      <c r="N87" s="209" t="str">
        <f aca="false">IFERROR(LOOKUP(2,1/((tblCompras[Produto]=$B87)*(tblCompras[Unid.]=$C87)*(tblCompras[Data]=_xlfn.MAXIFS(tblCompras[Data],tblCompras[Produto],$B87,tblCompras[Unid.],$C87))),tblCompras[Mercado])&amp;" · "&amp;TEXT(DAY(_xlfn.MAXIFS(tblCompras[Data],tblCompras[Produto],$B87,tblCompras[Unid.],$C87)),"00")&amp;"/"&amp;TEXT(MONTH(_xlfn.MAXIFS(tblCompras[Data],tblCompras[Produto],$B87,tblCompras[Unid.],$C87)),"00")&amp;"/"&amp;TEXT(MOD(YEAR(_xlfn.MAXIFS(tblCompras[Data],tblCompras[Produto],$B87,tblCompras[Unid.],$C87)),100),"00"),"")</f>
        <v>Supermercados Nori · 15/05/26</v>
      </c>
      <c r="O87" s="1"/>
      <c r="P87" s="1" t="str">
        <f aca="false">IF(AND(ISNUMBER($K87),$K87&gt;0,OR($B$6="Todas",$D87=$B$6)),$K87+ROW()/100000,"")</f>
        <v/>
      </c>
      <c r="Q87" s="1"/>
      <c r="R87" s="1"/>
      <c r="S87" s="1"/>
      <c r="T87" s="1"/>
    </row>
    <row r="88" customFormat="false" ht="15" hidden="false" customHeight="false" outlineLevel="0" collapsed="false">
      <c r="A88" s="1"/>
      <c r="B88" s="202" t="s">
        <v>215</v>
      </c>
      <c r="C88" s="213" t="s">
        <v>179</v>
      </c>
      <c r="D88" s="202" t="s">
        <v>20</v>
      </c>
      <c r="E88" s="205" t="n">
        <f aca="false">IFERROR(_xlfn.MINIFS(tblCompras[Preço Unit.],tblCompras[Produto],$B88,tblCompras[Unid.],$C88),"")</f>
        <v>17.5</v>
      </c>
      <c r="F88" s="213" t="str">
        <f aca="false">IFERROR(LOOKUP(2,1/((tblCompras[Produto]=$B88)*(tblCompras[Unid.]=$C88)*(tblCompras[Preço Unit.]=$E88)),tblCompras[Mercado]),"")</f>
        <v>Supermercados Nori</v>
      </c>
      <c r="G88" s="214" t="n">
        <f aca="false">IFERROR(LOOKUP(2,1/((tblCompras[Produto]=$B88)*(tblCompras[Unid.]=$C88)*(tblCompras[Preço Unit.]=$E88)),tblCompras[Data]),"")</f>
        <v>46157</v>
      </c>
      <c r="H88" s="205" t="n">
        <f aca="false">IFERROR(_xlfn.MAXIFS(tblCompras[Preço Unit.],tblCompras[Produto],$B88,tblCompras[Unid.],$C88),"")</f>
        <v>18.2</v>
      </c>
      <c r="I88" s="213" t="str">
        <f aca="false">IFERROR(LOOKUP(2,1/((tblCompras[Produto]=$B88)*(tblCompras[Unid.]=$C88)*(tblCompras[Preço Unit.]=$H88)),tblCompras[Mercado]),"")</f>
        <v>Supermercados Nori</v>
      </c>
      <c r="J88" s="214" t="n">
        <f aca="false">IFERROR(LOOKUP(2,1/((tblCompras[Produto]=$B88)*(tblCompras[Unid.]=$C88)*(tblCompras[Preço Unit.]=$H88)),tblCompras[Data]),"")</f>
        <v>46146</v>
      </c>
      <c r="K88" s="215" t="n">
        <f aca="false">IF(OR($E88="",$H88=""),"",MAX(0,$H88-$E88))</f>
        <v>0.699999999999999</v>
      </c>
      <c r="L88" s="216" t="n">
        <f aca="false">IF(OR($E88="",$H88="",$E88=0),"",($H88-$E88)/$E88)</f>
        <v>0.04</v>
      </c>
      <c r="M88" s="205" t="n">
        <f aca="false">IFERROR(LOOKUP(2,1/((tblCompras[Produto]=$B88)*(tblCompras[Unid.]=$C88)*(tblCompras[Data]=_xlfn.MAXIFS(tblCompras[Data],tblCompras[Produto],$B88,tblCompras[Unid.],$C88))),tblCompras[Preço Unit.]),"")</f>
        <v>17.5</v>
      </c>
      <c r="N88" s="213" t="str">
        <f aca="false">IFERROR(LOOKUP(2,1/((tblCompras[Produto]=$B88)*(tblCompras[Unid.]=$C88)*(tblCompras[Data]=_xlfn.MAXIFS(tblCompras[Data],tblCompras[Produto],$B88,tblCompras[Unid.],$C88))),tblCompras[Mercado])&amp;" · "&amp;TEXT(DAY(_xlfn.MAXIFS(tblCompras[Data],tblCompras[Produto],$B88,tblCompras[Unid.],$C88)),"00")&amp;"/"&amp;TEXT(MONTH(_xlfn.MAXIFS(tblCompras[Data],tblCompras[Produto],$B88,tblCompras[Unid.],$C88)),"00")&amp;"/"&amp;TEXT(MOD(YEAR(_xlfn.MAXIFS(tblCompras[Data],tblCompras[Produto],$B88,tblCompras[Unid.],$C88)),100),"00"),"")</f>
        <v>Supermercados Nori · 15/05/26</v>
      </c>
      <c r="O88" s="1"/>
      <c r="P88" s="1" t="n">
        <f aca="false">IF(AND(ISNUMBER($K88),$K88&gt;0,OR($B$6="Todas",$D88=$B$6)),$K88+ROW()/100000,"")</f>
        <v>0.700879999999999</v>
      </c>
      <c r="Q88" s="1"/>
      <c r="R88" s="1"/>
      <c r="S88" s="1"/>
      <c r="T88" s="1"/>
    </row>
    <row r="89" customFormat="false" ht="15" hidden="false" customHeight="false" outlineLevel="0" collapsed="false">
      <c r="A89" s="1"/>
      <c r="B89" s="197" t="s">
        <v>276</v>
      </c>
      <c r="C89" s="209" t="s">
        <v>179</v>
      </c>
      <c r="D89" s="197" t="s">
        <v>19</v>
      </c>
      <c r="E89" s="200" t="n">
        <f aca="false">IFERROR(_xlfn.MINIFS(tblCompras[Preço Unit.],tblCompras[Produto],$B89,tblCompras[Unid.],$C89),"")</f>
        <v>7.45</v>
      </c>
      <c r="F89" s="209" t="str">
        <f aca="false">IFERROR(LOOKUP(2,1/((tblCompras[Produto]=$B89)*(tblCompras[Unid.]=$C89)*(tblCompras[Preço Unit.]=$E89)),tblCompras[Mercado]),"")</f>
        <v>Supermercados Nori</v>
      </c>
      <c r="G89" s="210" t="n">
        <f aca="false">IFERROR(LOOKUP(2,1/((tblCompras[Produto]=$B89)*(tblCompras[Unid.]=$C89)*(tblCompras[Preço Unit.]=$E89)),tblCompras[Data]),"")</f>
        <v>46173</v>
      </c>
      <c r="H89" s="200" t="n">
        <f aca="false">IFERROR(_xlfn.MAXIFS(tblCompras[Preço Unit.],tblCompras[Produto],$B89,tblCompras[Unid.],$C89),"")</f>
        <v>7.45</v>
      </c>
      <c r="I89" s="209" t="str">
        <f aca="false">IFERROR(LOOKUP(2,1/((tblCompras[Produto]=$B89)*(tblCompras[Unid.]=$C89)*(tblCompras[Preço Unit.]=$H89)),tblCompras[Mercado]),"")</f>
        <v>Supermercados Nori</v>
      </c>
      <c r="J89" s="210" t="n">
        <f aca="false">IFERROR(LOOKUP(2,1/((tblCompras[Produto]=$B89)*(tblCompras[Unid.]=$C89)*(tblCompras[Preço Unit.]=$H89)),tblCompras[Data]),"")</f>
        <v>46173</v>
      </c>
      <c r="K89" s="211" t="n">
        <f aca="false">IF(OR($E89="",$H89=""),"",MAX(0,$H89-$E89))</f>
        <v>0</v>
      </c>
      <c r="L89" s="212" t="n">
        <f aca="false">IF(OR($E89="",$H89="",$E89=0),"",($H89-$E89)/$E89)</f>
        <v>0</v>
      </c>
      <c r="M89" s="200" t="n">
        <f aca="false">IFERROR(LOOKUP(2,1/((tblCompras[Produto]=$B89)*(tblCompras[Unid.]=$C89)*(tblCompras[Data]=_xlfn.MAXIFS(tblCompras[Data],tblCompras[Produto],$B89,tblCompras[Unid.],$C89))),tblCompras[Preço Unit.]),"")</f>
        <v>7.45</v>
      </c>
      <c r="N89" s="209" t="str">
        <f aca="false">IFERROR(LOOKUP(2,1/((tblCompras[Produto]=$B89)*(tblCompras[Unid.]=$C89)*(tblCompras[Data]=_xlfn.MAXIFS(tblCompras[Data],tblCompras[Produto],$B89,tblCompras[Unid.],$C89))),tblCompras[Mercado])&amp;" · "&amp;TEXT(DAY(_xlfn.MAXIFS(tblCompras[Data],tblCompras[Produto],$B89,tblCompras[Unid.],$C89)),"00")&amp;"/"&amp;TEXT(MONTH(_xlfn.MAXIFS(tblCompras[Data],tblCompras[Produto],$B89,tblCompras[Unid.],$C89)),"00")&amp;"/"&amp;TEXT(MOD(YEAR(_xlfn.MAXIFS(tblCompras[Data],tblCompras[Produto],$B89,tblCompras[Unid.],$C89)),100),"00"),"")</f>
        <v>Supermercados Nori · 31/05/26</v>
      </c>
      <c r="O89" s="1"/>
      <c r="P89" s="1" t="str">
        <f aca="false">IF(AND(ISNUMBER($K89),$K89&gt;0,OR($B$6="Todas",$D89=$B$6)),$K89+ROW()/100000,"")</f>
        <v/>
      </c>
      <c r="Q89" s="1"/>
      <c r="R89" s="1"/>
      <c r="S89" s="1"/>
      <c r="T89" s="1"/>
    </row>
    <row r="90" customFormat="false" ht="15" hidden="false" customHeight="false" outlineLevel="0" collapsed="false">
      <c r="A90" s="1"/>
      <c r="B90" s="202" t="s">
        <v>274</v>
      </c>
      <c r="C90" s="213" t="s">
        <v>179</v>
      </c>
      <c r="D90" s="202" t="s">
        <v>19</v>
      </c>
      <c r="E90" s="205" t="n">
        <f aca="false">IFERROR(_xlfn.MINIFS(tblCompras[Preço Unit.],tblCompras[Produto],$B90,tblCompras[Unid.],$C90),"")</f>
        <v>3.5</v>
      </c>
      <c r="F90" s="213" t="str">
        <f aca="false">IFERROR(LOOKUP(2,1/((tblCompras[Produto]=$B90)*(tblCompras[Unid.]=$C90)*(tblCompras[Preço Unit.]=$E90)),tblCompras[Mercado]),"")</f>
        <v>Supermercados Nori</v>
      </c>
      <c r="G90" s="214" t="n">
        <f aca="false">IFERROR(LOOKUP(2,1/((tblCompras[Produto]=$B90)*(tblCompras[Unid.]=$C90)*(tblCompras[Preço Unit.]=$E90)),tblCompras[Data]),"")</f>
        <v>46147</v>
      </c>
      <c r="H90" s="205" t="n">
        <f aca="false">IFERROR(_xlfn.MAXIFS(tblCompras[Preço Unit.],tblCompras[Produto],$B90,tblCompras[Unid.],$C90),"")</f>
        <v>3.5</v>
      </c>
      <c r="I90" s="213" t="str">
        <f aca="false">IFERROR(LOOKUP(2,1/((tblCompras[Produto]=$B90)*(tblCompras[Unid.]=$C90)*(tblCompras[Preço Unit.]=$H90)),tblCompras[Mercado]),"")</f>
        <v>Supermercados Nori</v>
      </c>
      <c r="J90" s="214" t="n">
        <f aca="false">IFERROR(LOOKUP(2,1/((tblCompras[Produto]=$B90)*(tblCompras[Unid.]=$C90)*(tblCompras[Preço Unit.]=$H90)),tblCompras[Data]),"")</f>
        <v>46147</v>
      </c>
      <c r="K90" s="215" t="n">
        <f aca="false">IF(OR($E90="",$H90=""),"",MAX(0,$H90-$E90))</f>
        <v>0</v>
      </c>
      <c r="L90" s="216" t="n">
        <f aca="false">IF(OR($E90="",$H90="",$E90=0),"",($H90-$E90)/$E90)</f>
        <v>0</v>
      </c>
      <c r="M90" s="205" t="n">
        <f aca="false">IFERROR(LOOKUP(2,1/((tblCompras[Produto]=$B90)*(tblCompras[Unid.]=$C90)*(tblCompras[Data]=_xlfn.MAXIFS(tblCompras[Data],tblCompras[Produto],$B90,tblCompras[Unid.],$C90))),tblCompras[Preço Unit.]),"")</f>
        <v>3.5</v>
      </c>
      <c r="N90" s="213" t="str">
        <f aca="false">IFERROR(LOOKUP(2,1/((tblCompras[Produto]=$B90)*(tblCompras[Unid.]=$C90)*(tblCompras[Data]=_xlfn.MAXIFS(tblCompras[Data],tblCompras[Produto],$B90,tblCompras[Unid.],$C90))),tblCompras[Mercado])&amp;" · "&amp;TEXT(DAY(_xlfn.MAXIFS(tblCompras[Data],tblCompras[Produto],$B90,tblCompras[Unid.],$C90)),"00")&amp;"/"&amp;TEXT(MONTH(_xlfn.MAXIFS(tblCompras[Data],tblCompras[Produto],$B90,tblCompras[Unid.],$C90)),"00")&amp;"/"&amp;TEXT(MOD(YEAR(_xlfn.MAXIFS(tblCompras[Data],tblCompras[Produto],$B90,tblCompras[Unid.],$C90)),100),"00"),"")</f>
        <v>Supermercados Nori · 05/05/26</v>
      </c>
      <c r="O90" s="1"/>
      <c r="P90" s="1" t="str">
        <f aca="false">IF(AND(ISNUMBER($K90),$K90&gt;0,OR($B$6="Todas",$D90=$B$6)),$K90+ROW()/100000,"")</f>
        <v/>
      </c>
      <c r="Q90" s="1"/>
      <c r="R90" s="1"/>
      <c r="S90" s="1"/>
      <c r="T90" s="1"/>
    </row>
    <row r="91" customFormat="false" ht="15" hidden="false" customHeight="false" outlineLevel="0" collapsed="false">
      <c r="A91" s="1"/>
      <c r="B91" s="197" t="s">
        <v>1107</v>
      </c>
      <c r="C91" s="209" t="s">
        <v>179</v>
      </c>
      <c r="D91" s="197" t="s">
        <v>19</v>
      </c>
      <c r="E91" s="200" t="n">
        <f aca="false">IFERROR(_xlfn.MINIFS(tblCompras[Preço Unit.],tblCompras[Produto],$B91,tblCompras[Unid.],$C91),"")</f>
        <v>1.99</v>
      </c>
      <c r="F91" s="209" t="str">
        <f aca="false">IFERROR(LOOKUP(2,1/((tblCompras[Produto]=$B91)*(tblCompras[Unid.]=$C91)*(tblCompras[Preço Unit.]=$E91)),tblCompras[Mercado]),"")</f>
        <v>Supermercados Nori</v>
      </c>
      <c r="G91" s="210" t="n">
        <f aca="false">IFERROR(LOOKUP(2,1/((tblCompras[Produto]=$B91)*(tblCompras[Unid.]=$C91)*(tblCompras[Preço Unit.]=$E91)),tblCompras[Data]),"")</f>
        <v>46157</v>
      </c>
      <c r="H91" s="200" t="n">
        <f aca="false">IFERROR(_xlfn.MAXIFS(tblCompras[Preço Unit.],tblCompras[Produto],$B91,tblCompras[Unid.],$C91),"")</f>
        <v>1.99</v>
      </c>
      <c r="I91" s="209" t="str">
        <f aca="false">IFERROR(LOOKUP(2,1/((tblCompras[Produto]=$B91)*(tblCompras[Unid.]=$C91)*(tblCompras[Preço Unit.]=$H91)),tblCompras[Mercado]),"")</f>
        <v>Supermercados Nori</v>
      </c>
      <c r="J91" s="210" t="n">
        <f aca="false">IFERROR(LOOKUP(2,1/((tblCompras[Produto]=$B91)*(tblCompras[Unid.]=$C91)*(tblCompras[Preço Unit.]=$H91)),tblCompras[Data]),"")</f>
        <v>46157</v>
      </c>
      <c r="K91" s="211" t="n">
        <f aca="false">IF(OR($E91="",$H91=""),"",MAX(0,$H91-$E91))</f>
        <v>0</v>
      </c>
      <c r="L91" s="212" t="n">
        <f aca="false">IF(OR($E91="",$H91="",$E91=0),"",($H91-$E91)/$E91)</f>
        <v>0</v>
      </c>
      <c r="M91" s="200" t="n">
        <f aca="false">IFERROR(LOOKUP(2,1/((tblCompras[Produto]=$B91)*(tblCompras[Unid.]=$C91)*(tblCompras[Data]=_xlfn.MAXIFS(tblCompras[Data],tblCompras[Produto],$B91,tblCompras[Unid.],$C91))),tblCompras[Preço Unit.]),"")</f>
        <v>1.99</v>
      </c>
      <c r="N91" s="209" t="str">
        <f aca="false">IFERROR(LOOKUP(2,1/((tblCompras[Produto]=$B91)*(tblCompras[Unid.]=$C91)*(tblCompras[Data]=_xlfn.MAXIFS(tblCompras[Data],tblCompras[Produto],$B91,tblCompras[Unid.],$C91))),tblCompras[Mercado])&amp;" · "&amp;TEXT(DAY(_xlfn.MAXIFS(tblCompras[Data],tblCompras[Produto],$B91,tblCompras[Unid.],$C91)),"00")&amp;"/"&amp;TEXT(MONTH(_xlfn.MAXIFS(tblCompras[Data],tblCompras[Produto],$B91,tblCompras[Unid.],$C91)),"00")&amp;"/"&amp;TEXT(MOD(YEAR(_xlfn.MAXIFS(tblCompras[Data],tblCompras[Produto],$B91,tblCompras[Unid.],$C91)),100),"00"),"")</f>
        <v>Supermercados Nori · 15/05/26</v>
      </c>
      <c r="O91" s="1"/>
      <c r="P91" s="1" t="str">
        <f aca="false">IF(AND(ISNUMBER($K91),$K91&gt;0,OR($B$6="Todas",$D91=$B$6)),$K91+ROW()/100000,"")</f>
        <v/>
      </c>
      <c r="Q91" s="1"/>
      <c r="R91" s="1"/>
      <c r="S91" s="1"/>
      <c r="T91" s="1"/>
    </row>
    <row r="92" customFormat="false" ht="15" hidden="false" customHeight="false" outlineLevel="0" collapsed="false">
      <c r="A92" s="1"/>
      <c r="B92" s="202" t="s">
        <v>1085</v>
      </c>
      <c r="C92" s="213" t="s">
        <v>179</v>
      </c>
      <c r="D92" s="202" t="s">
        <v>19</v>
      </c>
      <c r="E92" s="205" t="n">
        <f aca="false">IFERROR(_xlfn.MINIFS(tblCompras[Preço Unit.],tblCompras[Produto],$B92,tblCompras[Unid.],$C92),"")</f>
        <v>3.85</v>
      </c>
      <c r="F92" s="213" t="str">
        <f aca="false">IFERROR(LOOKUP(2,1/((tblCompras[Produto]=$B92)*(tblCompras[Unid.]=$C92)*(tblCompras[Preço Unit.]=$E92)),tblCompras[Mercado]),"")</f>
        <v>Supermercados Nori</v>
      </c>
      <c r="G92" s="214" t="n">
        <f aca="false">IFERROR(LOOKUP(2,1/((tblCompras[Produto]=$B92)*(tblCompras[Unid.]=$C92)*(tblCompras[Preço Unit.]=$E92)),tblCompras[Data]),"")</f>
        <v>46157</v>
      </c>
      <c r="H92" s="205" t="n">
        <f aca="false">IFERROR(_xlfn.MAXIFS(tblCompras[Preço Unit.],tblCompras[Produto],$B92,tblCompras[Unid.],$C92),"")</f>
        <v>3.85</v>
      </c>
      <c r="I92" s="213" t="str">
        <f aca="false">IFERROR(LOOKUP(2,1/((tblCompras[Produto]=$B92)*(tblCompras[Unid.]=$C92)*(tblCompras[Preço Unit.]=$H92)),tblCompras[Mercado]),"")</f>
        <v>Supermercados Nori</v>
      </c>
      <c r="J92" s="214" t="n">
        <f aca="false">IFERROR(LOOKUP(2,1/((tblCompras[Produto]=$B92)*(tblCompras[Unid.]=$C92)*(tblCompras[Preço Unit.]=$H92)),tblCompras[Data]),"")</f>
        <v>46157</v>
      </c>
      <c r="K92" s="215" t="n">
        <f aca="false">IF(OR($E92="",$H92=""),"",MAX(0,$H92-$E92))</f>
        <v>0</v>
      </c>
      <c r="L92" s="216" t="n">
        <f aca="false">IF(OR($E92="",$H92="",$E92=0),"",($H92-$E92)/$E92)</f>
        <v>0</v>
      </c>
      <c r="M92" s="205" t="n">
        <f aca="false">IFERROR(LOOKUP(2,1/((tblCompras[Produto]=$B92)*(tblCompras[Unid.]=$C92)*(tblCompras[Data]=_xlfn.MAXIFS(tblCompras[Data],tblCompras[Produto],$B92,tblCompras[Unid.],$C92))),tblCompras[Preço Unit.]),"")</f>
        <v>3.85</v>
      </c>
      <c r="N92" s="213" t="str">
        <f aca="false">IFERROR(LOOKUP(2,1/((tblCompras[Produto]=$B92)*(tblCompras[Unid.]=$C92)*(tblCompras[Data]=_xlfn.MAXIFS(tblCompras[Data],tblCompras[Produto],$B92,tblCompras[Unid.],$C92))),tblCompras[Mercado])&amp;" · "&amp;TEXT(DAY(_xlfn.MAXIFS(tblCompras[Data],tblCompras[Produto],$B92,tblCompras[Unid.],$C92)),"00")&amp;"/"&amp;TEXT(MONTH(_xlfn.MAXIFS(tblCompras[Data],tblCompras[Produto],$B92,tblCompras[Unid.],$C92)),"00")&amp;"/"&amp;TEXT(MOD(YEAR(_xlfn.MAXIFS(tblCompras[Data],tblCompras[Produto],$B92,tblCompras[Unid.],$C92)),100),"00"),"")</f>
        <v>Supermercados Nori · 15/05/26</v>
      </c>
      <c r="O92" s="1"/>
      <c r="P92" s="1" t="str">
        <f aca="false">IF(AND(ISNUMBER($K92),$K92&gt;0,OR($B$6="Todas",$D92=$B$6)),$K92+ROW()/100000,"")</f>
        <v/>
      </c>
      <c r="Q92" s="1"/>
      <c r="R92" s="1"/>
      <c r="S92" s="1"/>
      <c r="T92" s="1"/>
    </row>
    <row r="93" customFormat="false" ht="15" hidden="false" customHeight="false" outlineLevel="0" collapsed="false">
      <c r="A93" s="1"/>
      <c r="B93" s="197" t="s">
        <v>1103</v>
      </c>
      <c r="C93" s="209" t="s">
        <v>179</v>
      </c>
      <c r="D93" s="197" t="s">
        <v>19</v>
      </c>
      <c r="E93" s="200" t="n">
        <f aca="false">IFERROR(_xlfn.MINIFS(tblCompras[Preço Unit.],tblCompras[Produto],$B93,tblCompras[Unid.],$C93),"")</f>
        <v>6.49</v>
      </c>
      <c r="F93" s="209" t="str">
        <f aca="false">IFERROR(LOOKUP(2,1/((tblCompras[Produto]=$B93)*(tblCompras[Unid.]=$C93)*(tblCompras[Preço Unit.]=$E93)),tblCompras[Mercado]),"")</f>
        <v>Supermercados Nori</v>
      </c>
      <c r="G93" s="210" t="n">
        <f aca="false">IFERROR(LOOKUP(2,1/((tblCompras[Produto]=$B93)*(tblCompras[Unid.]=$C93)*(tblCompras[Preço Unit.]=$E93)),tblCompras[Data]),"")</f>
        <v>46157</v>
      </c>
      <c r="H93" s="200" t="n">
        <f aca="false">IFERROR(_xlfn.MAXIFS(tblCompras[Preço Unit.],tblCompras[Produto],$B93,tblCompras[Unid.],$C93),"")</f>
        <v>6.49</v>
      </c>
      <c r="I93" s="209" t="str">
        <f aca="false">IFERROR(LOOKUP(2,1/((tblCompras[Produto]=$B93)*(tblCompras[Unid.]=$C93)*(tblCompras[Preço Unit.]=$H93)),tblCompras[Mercado]),"")</f>
        <v>Supermercados Nori</v>
      </c>
      <c r="J93" s="210" t="n">
        <f aca="false">IFERROR(LOOKUP(2,1/((tblCompras[Produto]=$B93)*(tblCompras[Unid.]=$C93)*(tblCompras[Preço Unit.]=$H93)),tblCompras[Data]),"")</f>
        <v>46157</v>
      </c>
      <c r="K93" s="211" t="n">
        <f aca="false">IF(OR($E93="",$H93=""),"",MAX(0,$H93-$E93))</f>
        <v>0</v>
      </c>
      <c r="L93" s="212" t="n">
        <f aca="false">IF(OR($E93="",$H93="",$E93=0),"",($H93-$E93)/$E93)</f>
        <v>0</v>
      </c>
      <c r="M93" s="200" t="n">
        <f aca="false">IFERROR(LOOKUP(2,1/((tblCompras[Produto]=$B93)*(tblCompras[Unid.]=$C93)*(tblCompras[Data]=_xlfn.MAXIFS(tblCompras[Data],tblCompras[Produto],$B93,tblCompras[Unid.],$C93))),tblCompras[Preço Unit.]),"")</f>
        <v>6.49</v>
      </c>
      <c r="N93" s="209" t="str">
        <f aca="false">IFERROR(LOOKUP(2,1/((tblCompras[Produto]=$B93)*(tblCompras[Unid.]=$C93)*(tblCompras[Data]=_xlfn.MAXIFS(tblCompras[Data],tblCompras[Produto],$B93,tblCompras[Unid.],$C93))),tblCompras[Mercado])&amp;" · "&amp;TEXT(DAY(_xlfn.MAXIFS(tblCompras[Data],tblCompras[Produto],$B93,tblCompras[Unid.],$C93)),"00")&amp;"/"&amp;TEXT(MONTH(_xlfn.MAXIFS(tblCompras[Data],tblCompras[Produto],$B93,tblCompras[Unid.],$C93)),"00")&amp;"/"&amp;TEXT(MOD(YEAR(_xlfn.MAXIFS(tblCompras[Data],tblCompras[Produto],$B93,tblCompras[Unid.],$C93)),100),"00"),"")</f>
        <v>Supermercados Nori · 15/05/26</v>
      </c>
      <c r="O93" s="1"/>
      <c r="P93" s="1" t="str">
        <f aca="false">IF(AND(ISNUMBER($K93),$K93&gt;0,OR($B$6="Todas",$D93=$B$6)),$K93+ROW()/100000,"")</f>
        <v/>
      </c>
      <c r="Q93" s="1"/>
      <c r="R93" s="1"/>
      <c r="S93" s="1"/>
      <c r="T93" s="1"/>
    </row>
    <row r="94" customFormat="false" ht="15" hidden="false" customHeight="false" outlineLevel="0" collapsed="false">
      <c r="A94" s="1"/>
      <c r="B94" s="202" t="s">
        <v>570</v>
      </c>
      <c r="C94" s="213" t="s">
        <v>179</v>
      </c>
      <c r="D94" s="202" t="s">
        <v>19</v>
      </c>
      <c r="E94" s="205" t="n">
        <f aca="false">IFERROR(_xlfn.MINIFS(tblCompras[Preço Unit.],tblCompras[Produto],$B94,tblCompras[Unid.],$C94),"")</f>
        <v>6.99</v>
      </c>
      <c r="F94" s="213" t="str">
        <f aca="false">IFERROR(LOOKUP(2,1/((tblCompras[Produto]=$B94)*(tblCompras[Unid.]=$C94)*(tblCompras[Preço Unit.]=$E94)),tblCompras[Mercado]),"")</f>
        <v>Supermercados Nori</v>
      </c>
      <c r="G94" s="214" t="n">
        <f aca="false">IFERROR(LOOKUP(2,1/((tblCompras[Produto]=$B94)*(tblCompras[Unid.]=$C94)*(tblCompras[Preço Unit.]=$E94)),tblCompras[Data]),"")</f>
        <v>46173</v>
      </c>
      <c r="H94" s="205" t="n">
        <f aca="false">IFERROR(_xlfn.MAXIFS(tblCompras[Preço Unit.],tblCompras[Produto],$B94,tblCompras[Unid.],$C94),"")</f>
        <v>6.99</v>
      </c>
      <c r="I94" s="213" t="str">
        <f aca="false">IFERROR(LOOKUP(2,1/((tblCompras[Produto]=$B94)*(tblCompras[Unid.]=$C94)*(tblCompras[Preço Unit.]=$H94)),tblCompras[Mercado]),"")</f>
        <v>Supermercados Nori</v>
      </c>
      <c r="J94" s="214" t="n">
        <f aca="false">IFERROR(LOOKUP(2,1/((tblCompras[Produto]=$B94)*(tblCompras[Unid.]=$C94)*(tblCompras[Preço Unit.]=$H94)),tblCompras[Data]),"")</f>
        <v>46173</v>
      </c>
      <c r="K94" s="215" t="n">
        <f aca="false">IF(OR($E94="",$H94=""),"",MAX(0,$H94-$E94))</f>
        <v>0</v>
      </c>
      <c r="L94" s="216" t="n">
        <f aca="false">IF(OR($E94="",$H94="",$E94=0),"",($H94-$E94)/$E94)</f>
        <v>0</v>
      </c>
      <c r="M94" s="205" t="n">
        <f aca="false">IFERROR(LOOKUP(2,1/((tblCompras[Produto]=$B94)*(tblCompras[Unid.]=$C94)*(tblCompras[Data]=_xlfn.MAXIFS(tblCompras[Data],tblCompras[Produto],$B94,tblCompras[Unid.],$C94))),tblCompras[Preço Unit.]),"")</f>
        <v>6.99</v>
      </c>
      <c r="N94" s="213" t="str">
        <f aca="false">IFERROR(LOOKUP(2,1/((tblCompras[Produto]=$B94)*(tblCompras[Unid.]=$C94)*(tblCompras[Data]=_xlfn.MAXIFS(tblCompras[Data],tblCompras[Produto],$B94,tblCompras[Unid.],$C94))),tblCompras[Mercado])&amp;" · "&amp;TEXT(DAY(_xlfn.MAXIFS(tblCompras[Data],tblCompras[Produto],$B94,tblCompras[Unid.],$C94)),"00")&amp;"/"&amp;TEXT(MONTH(_xlfn.MAXIFS(tblCompras[Data],tblCompras[Produto],$B94,tblCompras[Unid.],$C94)),"00")&amp;"/"&amp;TEXT(MOD(YEAR(_xlfn.MAXIFS(tblCompras[Data],tblCompras[Produto],$B94,tblCompras[Unid.],$C94)),100),"00"),"")</f>
        <v>Supermercados Nori · 31/05/26</v>
      </c>
      <c r="O94" s="1"/>
      <c r="P94" s="1" t="str">
        <f aca="false">IF(AND(ISNUMBER($K94),$K94&gt;0,OR($B$6="Todas",$D94=$B$6)),$K94+ROW()/100000,"")</f>
        <v/>
      </c>
      <c r="Q94" s="1"/>
      <c r="R94" s="1"/>
      <c r="S94" s="1"/>
      <c r="T94" s="1"/>
    </row>
    <row r="95" customFormat="false" ht="15" hidden="false" customHeight="false" outlineLevel="0" collapsed="false">
      <c r="A95" s="1"/>
      <c r="B95" s="197" t="s">
        <v>278</v>
      </c>
      <c r="C95" s="209" t="s">
        <v>179</v>
      </c>
      <c r="D95" s="197" t="s">
        <v>19</v>
      </c>
      <c r="E95" s="200" t="n">
        <f aca="false">IFERROR(_xlfn.MINIFS(tblCompras[Preço Unit.],tblCompras[Produto],$B95,tblCompras[Unid.],$C95),"")</f>
        <v>15.9</v>
      </c>
      <c r="F95" s="209" t="str">
        <f aca="false">IFERROR(LOOKUP(2,1/((tblCompras[Produto]=$B95)*(tblCompras[Unid.]=$C95)*(tblCompras[Preço Unit.]=$E95)),tblCompras[Mercado]),"")</f>
        <v>Supermercados Nori</v>
      </c>
      <c r="G95" s="210" t="n">
        <f aca="false">IFERROR(LOOKUP(2,1/((tblCompras[Produto]=$B95)*(tblCompras[Unid.]=$C95)*(tblCompras[Preço Unit.]=$E95)),tblCompras[Data]),"")</f>
        <v>46173</v>
      </c>
      <c r="H95" s="200" t="n">
        <f aca="false">IFERROR(_xlfn.MAXIFS(tblCompras[Preço Unit.],tblCompras[Produto],$B95,tblCompras[Unid.],$C95),"")</f>
        <v>16.6</v>
      </c>
      <c r="I95" s="209" t="str">
        <f aca="false">IFERROR(LOOKUP(2,1/((tblCompras[Produto]=$B95)*(tblCompras[Unid.]=$C95)*(tblCompras[Preço Unit.]=$H95)),tblCompras[Mercado]),"")</f>
        <v>Supermercados Nori</v>
      </c>
      <c r="J95" s="210" t="n">
        <f aca="false">IFERROR(LOOKUP(2,1/((tblCompras[Produto]=$B95)*(tblCompras[Unid.]=$C95)*(tblCompras[Preço Unit.]=$H95)),tblCompras[Data]),"")</f>
        <v>46147</v>
      </c>
      <c r="K95" s="211" t="n">
        <f aca="false">IF(OR($E95="",$H95=""),"",MAX(0,$H95-$E95))</f>
        <v>0.700000000000001</v>
      </c>
      <c r="L95" s="212" t="n">
        <f aca="false">IF(OR($E95="",$H95="",$E95=0),"",($H95-$E95)/$E95)</f>
        <v>0.0440251572327045</v>
      </c>
      <c r="M95" s="200" t="n">
        <f aca="false">IFERROR(LOOKUP(2,1/((tblCompras[Produto]=$B95)*(tblCompras[Unid.]=$C95)*(tblCompras[Data]=_xlfn.MAXIFS(tblCompras[Data],tblCompras[Produto],$B95,tblCompras[Unid.],$C95))),tblCompras[Preço Unit.]),"")</f>
        <v>15.9</v>
      </c>
      <c r="N95" s="209" t="str">
        <f aca="false">IFERROR(LOOKUP(2,1/((tblCompras[Produto]=$B95)*(tblCompras[Unid.]=$C95)*(tblCompras[Data]=_xlfn.MAXIFS(tblCompras[Data],tblCompras[Produto],$B95,tblCompras[Unid.],$C95))),tblCompras[Mercado])&amp;" · "&amp;TEXT(DAY(_xlfn.MAXIFS(tblCompras[Data],tblCompras[Produto],$B95,tblCompras[Unid.],$C95)),"00")&amp;"/"&amp;TEXT(MONTH(_xlfn.MAXIFS(tblCompras[Data],tblCompras[Produto],$B95,tblCompras[Unid.],$C95)),"00")&amp;"/"&amp;TEXT(MOD(YEAR(_xlfn.MAXIFS(tblCompras[Data],tblCompras[Produto],$B95,tblCompras[Unid.],$C95)),100),"00"),"")</f>
        <v>Supermercados Nori · 31/05/26</v>
      </c>
      <c r="O95" s="1"/>
      <c r="P95" s="1" t="n">
        <f aca="false">IF(AND(ISNUMBER($K95),$K95&gt;0,OR($B$6="Todas",$D95=$B$6)),$K95+ROW()/100000,"")</f>
        <v>0.700950000000001</v>
      </c>
      <c r="Q95" s="1"/>
      <c r="R95" s="1"/>
      <c r="S95" s="1"/>
      <c r="T95" s="1"/>
    </row>
    <row r="96" customFormat="false" ht="15" hidden="false" customHeight="false" outlineLevel="0" collapsed="false">
      <c r="A96" s="1"/>
      <c r="B96" s="202" t="s">
        <v>1106</v>
      </c>
      <c r="C96" s="213" t="s">
        <v>179</v>
      </c>
      <c r="D96" s="202" t="s">
        <v>19</v>
      </c>
      <c r="E96" s="205" t="n">
        <f aca="false">IFERROR(_xlfn.MINIFS(tblCompras[Preço Unit.],tblCompras[Produto],$B96,tblCompras[Unid.],$C96),"")</f>
        <v>9.7</v>
      </c>
      <c r="F96" s="213" t="str">
        <f aca="false">IFERROR(LOOKUP(2,1/((tblCompras[Produto]=$B96)*(tblCompras[Unid.]=$C96)*(tblCompras[Preço Unit.]=$E96)),tblCompras[Mercado]),"")</f>
        <v>Supermercados Nori</v>
      </c>
      <c r="G96" s="214" t="n">
        <f aca="false">IFERROR(LOOKUP(2,1/((tblCompras[Produto]=$B96)*(tblCompras[Unid.]=$C96)*(tblCompras[Preço Unit.]=$E96)),tblCompras[Data]),"")</f>
        <v>46157</v>
      </c>
      <c r="H96" s="205" t="n">
        <f aca="false">IFERROR(_xlfn.MAXIFS(tblCompras[Preço Unit.],tblCompras[Produto],$B96,tblCompras[Unid.],$C96),"")</f>
        <v>9.7</v>
      </c>
      <c r="I96" s="213" t="str">
        <f aca="false">IFERROR(LOOKUP(2,1/((tblCompras[Produto]=$B96)*(tblCompras[Unid.]=$C96)*(tblCompras[Preço Unit.]=$H96)),tblCompras[Mercado]),"")</f>
        <v>Supermercados Nori</v>
      </c>
      <c r="J96" s="214" t="n">
        <f aca="false">IFERROR(LOOKUP(2,1/((tblCompras[Produto]=$B96)*(tblCompras[Unid.]=$C96)*(tblCompras[Preço Unit.]=$H96)),tblCompras[Data]),"")</f>
        <v>46157</v>
      </c>
      <c r="K96" s="215" t="n">
        <f aca="false">IF(OR($E96="",$H96=""),"",MAX(0,$H96-$E96))</f>
        <v>0</v>
      </c>
      <c r="L96" s="216" t="n">
        <f aca="false">IF(OR($E96="",$H96="",$E96=0),"",($H96-$E96)/$E96)</f>
        <v>0</v>
      </c>
      <c r="M96" s="205" t="n">
        <f aca="false">IFERROR(LOOKUP(2,1/((tblCompras[Produto]=$B96)*(tblCompras[Unid.]=$C96)*(tblCompras[Data]=_xlfn.MAXIFS(tblCompras[Data],tblCompras[Produto],$B96,tblCompras[Unid.],$C96))),tblCompras[Preço Unit.]),"")</f>
        <v>9.7</v>
      </c>
      <c r="N96" s="213" t="str">
        <f aca="false">IFERROR(LOOKUP(2,1/((tblCompras[Produto]=$B96)*(tblCompras[Unid.]=$C96)*(tblCompras[Data]=_xlfn.MAXIFS(tblCompras[Data],tblCompras[Produto],$B96,tblCompras[Unid.],$C96))),tblCompras[Mercado])&amp;" · "&amp;TEXT(DAY(_xlfn.MAXIFS(tblCompras[Data],tblCompras[Produto],$B96,tblCompras[Unid.],$C96)),"00")&amp;"/"&amp;TEXT(MONTH(_xlfn.MAXIFS(tblCompras[Data],tblCompras[Produto],$B96,tblCompras[Unid.],$C96)),"00")&amp;"/"&amp;TEXT(MOD(YEAR(_xlfn.MAXIFS(tblCompras[Data],tblCompras[Produto],$B96,tblCompras[Unid.],$C96)),100),"00"),"")</f>
        <v>Supermercados Nori · 15/05/26</v>
      </c>
      <c r="O96" s="1"/>
      <c r="P96" s="1" t="str">
        <f aca="false">IF(AND(ISNUMBER($K96),$K96&gt;0,OR($B$6="Todas",$D96=$B$6)),$K96+ROW()/100000,"")</f>
        <v/>
      </c>
      <c r="Q96" s="1"/>
      <c r="R96" s="1"/>
      <c r="S96" s="1"/>
      <c r="T96" s="1"/>
    </row>
    <row r="97" customFormat="false" ht="15" hidden="false" customHeight="false" outlineLevel="0" collapsed="false">
      <c r="A97" s="1"/>
      <c r="B97" s="197" t="s">
        <v>1108</v>
      </c>
      <c r="C97" s="209" t="s">
        <v>179</v>
      </c>
      <c r="D97" s="197" t="s">
        <v>19</v>
      </c>
      <c r="E97" s="200" t="n">
        <f aca="false">IFERROR(_xlfn.MINIFS(tblCompras[Preço Unit.],tblCompras[Produto],$B97,tblCompras[Unid.],$C97),"")</f>
        <v>3.9</v>
      </c>
      <c r="F97" s="209" t="str">
        <f aca="false">IFERROR(LOOKUP(2,1/((tblCompras[Produto]=$B97)*(tblCompras[Unid.]=$C97)*(tblCompras[Preço Unit.]=$E97)),tblCompras[Mercado]),"")</f>
        <v>Supermercados Nori</v>
      </c>
      <c r="G97" s="210" t="n">
        <f aca="false">IFERROR(LOOKUP(2,1/((tblCompras[Produto]=$B97)*(tblCompras[Unid.]=$C97)*(tblCompras[Preço Unit.]=$E97)),tblCompras[Data]),"")</f>
        <v>46157</v>
      </c>
      <c r="H97" s="200" t="n">
        <f aca="false">IFERROR(_xlfn.MAXIFS(tblCompras[Preço Unit.],tblCompras[Produto],$B97,tblCompras[Unid.],$C97),"")</f>
        <v>3.9</v>
      </c>
      <c r="I97" s="209" t="str">
        <f aca="false">IFERROR(LOOKUP(2,1/((tblCompras[Produto]=$B97)*(tblCompras[Unid.]=$C97)*(tblCompras[Preço Unit.]=$H97)),tblCompras[Mercado]),"")</f>
        <v>Supermercados Nori</v>
      </c>
      <c r="J97" s="210" t="n">
        <f aca="false">IFERROR(LOOKUP(2,1/((tblCompras[Produto]=$B97)*(tblCompras[Unid.]=$C97)*(tblCompras[Preço Unit.]=$H97)),tblCompras[Data]),"")</f>
        <v>46157</v>
      </c>
      <c r="K97" s="211" t="n">
        <f aca="false">IF(OR($E97="",$H97=""),"",MAX(0,$H97-$E97))</f>
        <v>0</v>
      </c>
      <c r="L97" s="212" t="n">
        <f aca="false">IF(OR($E97="",$H97="",$E97=0),"",($H97-$E97)/$E97)</f>
        <v>0</v>
      </c>
      <c r="M97" s="200" t="n">
        <f aca="false">IFERROR(LOOKUP(2,1/((tblCompras[Produto]=$B97)*(tblCompras[Unid.]=$C97)*(tblCompras[Data]=_xlfn.MAXIFS(tblCompras[Data],tblCompras[Produto],$B97,tblCompras[Unid.],$C97))),tblCompras[Preço Unit.]),"")</f>
        <v>3.9</v>
      </c>
      <c r="N97" s="209" t="str">
        <f aca="false">IFERROR(LOOKUP(2,1/((tblCompras[Produto]=$B97)*(tblCompras[Unid.]=$C97)*(tblCompras[Data]=_xlfn.MAXIFS(tblCompras[Data],tblCompras[Produto],$B97,tblCompras[Unid.],$C97))),tblCompras[Mercado])&amp;" · "&amp;TEXT(DAY(_xlfn.MAXIFS(tblCompras[Data],tblCompras[Produto],$B97,tblCompras[Unid.],$C97)),"00")&amp;"/"&amp;TEXT(MONTH(_xlfn.MAXIFS(tblCompras[Data],tblCompras[Produto],$B97,tblCompras[Unid.],$C97)),"00")&amp;"/"&amp;TEXT(MOD(YEAR(_xlfn.MAXIFS(tblCompras[Data],tblCompras[Produto],$B97,tblCompras[Unid.],$C97)),100),"00"),"")</f>
        <v>Supermercados Nori · 15/05/26</v>
      </c>
      <c r="O97" s="1"/>
      <c r="P97" s="1" t="str">
        <f aca="false">IF(AND(ISNUMBER($K97),$K97&gt;0,OR($B$6="Todas",$D97=$B$6)),$K97+ROW()/100000,"")</f>
        <v/>
      </c>
      <c r="Q97" s="1"/>
      <c r="R97" s="1"/>
      <c r="S97" s="1"/>
      <c r="T97" s="1"/>
    </row>
    <row r="98" customFormat="false" ht="15" hidden="false" customHeight="false" outlineLevel="0" collapsed="false">
      <c r="A98" s="1"/>
      <c r="B98" s="202" t="s">
        <v>1104</v>
      </c>
      <c r="C98" s="213" t="s">
        <v>179</v>
      </c>
      <c r="D98" s="202" t="s">
        <v>19</v>
      </c>
      <c r="E98" s="205" t="n">
        <f aca="false">IFERROR(_xlfn.MINIFS(tblCompras[Preço Unit.],tblCompras[Produto],$B98,tblCompras[Unid.],$C98),"")</f>
        <v>4.8</v>
      </c>
      <c r="F98" s="213" t="str">
        <f aca="false">IFERROR(LOOKUP(2,1/((tblCompras[Produto]=$B98)*(tblCompras[Unid.]=$C98)*(tblCompras[Preço Unit.]=$E98)),tblCompras[Mercado]),"")</f>
        <v>Supermercados Nori</v>
      </c>
      <c r="G98" s="214" t="n">
        <f aca="false">IFERROR(LOOKUP(2,1/((tblCompras[Produto]=$B98)*(tblCompras[Unid.]=$C98)*(tblCompras[Preço Unit.]=$E98)),tblCompras[Data]),"")</f>
        <v>46157</v>
      </c>
      <c r="H98" s="205" t="n">
        <f aca="false">IFERROR(_xlfn.MAXIFS(tblCompras[Preço Unit.],tblCompras[Produto],$B98,tblCompras[Unid.],$C98),"")</f>
        <v>4.8</v>
      </c>
      <c r="I98" s="213" t="str">
        <f aca="false">IFERROR(LOOKUP(2,1/((tblCompras[Produto]=$B98)*(tblCompras[Unid.]=$C98)*(tblCompras[Preço Unit.]=$H98)),tblCompras[Mercado]),"")</f>
        <v>Supermercados Nori</v>
      </c>
      <c r="J98" s="214" t="n">
        <f aca="false">IFERROR(LOOKUP(2,1/((tblCompras[Produto]=$B98)*(tblCompras[Unid.]=$C98)*(tblCompras[Preço Unit.]=$H98)),tblCompras[Data]),"")</f>
        <v>46157</v>
      </c>
      <c r="K98" s="215" t="n">
        <f aca="false">IF(OR($E98="",$H98=""),"",MAX(0,$H98-$E98))</f>
        <v>0</v>
      </c>
      <c r="L98" s="216" t="n">
        <f aca="false">IF(OR($E98="",$H98="",$E98=0),"",($H98-$E98)/$E98)</f>
        <v>0</v>
      </c>
      <c r="M98" s="205" t="n">
        <f aca="false">IFERROR(LOOKUP(2,1/((tblCompras[Produto]=$B98)*(tblCompras[Unid.]=$C98)*(tblCompras[Data]=_xlfn.MAXIFS(tblCompras[Data],tblCompras[Produto],$B98,tblCompras[Unid.],$C98))),tblCompras[Preço Unit.]),"")</f>
        <v>4.8</v>
      </c>
      <c r="N98" s="213" t="str">
        <f aca="false">IFERROR(LOOKUP(2,1/((tblCompras[Produto]=$B98)*(tblCompras[Unid.]=$C98)*(tblCompras[Data]=_xlfn.MAXIFS(tblCompras[Data],tblCompras[Produto],$B98,tblCompras[Unid.],$C98))),tblCompras[Mercado])&amp;" · "&amp;TEXT(DAY(_xlfn.MAXIFS(tblCompras[Data],tblCompras[Produto],$B98,tblCompras[Unid.],$C98)),"00")&amp;"/"&amp;TEXT(MONTH(_xlfn.MAXIFS(tblCompras[Data],tblCompras[Produto],$B98,tblCompras[Unid.],$C98)),"00")&amp;"/"&amp;TEXT(MOD(YEAR(_xlfn.MAXIFS(tblCompras[Data],tblCompras[Produto],$B98,tblCompras[Unid.],$C98)),100),"00"),"")</f>
        <v>Supermercados Nori · 15/05/26</v>
      </c>
      <c r="O98" s="1"/>
      <c r="P98" s="1" t="str">
        <f aca="false">IF(AND(ISNUMBER($K98),$K98&gt;0,OR($B$6="Todas",$D98=$B$6)),$K98+ROW()/100000,"")</f>
        <v/>
      </c>
      <c r="Q98" s="1"/>
      <c r="R98" s="1"/>
      <c r="S98" s="1"/>
      <c r="T98" s="1"/>
    </row>
    <row r="99" customFormat="false" ht="15" hidden="false" customHeight="false" outlineLevel="0" collapsed="false">
      <c r="A99" s="1"/>
      <c r="B99" s="197" t="s">
        <v>237</v>
      </c>
      <c r="C99" s="209" t="s">
        <v>179</v>
      </c>
      <c r="D99" s="197" t="s">
        <v>12</v>
      </c>
      <c r="E99" s="200" t="n">
        <f aca="false">IFERROR(_xlfn.MINIFS(tblCompras[Preço Unit.],tblCompras[Produto],$B99,tblCompras[Unid.],$C99),"")</f>
        <v>5.75</v>
      </c>
      <c r="F99" s="209" t="str">
        <f aca="false">IFERROR(LOOKUP(2,1/((tblCompras[Produto]=$B99)*(tblCompras[Unid.]=$C99)*(tblCompras[Preço Unit.]=$E99)),tblCompras[Mercado]),"")</f>
        <v>Supermercados Nori</v>
      </c>
      <c r="G99" s="210" t="n">
        <f aca="false">IFERROR(LOOKUP(2,1/((tblCompras[Produto]=$B99)*(tblCompras[Unid.]=$C99)*(tblCompras[Preço Unit.]=$E99)),tblCompras[Data]),"")</f>
        <v>46147</v>
      </c>
      <c r="H99" s="200" t="n">
        <f aca="false">IFERROR(_xlfn.MAXIFS(tblCompras[Preço Unit.],tblCompras[Produto],$B99,tblCompras[Unid.],$C99),"")</f>
        <v>5.75</v>
      </c>
      <c r="I99" s="209" t="str">
        <f aca="false">IFERROR(LOOKUP(2,1/((tblCompras[Produto]=$B99)*(tblCompras[Unid.]=$C99)*(tblCompras[Preço Unit.]=$H99)),tblCompras[Mercado]),"")</f>
        <v>Supermercados Nori</v>
      </c>
      <c r="J99" s="210" t="n">
        <f aca="false">IFERROR(LOOKUP(2,1/((tblCompras[Produto]=$B99)*(tblCompras[Unid.]=$C99)*(tblCompras[Preço Unit.]=$H99)),tblCompras[Data]),"")</f>
        <v>46147</v>
      </c>
      <c r="K99" s="211" t="n">
        <f aca="false">IF(OR($E99="",$H99=""),"",MAX(0,$H99-$E99))</f>
        <v>0</v>
      </c>
      <c r="L99" s="212" t="n">
        <f aca="false">IF(OR($E99="",$H99="",$E99=0),"",($H99-$E99)/$E99)</f>
        <v>0</v>
      </c>
      <c r="M99" s="200" t="n">
        <f aca="false">IFERROR(LOOKUP(2,1/((tblCompras[Produto]=$B99)*(tblCompras[Unid.]=$C99)*(tblCompras[Data]=_xlfn.MAXIFS(tblCompras[Data],tblCompras[Produto],$B99,tblCompras[Unid.],$C99))),tblCompras[Preço Unit.]),"")</f>
        <v>5.75</v>
      </c>
      <c r="N99" s="209" t="str">
        <f aca="false">IFERROR(LOOKUP(2,1/((tblCompras[Produto]=$B99)*(tblCompras[Unid.]=$C99)*(tblCompras[Data]=_xlfn.MAXIFS(tblCompras[Data],tblCompras[Produto],$B99,tblCompras[Unid.],$C99))),tblCompras[Mercado])&amp;" · "&amp;TEXT(DAY(_xlfn.MAXIFS(tblCompras[Data],tblCompras[Produto],$B99,tblCompras[Unid.],$C99)),"00")&amp;"/"&amp;TEXT(MONTH(_xlfn.MAXIFS(tblCompras[Data],tblCompras[Produto],$B99,tblCompras[Unid.],$C99)),"00")&amp;"/"&amp;TEXT(MOD(YEAR(_xlfn.MAXIFS(tblCompras[Data],tblCompras[Produto],$B99,tblCompras[Unid.],$C99)),100),"00"),"")</f>
        <v>Supermercados Nori · 05/05/26</v>
      </c>
      <c r="O99" s="1"/>
      <c r="P99" s="1" t="str">
        <f aca="false">IF(AND(ISNUMBER($K99),$K99&gt;0,OR($B$6="Todas",$D99=$B$6)),$K99+ROW()/100000,"")</f>
        <v/>
      </c>
      <c r="Q99" s="1"/>
      <c r="R99" s="1"/>
      <c r="S99" s="1"/>
      <c r="T99" s="1"/>
    </row>
    <row r="100" customFormat="false" ht="15" hidden="false" customHeight="false" outlineLevel="0" collapsed="false">
      <c r="A100" s="1"/>
      <c r="B100" s="202" t="s">
        <v>545</v>
      </c>
      <c r="C100" s="213" t="s">
        <v>179</v>
      </c>
      <c r="D100" s="202" t="s">
        <v>12</v>
      </c>
      <c r="E100" s="205" t="n">
        <f aca="false">IFERROR(_xlfn.MINIFS(tblCompras[Preço Unit.],tblCompras[Produto],$B100,tblCompras[Unid.],$C100),"")</f>
        <v>10.99</v>
      </c>
      <c r="F100" s="213" t="str">
        <f aca="false">IFERROR(LOOKUP(2,1/((tblCompras[Produto]=$B100)*(tblCompras[Unid.]=$C100)*(tblCompras[Preço Unit.]=$E100)),tblCompras[Mercado]),"")</f>
        <v>Supermercados Nori</v>
      </c>
      <c r="G100" s="214" t="n">
        <f aca="false">IFERROR(LOOKUP(2,1/((tblCompras[Produto]=$B100)*(tblCompras[Unid.]=$C100)*(tblCompras[Preço Unit.]=$E100)),tblCompras[Data]),"")</f>
        <v>46173</v>
      </c>
      <c r="H100" s="205" t="n">
        <f aca="false">IFERROR(_xlfn.MAXIFS(tblCompras[Preço Unit.],tblCompras[Produto],$B100,tblCompras[Unid.],$C100),"")</f>
        <v>10.99</v>
      </c>
      <c r="I100" s="213" t="str">
        <f aca="false">IFERROR(LOOKUP(2,1/((tblCompras[Produto]=$B100)*(tblCompras[Unid.]=$C100)*(tblCompras[Preço Unit.]=$H100)),tblCompras[Mercado]),"")</f>
        <v>Supermercados Nori</v>
      </c>
      <c r="J100" s="214" t="n">
        <f aca="false">IFERROR(LOOKUP(2,1/((tblCompras[Produto]=$B100)*(tblCompras[Unid.]=$C100)*(tblCompras[Preço Unit.]=$H100)),tblCompras[Data]),"")</f>
        <v>46173</v>
      </c>
      <c r="K100" s="215" t="n">
        <f aca="false">IF(OR($E100="",$H100=""),"",MAX(0,$H100-$E100))</f>
        <v>0</v>
      </c>
      <c r="L100" s="216" t="n">
        <f aca="false">IF(OR($E100="",$H100="",$E100=0),"",($H100-$E100)/$E100)</f>
        <v>0</v>
      </c>
      <c r="M100" s="205" t="n">
        <f aca="false">IFERROR(LOOKUP(2,1/((tblCompras[Produto]=$B100)*(tblCompras[Unid.]=$C100)*(tblCompras[Data]=_xlfn.MAXIFS(tblCompras[Data],tblCompras[Produto],$B100,tblCompras[Unid.],$C100))),tblCompras[Preço Unit.]),"")</f>
        <v>10.99</v>
      </c>
      <c r="N100" s="213" t="str">
        <f aca="false">IFERROR(LOOKUP(2,1/((tblCompras[Produto]=$B100)*(tblCompras[Unid.]=$C100)*(tblCompras[Data]=_xlfn.MAXIFS(tblCompras[Data],tblCompras[Produto],$B100,tblCompras[Unid.],$C100))),tblCompras[Mercado])&amp;" · "&amp;TEXT(DAY(_xlfn.MAXIFS(tblCompras[Data],tblCompras[Produto],$B100,tblCompras[Unid.],$C100)),"00")&amp;"/"&amp;TEXT(MONTH(_xlfn.MAXIFS(tblCompras[Data],tblCompras[Produto],$B100,tblCompras[Unid.],$C100)),"00")&amp;"/"&amp;TEXT(MOD(YEAR(_xlfn.MAXIFS(tblCompras[Data],tblCompras[Produto],$B100,tblCompras[Unid.],$C100)),100),"00"),"")</f>
        <v>Supermercados Nori · 31/05/26</v>
      </c>
      <c r="O100" s="1"/>
      <c r="P100" s="1" t="str">
        <f aca="false">IF(AND(ISNUMBER($K100),$K100&gt;0,OR($B$6="Todas",$D100=$B$6)),$K100+ROW()/100000,"")</f>
        <v/>
      </c>
      <c r="Q100" s="1"/>
      <c r="R100" s="1"/>
      <c r="S100" s="1"/>
      <c r="T100" s="1"/>
    </row>
    <row r="101" customFormat="false" ht="15" hidden="false" customHeight="false" outlineLevel="0" collapsed="false">
      <c r="A101" s="1"/>
      <c r="B101" s="197" t="s">
        <v>563</v>
      </c>
      <c r="C101" s="209" t="s">
        <v>179</v>
      </c>
      <c r="D101" s="197" t="s">
        <v>12</v>
      </c>
      <c r="E101" s="200" t="n">
        <f aca="false">IFERROR(_xlfn.MINIFS(tblCompras[Preço Unit.],tblCompras[Produto],$B101,tblCompras[Unid.],$C101),"")</f>
        <v>4.65</v>
      </c>
      <c r="F101" s="209" t="str">
        <f aca="false">IFERROR(LOOKUP(2,1/((tblCompras[Produto]=$B101)*(tblCompras[Unid.]=$C101)*(tblCompras[Preço Unit.]=$E101)),tblCompras[Mercado]),"")</f>
        <v>Supermercados Nori</v>
      </c>
      <c r="G101" s="210" t="n">
        <f aca="false">IFERROR(LOOKUP(2,1/((tblCompras[Produto]=$B101)*(tblCompras[Unid.]=$C101)*(tblCompras[Preço Unit.]=$E101)),tblCompras[Data]),"")</f>
        <v>46173</v>
      </c>
      <c r="H101" s="200" t="n">
        <f aca="false">IFERROR(_xlfn.MAXIFS(tblCompras[Preço Unit.],tblCompras[Produto],$B101,tblCompras[Unid.],$C101),"")</f>
        <v>4.65</v>
      </c>
      <c r="I101" s="209" t="str">
        <f aca="false">IFERROR(LOOKUP(2,1/((tblCompras[Produto]=$B101)*(tblCompras[Unid.]=$C101)*(tblCompras[Preço Unit.]=$H101)),tblCompras[Mercado]),"")</f>
        <v>Supermercados Nori</v>
      </c>
      <c r="J101" s="210" t="n">
        <f aca="false">IFERROR(LOOKUP(2,1/((tblCompras[Produto]=$B101)*(tblCompras[Unid.]=$C101)*(tblCompras[Preço Unit.]=$H101)),tblCompras[Data]),"")</f>
        <v>46173</v>
      </c>
      <c r="K101" s="211" t="n">
        <f aca="false">IF(OR($E101="",$H101=""),"",MAX(0,$H101-$E101))</f>
        <v>0</v>
      </c>
      <c r="L101" s="212" t="n">
        <f aca="false">IF(OR($E101="",$H101="",$E101=0),"",($H101-$E101)/$E101)</f>
        <v>0</v>
      </c>
      <c r="M101" s="200" t="n">
        <f aca="false">IFERROR(LOOKUP(2,1/((tblCompras[Produto]=$B101)*(tblCompras[Unid.]=$C101)*(tblCompras[Data]=_xlfn.MAXIFS(tblCompras[Data],tblCompras[Produto],$B101,tblCompras[Unid.],$C101))),tblCompras[Preço Unit.]),"")</f>
        <v>4.65</v>
      </c>
      <c r="N101" s="209" t="str">
        <f aca="false">IFERROR(LOOKUP(2,1/((tblCompras[Produto]=$B101)*(tblCompras[Unid.]=$C101)*(tblCompras[Data]=_xlfn.MAXIFS(tblCompras[Data],tblCompras[Produto],$B101,tblCompras[Unid.],$C101))),tblCompras[Mercado])&amp;" · "&amp;TEXT(DAY(_xlfn.MAXIFS(tblCompras[Data],tblCompras[Produto],$B101,tblCompras[Unid.],$C101)),"00")&amp;"/"&amp;TEXT(MONTH(_xlfn.MAXIFS(tblCompras[Data],tblCompras[Produto],$B101,tblCompras[Unid.],$C101)),"00")&amp;"/"&amp;TEXT(MOD(YEAR(_xlfn.MAXIFS(tblCompras[Data],tblCompras[Produto],$B101,tblCompras[Unid.],$C101)),100),"00"),"")</f>
        <v>Supermercados Nori · 31/05/26</v>
      </c>
      <c r="O101" s="1"/>
      <c r="P101" s="1" t="str">
        <f aca="false">IF(AND(ISNUMBER($K101),$K101&gt;0,OR($B$6="Todas",$D101=$B$6)),$K101+ROW()/100000,"")</f>
        <v/>
      </c>
      <c r="Q101" s="1"/>
      <c r="R101" s="1"/>
      <c r="S101" s="1"/>
      <c r="T101" s="1"/>
    </row>
    <row r="102" customFormat="false" ht="15" hidden="false" customHeight="false" outlineLevel="0" collapsed="false">
      <c r="A102" s="1"/>
      <c r="B102" s="202" t="s">
        <v>579</v>
      </c>
      <c r="C102" s="213" t="s">
        <v>179</v>
      </c>
      <c r="D102" s="202" t="s">
        <v>12</v>
      </c>
      <c r="E102" s="205" t="n">
        <f aca="false">IFERROR(_xlfn.MINIFS(tblCompras[Preço Unit.],tblCompras[Produto],$B102,tblCompras[Unid.],$C102),"")</f>
        <v>8.9</v>
      </c>
      <c r="F102" s="213" t="str">
        <f aca="false">IFERROR(LOOKUP(2,1/((tblCompras[Produto]=$B102)*(tblCompras[Unid.]=$C102)*(tblCompras[Preço Unit.]=$E102)),tblCompras[Mercado]),"")</f>
        <v>Varejao Monteverde</v>
      </c>
      <c r="G102" s="214" t="n">
        <f aca="false">IFERROR(LOOKUP(2,1/((tblCompras[Produto]=$B102)*(tblCompras[Unid.]=$C102)*(tblCompras[Preço Unit.]=$E102)),tblCompras[Data]),"")</f>
        <v>46173</v>
      </c>
      <c r="H102" s="205" t="n">
        <f aca="false">IFERROR(_xlfn.MAXIFS(tblCompras[Preço Unit.],tblCompras[Produto],$B102,tblCompras[Unid.],$C102),"")</f>
        <v>8.9</v>
      </c>
      <c r="I102" s="213" t="str">
        <f aca="false">IFERROR(LOOKUP(2,1/((tblCompras[Produto]=$B102)*(tblCompras[Unid.]=$C102)*(tblCompras[Preço Unit.]=$H102)),tblCompras[Mercado]),"")</f>
        <v>Varejao Monteverde</v>
      </c>
      <c r="J102" s="214" t="n">
        <f aca="false">IFERROR(LOOKUP(2,1/((tblCompras[Produto]=$B102)*(tblCompras[Unid.]=$C102)*(tblCompras[Preço Unit.]=$H102)),tblCompras[Data]),"")</f>
        <v>46173</v>
      </c>
      <c r="K102" s="215" t="n">
        <f aca="false">IF(OR($E102="",$H102=""),"",MAX(0,$H102-$E102))</f>
        <v>0</v>
      </c>
      <c r="L102" s="216" t="n">
        <f aca="false">IF(OR($E102="",$H102="",$E102=0),"",($H102-$E102)/$E102)</f>
        <v>0</v>
      </c>
      <c r="M102" s="205" t="n">
        <f aca="false">IFERROR(LOOKUP(2,1/((tblCompras[Produto]=$B102)*(tblCompras[Unid.]=$C102)*(tblCompras[Data]=_xlfn.MAXIFS(tblCompras[Data],tblCompras[Produto],$B102,tblCompras[Unid.],$C102))),tblCompras[Preço Unit.]),"")</f>
        <v>8.9</v>
      </c>
      <c r="N102" s="213" t="str">
        <f aca="false">IFERROR(LOOKUP(2,1/((tblCompras[Produto]=$B102)*(tblCompras[Unid.]=$C102)*(tblCompras[Data]=_xlfn.MAXIFS(tblCompras[Data],tblCompras[Produto],$B102,tblCompras[Unid.],$C102))),tblCompras[Mercado])&amp;" · "&amp;TEXT(DAY(_xlfn.MAXIFS(tblCompras[Data],tblCompras[Produto],$B102,tblCompras[Unid.],$C102)),"00")&amp;"/"&amp;TEXT(MONTH(_xlfn.MAXIFS(tblCompras[Data],tblCompras[Produto],$B102,tblCompras[Unid.],$C102)),"00")&amp;"/"&amp;TEXT(MOD(YEAR(_xlfn.MAXIFS(tblCompras[Data],tblCompras[Produto],$B102,tblCompras[Unid.],$C102)),100),"00"),"")</f>
        <v>Varejao Monteverde · 31/05/26</v>
      </c>
      <c r="O102" s="1"/>
      <c r="P102" s="1" t="str">
        <f aca="false">IF(AND(ISNUMBER($K102),$K102&gt;0,OR($B$6="Todas",$D102=$B$6)),$K102+ROW()/100000,"")</f>
        <v/>
      </c>
      <c r="Q102" s="1"/>
      <c r="R102" s="1"/>
      <c r="S102" s="1"/>
      <c r="T102" s="1"/>
    </row>
    <row r="103" customFormat="false" ht="15" hidden="false" customHeight="false" outlineLevel="0" collapsed="false">
      <c r="A103" s="1"/>
      <c r="B103" s="197" t="s">
        <v>235</v>
      </c>
      <c r="C103" s="209" t="s">
        <v>179</v>
      </c>
      <c r="D103" s="197" t="s">
        <v>12</v>
      </c>
      <c r="E103" s="200" t="n">
        <f aca="false">IFERROR(_xlfn.MINIFS(tblCompras[Preço Unit.],tblCompras[Produto],$B103,tblCompras[Unid.],$C103),"")</f>
        <v>10.99</v>
      </c>
      <c r="F103" s="209" t="str">
        <f aca="false">IFERROR(LOOKUP(2,1/((tblCompras[Produto]=$B103)*(tblCompras[Unid.]=$C103)*(tblCompras[Preço Unit.]=$E103)),tblCompras[Mercado]),"")</f>
        <v>Supermercados Nori</v>
      </c>
      <c r="G103" s="210" t="n">
        <f aca="false">IFERROR(LOOKUP(2,1/((tblCompras[Produto]=$B103)*(tblCompras[Unid.]=$C103)*(tblCompras[Preço Unit.]=$E103)),tblCompras[Data]),"")</f>
        <v>46147</v>
      </c>
      <c r="H103" s="200" t="n">
        <f aca="false">IFERROR(_xlfn.MAXIFS(tblCompras[Preço Unit.],tblCompras[Produto],$B103,tblCompras[Unid.],$C103),"")</f>
        <v>10.99</v>
      </c>
      <c r="I103" s="209" t="str">
        <f aca="false">IFERROR(LOOKUP(2,1/((tblCompras[Produto]=$B103)*(tblCompras[Unid.]=$C103)*(tblCompras[Preço Unit.]=$H103)),tblCompras[Mercado]),"")</f>
        <v>Supermercados Nori</v>
      </c>
      <c r="J103" s="210" t="n">
        <f aca="false">IFERROR(LOOKUP(2,1/((tblCompras[Produto]=$B103)*(tblCompras[Unid.]=$C103)*(tblCompras[Preço Unit.]=$H103)),tblCompras[Data]),"")</f>
        <v>46147</v>
      </c>
      <c r="K103" s="211" t="n">
        <f aca="false">IF(OR($E103="",$H103=""),"",MAX(0,$H103-$E103))</f>
        <v>0</v>
      </c>
      <c r="L103" s="212" t="n">
        <f aca="false">IF(OR($E103="",$H103="",$E103=0),"",($H103-$E103)/$E103)</f>
        <v>0</v>
      </c>
      <c r="M103" s="200" t="n">
        <f aca="false">IFERROR(LOOKUP(2,1/((tblCompras[Produto]=$B103)*(tblCompras[Unid.]=$C103)*(tblCompras[Data]=_xlfn.MAXIFS(tblCompras[Data],tblCompras[Produto],$B103,tblCompras[Unid.],$C103))),tblCompras[Preço Unit.]),"")</f>
        <v>10.99</v>
      </c>
      <c r="N103" s="209" t="str">
        <f aca="false">IFERROR(LOOKUP(2,1/((tblCompras[Produto]=$B103)*(tblCompras[Unid.]=$C103)*(tblCompras[Data]=_xlfn.MAXIFS(tblCompras[Data],tblCompras[Produto],$B103,tblCompras[Unid.],$C103))),tblCompras[Mercado])&amp;" · "&amp;TEXT(DAY(_xlfn.MAXIFS(tblCompras[Data],tblCompras[Produto],$B103,tblCompras[Unid.],$C103)),"00")&amp;"/"&amp;TEXT(MONTH(_xlfn.MAXIFS(tblCompras[Data],tblCompras[Produto],$B103,tblCompras[Unid.],$C103)),"00")&amp;"/"&amp;TEXT(MOD(YEAR(_xlfn.MAXIFS(tblCompras[Data],tblCompras[Produto],$B103,tblCompras[Unid.],$C103)),100),"00"),"")</f>
        <v>Supermercados Nori · 05/05/26</v>
      </c>
      <c r="O103" s="1"/>
      <c r="P103" s="1" t="str">
        <f aca="false">IF(AND(ISNUMBER($K103),$K103&gt;0,OR($B$6="Todas",$D103=$B$6)),$K103+ROW()/100000,"")</f>
        <v/>
      </c>
      <c r="Q103" s="1"/>
      <c r="R103" s="1"/>
      <c r="S103" s="1"/>
      <c r="T103" s="1"/>
    </row>
    <row r="104" customFormat="false" ht="15" hidden="false" customHeight="false" outlineLevel="0" collapsed="false">
      <c r="A104" s="1"/>
      <c r="B104" s="202" t="s">
        <v>1082</v>
      </c>
      <c r="C104" s="213" t="s">
        <v>179</v>
      </c>
      <c r="D104" s="202" t="s">
        <v>12</v>
      </c>
      <c r="E104" s="205" t="n">
        <f aca="false">IFERROR(_xlfn.MINIFS(tblCompras[Preço Unit.],tblCompras[Produto],$B104,tblCompras[Unid.],$C104),"")</f>
        <v>11.2</v>
      </c>
      <c r="F104" s="213" t="str">
        <f aca="false">IFERROR(LOOKUP(2,1/((tblCompras[Produto]=$B104)*(tblCompras[Unid.]=$C104)*(tblCompras[Preço Unit.]=$E104)),tblCompras[Mercado]),"")</f>
        <v>Supermercados Nori</v>
      </c>
      <c r="G104" s="214" t="n">
        <f aca="false">IFERROR(LOOKUP(2,1/((tblCompras[Produto]=$B104)*(tblCompras[Unid.]=$C104)*(tblCompras[Preço Unit.]=$E104)),tblCompras[Data]),"")</f>
        <v>46157</v>
      </c>
      <c r="H104" s="205" t="n">
        <f aca="false">IFERROR(_xlfn.MAXIFS(tblCompras[Preço Unit.],tblCompras[Produto],$B104,tblCompras[Unid.],$C104),"")</f>
        <v>11.2</v>
      </c>
      <c r="I104" s="213" t="str">
        <f aca="false">IFERROR(LOOKUP(2,1/((tblCompras[Produto]=$B104)*(tblCompras[Unid.]=$C104)*(tblCompras[Preço Unit.]=$H104)),tblCompras[Mercado]),"")</f>
        <v>Supermercados Nori</v>
      </c>
      <c r="J104" s="214" t="n">
        <f aca="false">IFERROR(LOOKUP(2,1/((tblCompras[Produto]=$B104)*(tblCompras[Unid.]=$C104)*(tblCompras[Preço Unit.]=$H104)),tblCompras[Data]),"")</f>
        <v>46157</v>
      </c>
      <c r="K104" s="215" t="n">
        <f aca="false">IF(OR($E104="",$H104=""),"",MAX(0,$H104-$E104))</f>
        <v>0</v>
      </c>
      <c r="L104" s="216" t="n">
        <f aca="false">IF(OR($E104="",$H104="",$E104=0),"",($H104-$E104)/$E104)</f>
        <v>0</v>
      </c>
      <c r="M104" s="205" t="n">
        <f aca="false">IFERROR(LOOKUP(2,1/((tblCompras[Produto]=$B104)*(tblCompras[Unid.]=$C104)*(tblCompras[Data]=_xlfn.MAXIFS(tblCompras[Data],tblCompras[Produto],$B104,tblCompras[Unid.],$C104))),tblCompras[Preço Unit.]),"")</f>
        <v>11.2</v>
      </c>
      <c r="N104" s="213" t="str">
        <f aca="false">IFERROR(LOOKUP(2,1/((tblCompras[Produto]=$B104)*(tblCompras[Unid.]=$C104)*(tblCompras[Data]=_xlfn.MAXIFS(tblCompras[Data],tblCompras[Produto],$B104,tblCompras[Unid.],$C104))),tblCompras[Mercado])&amp;" · "&amp;TEXT(DAY(_xlfn.MAXIFS(tblCompras[Data],tblCompras[Produto],$B104,tblCompras[Unid.],$C104)),"00")&amp;"/"&amp;TEXT(MONTH(_xlfn.MAXIFS(tblCompras[Data],tblCompras[Produto],$B104,tblCompras[Unid.],$C104)),"00")&amp;"/"&amp;TEXT(MOD(YEAR(_xlfn.MAXIFS(tblCompras[Data],tblCompras[Produto],$B104,tblCompras[Unid.],$C104)),100),"00"),"")</f>
        <v>Supermercados Nori · 15/05/26</v>
      </c>
      <c r="O104" s="1"/>
      <c r="P104" s="1" t="str">
        <f aca="false">IF(AND(ISNUMBER($K104),$K104&gt;0,OR($B$6="Todas",$D104=$B$6)),$K104+ROW()/100000,"")</f>
        <v/>
      </c>
      <c r="Q104" s="1"/>
      <c r="R104" s="1"/>
      <c r="S104" s="1"/>
      <c r="T104" s="1"/>
    </row>
    <row r="105" customFormat="false" ht="15" hidden="false" customHeight="false" outlineLevel="0" collapsed="false">
      <c r="A105" s="1"/>
      <c r="B105" s="197" t="s">
        <v>1083</v>
      </c>
      <c r="C105" s="209" t="s">
        <v>179</v>
      </c>
      <c r="D105" s="197" t="s">
        <v>12</v>
      </c>
      <c r="E105" s="200" t="n">
        <f aca="false">IFERROR(_xlfn.MINIFS(tblCompras[Preço Unit.],tblCompras[Produto],$B105,tblCompras[Unid.],$C105),"")</f>
        <v>6.2</v>
      </c>
      <c r="F105" s="209" t="str">
        <f aca="false">IFERROR(LOOKUP(2,1/((tblCompras[Produto]=$B105)*(tblCompras[Unid.]=$C105)*(tblCompras[Preço Unit.]=$E105)),tblCompras[Mercado]),"")</f>
        <v>Supermercados Nori</v>
      </c>
      <c r="G105" s="210" t="n">
        <f aca="false">IFERROR(LOOKUP(2,1/((tblCompras[Produto]=$B105)*(tblCompras[Unid.]=$C105)*(tblCompras[Preço Unit.]=$E105)),tblCompras[Data]),"")</f>
        <v>46207</v>
      </c>
      <c r="H105" s="200" t="n">
        <f aca="false">IFERROR(_xlfn.MAXIFS(tblCompras[Preço Unit.],tblCompras[Produto],$B105,tblCompras[Unid.],$C105),"")</f>
        <v>6.2</v>
      </c>
      <c r="I105" s="209" t="str">
        <f aca="false">IFERROR(LOOKUP(2,1/((tblCompras[Produto]=$B105)*(tblCompras[Unid.]=$C105)*(tblCompras[Preço Unit.]=$H105)),tblCompras[Mercado]),"")</f>
        <v>Supermercados Nori</v>
      </c>
      <c r="J105" s="210" t="n">
        <f aca="false">IFERROR(LOOKUP(2,1/((tblCompras[Produto]=$B105)*(tblCompras[Unid.]=$C105)*(tblCompras[Preço Unit.]=$H105)),tblCompras[Data]),"")</f>
        <v>46207</v>
      </c>
      <c r="K105" s="211" t="n">
        <f aca="false">IF(OR($E105="",$H105=""),"",MAX(0,$H105-$E105))</f>
        <v>0</v>
      </c>
      <c r="L105" s="212" t="n">
        <f aca="false">IF(OR($E105="",$H105="",$E105=0),"",($H105-$E105)/$E105)</f>
        <v>0</v>
      </c>
      <c r="M105" s="200" t="n">
        <f aca="false">IFERROR(LOOKUP(2,1/((tblCompras[Produto]=$B105)*(tblCompras[Unid.]=$C105)*(tblCompras[Data]=_xlfn.MAXIFS(tblCompras[Data],tblCompras[Produto],$B105,tblCompras[Unid.],$C105))),tblCompras[Preço Unit.]),"")</f>
        <v>6.2</v>
      </c>
      <c r="N105" s="209" t="str">
        <f aca="false">IFERROR(LOOKUP(2,1/((tblCompras[Produto]=$B105)*(tblCompras[Unid.]=$C105)*(tblCompras[Data]=_xlfn.MAXIFS(tblCompras[Data],tblCompras[Produto],$B105,tblCompras[Unid.],$C105))),tblCompras[Mercado])&amp;" · "&amp;TEXT(DAY(_xlfn.MAXIFS(tblCompras[Data],tblCompras[Produto],$B105,tblCompras[Unid.],$C105)),"00")&amp;"/"&amp;TEXT(MONTH(_xlfn.MAXIFS(tblCompras[Data],tblCompras[Produto],$B105,tblCompras[Unid.],$C105)),"00")&amp;"/"&amp;TEXT(MOD(YEAR(_xlfn.MAXIFS(tblCompras[Data],tblCompras[Produto],$B105,tblCompras[Unid.],$C105)),100),"00"),"")</f>
        <v>Supermercados Nori · 04/07/26</v>
      </c>
      <c r="O105" s="1"/>
      <c r="P105" s="1" t="str">
        <f aca="false">IF(AND(ISNUMBER($K105),$K105&gt;0,OR($B$6="Todas",$D105=$B$6)),$K105+ROW()/100000,"")</f>
        <v/>
      </c>
      <c r="Q105" s="1"/>
      <c r="R105" s="1"/>
      <c r="S105" s="1"/>
      <c r="T105" s="1"/>
    </row>
    <row r="106" customFormat="false" ht="15" hidden="false" customHeight="false" outlineLevel="0" collapsed="false">
      <c r="A106" s="1"/>
      <c r="B106" s="202" t="s">
        <v>382</v>
      </c>
      <c r="C106" s="213" t="s">
        <v>179</v>
      </c>
      <c r="D106" s="202" t="s">
        <v>12</v>
      </c>
      <c r="E106" s="205" t="n">
        <f aca="false">IFERROR(_xlfn.MINIFS(tblCompras[Preço Unit.],tblCompras[Produto],$B106,tblCompras[Unid.],$C106),"")</f>
        <v>7.7</v>
      </c>
      <c r="F106" s="213" t="str">
        <f aca="false">IFERROR(LOOKUP(2,1/((tblCompras[Produto]=$B106)*(tblCompras[Unid.]=$C106)*(tblCompras[Preço Unit.]=$E106)),tblCompras[Mercado]),"")</f>
        <v>Supermercados Nori</v>
      </c>
      <c r="G106" s="214" t="n">
        <f aca="false">IFERROR(LOOKUP(2,1/((tblCompras[Produto]=$B106)*(tblCompras[Unid.]=$C106)*(tblCompras[Preço Unit.]=$E106)),tblCompras[Data]),"")</f>
        <v>46207</v>
      </c>
      <c r="H106" s="205" t="n">
        <f aca="false">IFERROR(_xlfn.MAXIFS(tblCompras[Preço Unit.],tblCompras[Produto],$B106,tblCompras[Unid.],$C106),"")</f>
        <v>7.7</v>
      </c>
      <c r="I106" s="213" t="str">
        <f aca="false">IFERROR(LOOKUP(2,1/((tblCompras[Produto]=$B106)*(tblCompras[Unid.]=$C106)*(tblCompras[Preço Unit.]=$H106)),tblCompras[Mercado]),"")</f>
        <v>Supermercados Nori</v>
      </c>
      <c r="J106" s="214" t="n">
        <f aca="false">IFERROR(LOOKUP(2,1/((tblCompras[Produto]=$B106)*(tblCompras[Unid.]=$C106)*(tblCompras[Preço Unit.]=$H106)),tblCompras[Data]),"")</f>
        <v>46207</v>
      </c>
      <c r="K106" s="215" t="n">
        <f aca="false">IF(OR($E106="",$H106=""),"",MAX(0,$H106-$E106))</f>
        <v>0</v>
      </c>
      <c r="L106" s="216" t="n">
        <f aca="false">IF(OR($E106="",$H106="",$E106=0),"",($H106-$E106)/$E106)</f>
        <v>0</v>
      </c>
      <c r="M106" s="205" t="n">
        <f aca="false">IFERROR(LOOKUP(2,1/((tblCompras[Produto]=$B106)*(tblCompras[Unid.]=$C106)*(tblCompras[Data]=_xlfn.MAXIFS(tblCompras[Data],tblCompras[Produto],$B106,tblCompras[Unid.],$C106))),tblCompras[Preço Unit.]),"")</f>
        <v>7.7</v>
      </c>
      <c r="N106" s="213" t="str">
        <f aca="false">IFERROR(LOOKUP(2,1/((tblCompras[Produto]=$B106)*(tblCompras[Unid.]=$C106)*(tblCompras[Data]=_xlfn.MAXIFS(tblCompras[Data],tblCompras[Produto],$B106,tblCompras[Unid.],$C106))),tblCompras[Mercado])&amp;" · "&amp;TEXT(DAY(_xlfn.MAXIFS(tblCompras[Data],tblCompras[Produto],$B106,tblCompras[Unid.],$C106)),"00")&amp;"/"&amp;TEXT(MONTH(_xlfn.MAXIFS(tblCompras[Data],tblCompras[Produto],$B106,tblCompras[Unid.],$C106)),"00")&amp;"/"&amp;TEXT(MOD(YEAR(_xlfn.MAXIFS(tblCompras[Data],tblCompras[Produto],$B106,tblCompras[Unid.],$C106)),100),"00"),"")</f>
        <v>Supermercados Nori · 04/07/26</v>
      </c>
      <c r="O106" s="1"/>
      <c r="P106" s="1" t="str">
        <f aca="false">IF(AND(ISNUMBER($K106),$K106&gt;0,OR($B$6="Todas",$D106=$B$6)),$K106+ROW()/100000,"")</f>
        <v/>
      </c>
      <c r="Q106" s="1"/>
      <c r="R106" s="1"/>
      <c r="S106" s="1"/>
      <c r="T106" s="1"/>
    </row>
    <row r="107" customFormat="false" ht="15" hidden="false" customHeight="false" outlineLevel="0" collapsed="false">
      <c r="A107" s="1"/>
      <c r="B107" s="197" t="s">
        <v>1084</v>
      </c>
      <c r="C107" s="209" t="s">
        <v>179</v>
      </c>
      <c r="D107" s="197" t="s">
        <v>12</v>
      </c>
      <c r="E107" s="200" t="n">
        <f aca="false">IFERROR(_xlfn.MINIFS(tblCompras[Preço Unit.],tblCompras[Produto],$B107,tblCompras[Unid.],$C107),"")</f>
        <v>7.7</v>
      </c>
      <c r="F107" s="209" t="str">
        <f aca="false">IFERROR(LOOKUP(2,1/((tblCompras[Produto]=$B107)*(tblCompras[Unid.]=$C107)*(tblCompras[Preço Unit.]=$E107)),tblCompras[Mercado]),"")</f>
        <v>Supermercados Nori</v>
      </c>
      <c r="G107" s="210" t="n">
        <f aca="false">IFERROR(LOOKUP(2,1/((tblCompras[Produto]=$B107)*(tblCompras[Unid.]=$C107)*(tblCompras[Preço Unit.]=$E107)),tblCompras[Data]),"")</f>
        <v>46207</v>
      </c>
      <c r="H107" s="200" t="n">
        <f aca="false">IFERROR(_xlfn.MAXIFS(tblCompras[Preço Unit.],tblCompras[Produto],$B107,tblCompras[Unid.],$C107),"")</f>
        <v>7.7</v>
      </c>
      <c r="I107" s="209" t="str">
        <f aca="false">IFERROR(LOOKUP(2,1/((tblCompras[Produto]=$B107)*(tblCompras[Unid.]=$C107)*(tblCompras[Preço Unit.]=$H107)),tblCompras[Mercado]),"")</f>
        <v>Supermercados Nori</v>
      </c>
      <c r="J107" s="210" t="n">
        <f aca="false">IFERROR(LOOKUP(2,1/((tblCompras[Produto]=$B107)*(tblCompras[Unid.]=$C107)*(tblCompras[Preço Unit.]=$H107)),tblCompras[Data]),"")</f>
        <v>46207</v>
      </c>
      <c r="K107" s="211" t="n">
        <f aca="false">IF(OR($E107="",$H107=""),"",MAX(0,$H107-$E107))</f>
        <v>0</v>
      </c>
      <c r="L107" s="212" t="n">
        <f aca="false">IF(OR($E107="",$H107="",$E107=0),"",($H107-$E107)/$E107)</f>
        <v>0</v>
      </c>
      <c r="M107" s="200" t="n">
        <f aca="false">IFERROR(LOOKUP(2,1/((tblCompras[Produto]=$B107)*(tblCompras[Unid.]=$C107)*(tblCompras[Data]=_xlfn.MAXIFS(tblCompras[Data],tblCompras[Produto],$B107,tblCompras[Unid.],$C107))),tblCompras[Preço Unit.]),"")</f>
        <v>7.7</v>
      </c>
      <c r="N107" s="209" t="str">
        <f aca="false">IFERROR(LOOKUP(2,1/((tblCompras[Produto]=$B107)*(tblCompras[Unid.]=$C107)*(tblCompras[Data]=_xlfn.MAXIFS(tblCompras[Data],tblCompras[Produto],$B107,tblCompras[Unid.],$C107))),tblCompras[Mercado])&amp;" · "&amp;TEXT(DAY(_xlfn.MAXIFS(tblCompras[Data],tblCompras[Produto],$B107,tblCompras[Unid.],$C107)),"00")&amp;"/"&amp;TEXT(MONTH(_xlfn.MAXIFS(tblCompras[Data],tblCompras[Produto],$B107,tblCompras[Unid.],$C107)),"00")&amp;"/"&amp;TEXT(MOD(YEAR(_xlfn.MAXIFS(tblCompras[Data],tblCompras[Produto],$B107,tblCompras[Unid.],$C107)),100),"00"),"")</f>
        <v>Supermercados Nori · 04/07/26</v>
      </c>
      <c r="O107" s="1"/>
      <c r="P107" s="1" t="str">
        <f aca="false">IF(AND(ISNUMBER($K107),$K107&gt;0,OR($B$6="Todas",$D107=$B$6)),$K107+ROW()/100000,"")</f>
        <v/>
      </c>
      <c r="Q107" s="1"/>
      <c r="R107" s="1"/>
      <c r="S107" s="1"/>
      <c r="T107" s="1"/>
    </row>
    <row r="108" customFormat="false" ht="15" hidden="false" customHeight="false" outlineLevel="0" collapsed="false">
      <c r="A108" s="1"/>
      <c r="B108" s="202" t="s">
        <v>261</v>
      </c>
      <c r="C108" s="213" t="s">
        <v>179</v>
      </c>
      <c r="D108" s="202" t="s">
        <v>12</v>
      </c>
      <c r="E108" s="205" t="n">
        <f aca="false">IFERROR(_xlfn.MINIFS(tblCompras[Preço Unit.],tblCompras[Produto],$B108,tblCompras[Unid.],$C108),"")</f>
        <v>10.2</v>
      </c>
      <c r="F108" s="213" t="str">
        <f aca="false">IFERROR(LOOKUP(2,1/((tblCompras[Produto]=$B108)*(tblCompras[Unid.]=$C108)*(tblCompras[Preço Unit.]=$E108)),tblCompras[Mercado]),"")</f>
        <v>Supermercados Nori</v>
      </c>
      <c r="G108" s="214" t="n">
        <f aca="false">IFERROR(LOOKUP(2,1/((tblCompras[Produto]=$B108)*(tblCompras[Unid.]=$C108)*(tblCompras[Preço Unit.]=$E108)),tblCompras[Data]),"")</f>
        <v>46212</v>
      </c>
      <c r="H108" s="205" t="n">
        <f aca="false">IFERROR(_xlfn.MAXIFS(tblCompras[Preço Unit.],tblCompras[Produto],$B108,tblCompras[Unid.],$C108),"")</f>
        <v>10.2</v>
      </c>
      <c r="I108" s="213" t="str">
        <f aca="false">IFERROR(LOOKUP(2,1/((tblCompras[Produto]=$B108)*(tblCompras[Unid.]=$C108)*(tblCompras[Preço Unit.]=$H108)),tblCompras[Mercado]),"")</f>
        <v>Supermercados Nori</v>
      </c>
      <c r="J108" s="214" t="n">
        <f aca="false">IFERROR(LOOKUP(2,1/((tblCompras[Produto]=$B108)*(tblCompras[Unid.]=$C108)*(tblCompras[Preço Unit.]=$H108)),tblCompras[Data]),"")</f>
        <v>46212</v>
      </c>
      <c r="K108" s="215" t="n">
        <f aca="false">IF(OR($E108="",$H108=""),"",MAX(0,$H108-$E108))</f>
        <v>0</v>
      </c>
      <c r="L108" s="216" t="n">
        <f aca="false">IF(OR($E108="",$H108="",$E108=0),"",($H108-$E108)/$E108)</f>
        <v>0</v>
      </c>
      <c r="M108" s="205" t="n">
        <f aca="false">IFERROR(LOOKUP(2,1/((tblCompras[Produto]=$B108)*(tblCompras[Unid.]=$C108)*(tblCompras[Data]=_xlfn.MAXIFS(tblCompras[Data],tblCompras[Produto],$B108,tblCompras[Unid.],$C108))),tblCompras[Preço Unit.]),"")</f>
        <v>10.2</v>
      </c>
      <c r="N108" s="213" t="str">
        <f aca="false">IFERROR(LOOKUP(2,1/((tblCompras[Produto]=$B108)*(tblCompras[Unid.]=$C108)*(tblCompras[Data]=_xlfn.MAXIFS(tblCompras[Data],tblCompras[Produto],$B108,tblCompras[Unid.],$C108))),tblCompras[Mercado])&amp;" · "&amp;TEXT(DAY(_xlfn.MAXIFS(tblCompras[Data],tblCompras[Produto],$B108,tblCompras[Unid.],$C108)),"00")&amp;"/"&amp;TEXT(MONTH(_xlfn.MAXIFS(tblCompras[Data],tblCompras[Produto],$B108,tblCompras[Unid.],$C108)),"00")&amp;"/"&amp;TEXT(MOD(YEAR(_xlfn.MAXIFS(tblCompras[Data],tblCompras[Produto],$B108,tblCompras[Unid.],$C108)),100),"00"),"")</f>
        <v>Supermercados Nori · 09/07/26</v>
      </c>
      <c r="O108" s="1"/>
      <c r="P108" s="1" t="str">
        <f aca="false">IF(AND(ISNUMBER($K108),$K108&gt;0,OR($B$6="Todas",$D108=$B$6)),$K108+ROW()/100000,"")</f>
        <v/>
      </c>
      <c r="Q108" s="1"/>
      <c r="R108" s="1"/>
      <c r="S108" s="1"/>
      <c r="T108" s="1"/>
    </row>
    <row r="109" customFormat="false" ht="15" hidden="false" customHeight="false" outlineLevel="0" collapsed="false">
      <c r="A109" s="1"/>
      <c r="B109" s="197" t="s">
        <v>1099</v>
      </c>
      <c r="C109" s="209" t="s">
        <v>179</v>
      </c>
      <c r="D109" s="197" t="s">
        <v>12</v>
      </c>
      <c r="E109" s="200" t="n">
        <f aca="false">IFERROR(_xlfn.MINIFS(tblCompras[Preço Unit.],tblCompras[Produto],$B109,tblCompras[Unid.],$C109),"")</f>
        <v>10.2</v>
      </c>
      <c r="F109" s="209" t="str">
        <f aca="false">IFERROR(LOOKUP(2,1/((tblCompras[Produto]=$B109)*(tblCompras[Unid.]=$C109)*(tblCompras[Preço Unit.]=$E109)),tblCompras[Mercado]),"")</f>
        <v>Supermercados Nori</v>
      </c>
      <c r="G109" s="210" t="n">
        <f aca="false">IFERROR(LOOKUP(2,1/((tblCompras[Produto]=$B109)*(tblCompras[Unid.]=$C109)*(tblCompras[Preço Unit.]=$E109)),tblCompras[Data]),"")</f>
        <v>46157</v>
      </c>
      <c r="H109" s="200" t="n">
        <f aca="false">IFERROR(_xlfn.MAXIFS(tblCompras[Preço Unit.],tblCompras[Produto],$B109,tblCompras[Unid.],$C109),"")</f>
        <v>10.2</v>
      </c>
      <c r="I109" s="209" t="str">
        <f aca="false">IFERROR(LOOKUP(2,1/((tblCompras[Produto]=$B109)*(tblCompras[Unid.]=$C109)*(tblCompras[Preço Unit.]=$H109)),tblCompras[Mercado]),"")</f>
        <v>Supermercados Nori</v>
      </c>
      <c r="J109" s="210" t="n">
        <f aca="false">IFERROR(LOOKUP(2,1/((tblCompras[Produto]=$B109)*(tblCompras[Unid.]=$C109)*(tblCompras[Preço Unit.]=$H109)),tblCompras[Data]),"")</f>
        <v>46157</v>
      </c>
      <c r="K109" s="211" t="n">
        <f aca="false">IF(OR($E109="",$H109=""),"",MAX(0,$H109-$E109))</f>
        <v>0</v>
      </c>
      <c r="L109" s="212" t="n">
        <f aca="false">IF(OR($E109="",$H109="",$E109=0),"",($H109-$E109)/$E109)</f>
        <v>0</v>
      </c>
      <c r="M109" s="200" t="n">
        <f aca="false">IFERROR(LOOKUP(2,1/((tblCompras[Produto]=$B109)*(tblCompras[Unid.]=$C109)*(tblCompras[Data]=_xlfn.MAXIFS(tblCompras[Data],tblCompras[Produto],$B109,tblCompras[Unid.],$C109))),tblCompras[Preço Unit.]),"")</f>
        <v>10.2</v>
      </c>
      <c r="N109" s="209" t="str">
        <f aca="false">IFERROR(LOOKUP(2,1/((tblCompras[Produto]=$B109)*(tblCompras[Unid.]=$C109)*(tblCompras[Data]=_xlfn.MAXIFS(tblCompras[Data],tblCompras[Produto],$B109,tblCompras[Unid.],$C109))),tblCompras[Mercado])&amp;" · "&amp;TEXT(DAY(_xlfn.MAXIFS(tblCompras[Data],tblCompras[Produto],$B109,tblCompras[Unid.],$C109)),"00")&amp;"/"&amp;TEXT(MONTH(_xlfn.MAXIFS(tblCompras[Data],tblCompras[Produto],$B109,tblCompras[Unid.],$C109)),"00")&amp;"/"&amp;TEXT(MOD(YEAR(_xlfn.MAXIFS(tblCompras[Data],tblCompras[Produto],$B109,tblCompras[Unid.],$C109)),100),"00"),"")</f>
        <v>Supermercados Nori · 15/05/26</v>
      </c>
      <c r="O109" s="1"/>
      <c r="P109" s="1" t="str">
        <f aca="false">IF(AND(ISNUMBER($K109),$K109&gt;0,OR($B$6="Todas",$D109=$B$6)),$K109+ROW()/100000,"")</f>
        <v/>
      </c>
      <c r="Q109" s="1"/>
      <c r="R109" s="1"/>
      <c r="S109" s="1"/>
      <c r="T109" s="1"/>
    </row>
    <row r="110" customFormat="false" ht="15" hidden="false" customHeight="false" outlineLevel="0" collapsed="false">
      <c r="A110" s="1"/>
      <c r="B110" s="202" t="s">
        <v>1098</v>
      </c>
      <c r="C110" s="213" t="s">
        <v>179</v>
      </c>
      <c r="D110" s="202" t="s">
        <v>12</v>
      </c>
      <c r="E110" s="205" t="n">
        <f aca="false">IFERROR(_xlfn.MINIFS(tblCompras[Preço Unit.],tblCompras[Produto],$B110,tblCompras[Unid.],$C110),"")</f>
        <v>10.2</v>
      </c>
      <c r="F110" s="213" t="str">
        <f aca="false">IFERROR(LOOKUP(2,1/((tblCompras[Produto]=$B110)*(tblCompras[Unid.]=$C110)*(tblCompras[Preço Unit.]=$E110)),tblCompras[Mercado]),"")</f>
        <v>Supermercados Nori</v>
      </c>
      <c r="G110" s="214" t="n">
        <f aca="false">IFERROR(LOOKUP(2,1/((tblCompras[Produto]=$B110)*(tblCompras[Unid.]=$C110)*(tblCompras[Preço Unit.]=$E110)),tblCompras[Data]),"")</f>
        <v>46157</v>
      </c>
      <c r="H110" s="205" t="n">
        <f aca="false">IFERROR(_xlfn.MAXIFS(tblCompras[Preço Unit.],tblCompras[Produto],$B110,tblCompras[Unid.],$C110),"")</f>
        <v>10.2</v>
      </c>
      <c r="I110" s="213" t="str">
        <f aca="false">IFERROR(LOOKUP(2,1/((tblCompras[Produto]=$B110)*(tblCompras[Unid.]=$C110)*(tblCompras[Preço Unit.]=$H110)),tblCompras[Mercado]),"")</f>
        <v>Supermercados Nori</v>
      </c>
      <c r="J110" s="214" t="n">
        <f aca="false">IFERROR(LOOKUP(2,1/((tblCompras[Produto]=$B110)*(tblCompras[Unid.]=$C110)*(tblCompras[Preço Unit.]=$H110)),tblCompras[Data]),"")</f>
        <v>46157</v>
      </c>
      <c r="K110" s="215" t="n">
        <f aca="false">IF(OR($E110="",$H110=""),"",MAX(0,$H110-$E110))</f>
        <v>0</v>
      </c>
      <c r="L110" s="216" t="n">
        <f aca="false">IF(OR($E110="",$H110="",$E110=0),"",($H110-$E110)/$E110)</f>
        <v>0</v>
      </c>
      <c r="M110" s="205" t="n">
        <f aca="false">IFERROR(LOOKUP(2,1/((tblCompras[Produto]=$B110)*(tblCompras[Unid.]=$C110)*(tblCompras[Data]=_xlfn.MAXIFS(tblCompras[Data],tblCompras[Produto],$B110,tblCompras[Unid.],$C110))),tblCompras[Preço Unit.]),"")</f>
        <v>10.2</v>
      </c>
      <c r="N110" s="213" t="str">
        <f aca="false">IFERROR(LOOKUP(2,1/((tblCompras[Produto]=$B110)*(tblCompras[Unid.]=$C110)*(tblCompras[Data]=_xlfn.MAXIFS(tblCompras[Data],tblCompras[Produto],$B110,tblCompras[Unid.],$C110))),tblCompras[Mercado])&amp;" · "&amp;TEXT(DAY(_xlfn.MAXIFS(tblCompras[Data],tblCompras[Produto],$B110,tblCompras[Unid.],$C110)),"00")&amp;"/"&amp;TEXT(MONTH(_xlfn.MAXIFS(tblCompras[Data],tblCompras[Produto],$B110,tblCompras[Unid.],$C110)),"00")&amp;"/"&amp;TEXT(MOD(YEAR(_xlfn.MAXIFS(tblCompras[Data],tblCompras[Produto],$B110,tblCompras[Unid.],$C110)),100),"00"),"")</f>
        <v>Supermercados Nori · 15/05/26</v>
      </c>
      <c r="O110" s="1"/>
      <c r="P110" s="1" t="str">
        <f aca="false">IF(AND(ISNUMBER($K110),$K110&gt;0,OR($B$6="Todas",$D110=$B$6)),$K110+ROW()/100000,"")</f>
        <v/>
      </c>
      <c r="Q110" s="1"/>
      <c r="R110" s="1"/>
      <c r="S110" s="1"/>
      <c r="T110" s="1"/>
    </row>
    <row r="111" customFormat="false" ht="15" hidden="false" customHeight="false" outlineLevel="0" collapsed="false">
      <c r="A111" s="1"/>
      <c r="B111" s="197" t="s">
        <v>566</v>
      </c>
      <c r="C111" s="209" t="s">
        <v>179</v>
      </c>
      <c r="D111" s="197" t="s">
        <v>12</v>
      </c>
      <c r="E111" s="200" t="n">
        <f aca="false">IFERROR(_xlfn.MINIFS(tblCompras[Preço Unit.],tblCompras[Produto],$B111,tblCompras[Unid.],$C111),"")</f>
        <v>29.99</v>
      </c>
      <c r="F111" s="209" t="str">
        <f aca="false">IFERROR(LOOKUP(2,1/((tblCompras[Produto]=$B111)*(tblCompras[Unid.]=$C111)*(tblCompras[Preço Unit.]=$E111)),tblCompras[Mercado]),"")</f>
        <v>Supermercados Nori</v>
      </c>
      <c r="G111" s="210" t="n">
        <f aca="false">IFERROR(LOOKUP(2,1/((tblCompras[Produto]=$B111)*(tblCompras[Unid.]=$C111)*(tblCompras[Preço Unit.]=$E111)),tblCompras[Data]),"")</f>
        <v>46173</v>
      </c>
      <c r="H111" s="200" t="n">
        <f aca="false">IFERROR(_xlfn.MAXIFS(tblCompras[Preço Unit.],tblCompras[Produto],$B111,tblCompras[Unid.],$C111),"")</f>
        <v>29.99</v>
      </c>
      <c r="I111" s="209" t="str">
        <f aca="false">IFERROR(LOOKUP(2,1/((tblCompras[Produto]=$B111)*(tblCompras[Unid.]=$C111)*(tblCompras[Preço Unit.]=$H111)),tblCompras[Mercado]),"")</f>
        <v>Supermercados Nori</v>
      </c>
      <c r="J111" s="210" t="n">
        <f aca="false">IFERROR(LOOKUP(2,1/((tblCompras[Produto]=$B111)*(tblCompras[Unid.]=$C111)*(tblCompras[Preço Unit.]=$H111)),tblCompras[Data]),"")</f>
        <v>46173</v>
      </c>
      <c r="K111" s="211" t="n">
        <f aca="false">IF(OR($E111="",$H111=""),"",MAX(0,$H111-$E111))</f>
        <v>0</v>
      </c>
      <c r="L111" s="212" t="n">
        <f aca="false">IF(OR($E111="",$H111="",$E111=0),"",($H111-$E111)/$E111)</f>
        <v>0</v>
      </c>
      <c r="M111" s="200" t="n">
        <f aca="false">IFERROR(LOOKUP(2,1/((tblCompras[Produto]=$B111)*(tblCompras[Unid.]=$C111)*(tblCompras[Data]=_xlfn.MAXIFS(tblCompras[Data],tblCompras[Produto],$B111,tblCompras[Unid.],$C111))),tblCompras[Preço Unit.]),"")</f>
        <v>29.99</v>
      </c>
      <c r="N111" s="209" t="str">
        <f aca="false">IFERROR(LOOKUP(2,1/((tblCompras[Produto]=$B111)*(tblCompras[Unid.]=$C111)*(tblCompras[Data]=_xlfn.MAXIFS(tblCompras[Data],tblCompras[Produto],$B111,tblCompras[Unid.],$C111))),tblCompras[Mercado])&amp;" · "&amp;TEXT(DAY(_xlfn.MAXIFS(tblCompras[Data],tblCompras[Produto],$B111,tblCompras[Unid.],$C111)),"00")&amp;"/"&amp;TEXT(MONTH(_xlfn.MAXIFS(tblCompras[Data],tblCompras[Produto],$B111,tblCompras[Unid.],$C111)),"00")&amp;"/"&amp;TEXT(MOD(YEAR(_xlfn.MAXIFS(tblCompras[Data],tblCompras[Produto],$B111,tblCompras[Unid.],$C111)),100),"00"),"")</f>
        <v>Supermercados Nori · 31/05/26</v>
      </c>
      <c r="O111" s="1"/>
      <c r="P111" s="1" t="str">
        <f aca="false">IF(AND(ISNUMBER($K111),$K111&gt;0,OR($B$6="Todas",$D111=$B$6)),$K111+ROW()/100000,"")</f>
        <v/>
      </c>
      <c r="Q111" s="1"/>
      <c r="R111" s="1"/>
      <c r="S111" s="1"/>
      <c r="T111" s="1"/>
    </row>
    <row r="112" customFormat="false" ht="15" hidden="false" customHeight="false" outlineLevel="0" collapsed="false">
      <c r="A112" s="1"/>
      <c r="B112" s="202" t="s">
        <v>1076</v>
      </c>
      <c r="C112" s="213" t="s">
        <v>179</v>
      </c>
      <c r="D112" s="202" t="s">
        <v>12</v>
      </c>
      <c r="E112" s="205" t="n">
        <f aca="false">IFERROR(_xlfn.MINIFS(tblCompras[Preço Unit.],tblCompras[Produto],$B112,tblCompras[Unid.],$C112),"")</f>
        <v>6.35</v>
      </c>
      <c r="F112" s="213" t="str">
        <f aca="false">IFERROR(LOOKUP(2,1/((tblCompras[Produto]=$B112)*(tblCompras[Unid.]=$C112)*(tblCompras[Preço Unit.]=$E112)),tblCompras[Mercado]),"")</f>
        <v>Supermercados Nori</v>
      </c>
      <c r="G112" s="214" t="n">
        <f aca="false">IFERROR(LOOKUP(2,1/((tblCompras[Produto]=$B112)*(tblCompras[Unid.]=$C112)*(tblCompras[Preço Unit.]=$E112)),tblCompras[Data]),"")</f>
        <v>46157</v>
      </c>
      <c r="H112" s="205" t="n">
        <f aca="false">IFERROR(_xlfn.MAXIFS(tblCompras[Preço Unit.],tblCompras[Produto],$B112,tblCompras[Unid.],$C112),"")</f>
        <v>6.35</v>
      </c>
      <c r="I112" s="213" t="str">
        <f aca="false">IFERROR(LOOKUP(2,1/((tblCompras[Produto]=$B112)*(tblCompras[Unid.]=$C112)*(tblCompras[Preço Unit.]=$H112)),tblCompras[Mercado]),"")</f>
        <v>Supermercados Nori</v>
      </c>
      <c r="J112" s="214" t="n">
        <f aca="false">IFERROR(LOOKUP(2,1/((tblCompras[Produto]=$B112)*(tblCompras[Unid.]=$C112)*(tblCompras[Preço Unit.]=$H112)),tblCompras[Data]),"")</f>
        <v>46157</v>
      </c>
      <c r="K112" s="215" t="n">
        <f aca="false">IF(OR($E112="",$H112=""),"",MAX(0,$H112-$E112))</f>
        <v>0</v>
      </c>
      <c r="L112" s="216" t="n">
        <f aca="false">IF(OR($E112="",$H112="",$E112=0),"",($H112-$E112)/$E112)</f>
        <v>0</v>
      </c>
      <c r="M112" s="205" t="n">
        <f aca="false">IFERROR(LOOKUP(2,1/((tblCompras[Produto]=$B112)*(tblCompras[Unid.]=$C112)*(tblCompras[Data]=_xlfn.MAXIFS(tblCompras[Data],tblCompras[Produto],$B112,tblCompras[Unid.],$C112))),tblCompras[Preço Unit.]),"")</f>
        <v>6.35</v>
      </c>
      <c r="N112" s="213" t="str">
        <f aca="false">IFERROR(LOOKUP(2,1/((tblCompras[Produto]=$B112)*(tblCompras[Unid.]=$C112)*(tblCompras[Data]=_xlfn.MAXIFS(tblCompras[Data],tblCompras[Produto],$B112,tblCompras[Unid.],$C112))),tblCompras[Mercado])&amp;" · "&amp;TEXT(DAY(_xlfn.MAXIFS(tblCompras[Data],tblCompras[Produto],$B112,tblCompras[Unid.],$C112)),"00")&amp;"/"&amp;TEXT(MONTH(_xlfn.MAXIFS(tblCompras[Data],tblCompras[Produto],$B112,tblCompras[Unid.],$C112)),"00")&amp;"/"&amp;TEXT(MOD(YEAR(_xlfn.MAXIFS(tblCompras[Data],tblCompras[Produto],$B112,tblCompras[Unid.],$C112)),100),"00"),"")</f>
        <v>Supermercados Nori · 15/05/26</v>
      </c>
      <c r="O112" s="1"/>
      <c r="P112" s="1" t="str">
        <f aca="false">IF(AND(ISNUMBER($K112),$K112&gt;0,OR($B$6="Todas",$D112=$B$6)),$K112+ROW()/100000,"")</f>
        <v/>
      </c>
      <c r="Q112" s="1"/>
      <c r="R112" s="1"/>
      <c r="S112" s="1"/>
      <c r="T112" s="1"/>
    </row>
    <row r="113" customFormat="false" ht="15" hidden="false" customHeight="false" outlineLevel="0" collapsed="false">
      <c r="A113" s="1"/>
      <c r="B113" s="197" t="s">
        <v>305</v>
      </c>
      <c r="C113" s="209" t="s">
        <v>306</v>
      </c>
      <c r="D113" s="197" t="s">
        <v>12</v>
      </c>
      <c r="E113" s="200" t="n">
        <f aca="false">IFERROR(_xlfn.MINIFS(tblCompras[Preço Unit.],tblCompras[Produto],$B113,tblCompras[Unid.],$C113),"")</f>
        <v>4.99</v>
      </c>
      <c r="F113" s="209" t="str">
        <f aca="false">IFERROR(LOOKUP(2,1/((tblCompras[Produto]=$B113)*(tblCompras[Unid.]=$C113)*(tblCompras[Preço Unit.]=$E113)),tblCompras[Mercado]),"")</f>
        <v>Real Atacamix</v>
      </c>
      <c r="G113" s="210" t="n">
        <f aca="false">IFERROR(LOOKUP(2,1/((tblCompras[Produto]=$B113)*(tblCompras[Unid.]=$C113)*(tblCompras[Preço Unit.]=$E113)),tblCompras[Data]),"")</f>
        <v>46152</v>
      </c>
      <c r="H113" s="200" t="n">
        <f aca="false">IFERROR(_xlfn.MAXIFS(tblCompras[Preço Unit.],tblCompras[Produto],$B113,tblCompras[Unid.],$C113),"")</f>
        <v>4.99</v>
      </c>
      <c r="I113" s="209" t="str">
        <f aca="false">IFERROR(LOOKUP(2,1/((tblCompras[Produto]=$B113)*(tblCompras[Unid.]=$C113)*(tblCompras[Preço Unit.]=$H113)),tblCompras[Mercado]),"")</f>
        <v>Real Atacamix</v>
      </c>
      <c r="J113" s="210" t="n">
        <f aca="false">IFERROR(LOOKUP(2,1/((tblCompras[Produto]=$B113)*(tblCompras[Unid.]=$C113)*(tblCompras[Preço Unit.]=$H113)),tblCompras[Data]),"")</f>
        <v>46152</v>
      </c>
      <c r="K113" s="211" t="n">
        <f aca="false">IF(OR($E113="",$H113=""),"",MAX(0,$H113-$E113))</f>
        <v>0</v>
      </c>
      <c r="L113" s="212" t="n">
        <f aca="false">IF(OR($E113="",$H113="",$E113=0),"",($H113-$E113)/$E113)</f>
        <v>0</v>
      </c>
      <c r="M113" s="200" t="n">
        <f aca="false">IFERROR(LOOKUP(2,1/((tblCompras[Produto]=$B113)*(tblCompras[Unid.]=$C113)*(tblCompras[Data]=_xlfn.MAXIFS(tblCompras[Data],tblCompras[Produto],$B113,tblCompras[Unid.],$C113))),tblCompras[Preço Unit.]),"")</f>
        <v>4.99</v>
      </c>
      <c r="N113" s="209" t="str">
        <f aca="false">IFERROR(LOOKUP(2,1/((tblCompras[Produto]=$B113)*(tblCompras[Unid.]=$C113)*(tblCompras[Data]=_xlfn.MAXIFS(tblCompras[Data],tblCompras[Produto],$B113,tblCompras[Unid.],$C113))),tblCompras[Mercado])&amp;" · "&amp;TEXT(DAY(_xlfn.MAXIFS(tblCompras[Data],tblCompras[Produto],$B113,tblCompras[Unid.],$C113)),"00")&amp;"/"&amp;TEXT(MONTH(_xlfn.MAXIFS(tblCompras[Data],tblCompras[Produto],$B113,tblCompras[Unid.],$C113)),"00")&amp;"/"&amp;TEXT(MOD(YEAR(_xlfn.MAXIFS(tblCompras[Data],tblCompras[Produto],$B113,tblCompras[Unid.],$C113)),100),"00"),"")</f>
        <v>Real Atacamix · 10/05/26</v>
      </c>
      <c r="O113" s="1"/>
      <c r="P113" s="1" t="str">
        <f aca="false">IF(AND(ISNUMBER($K113),$K113&gt;0,OR($B$6="Todas",$D113=$B$6)),$K113+ROW()/100000,"")</f>
        <v/>
      </c>
      <c r="Q113" s="1"/>
      <c r="R113" s="1"/>
      <c r="S113" s="1"/>
      <c r="T113" s="1"/>
    </row>
    <row r="114" customFormat="false" ht="15" hidden="false" customHeight="false" outlineLevel="0" collapsed="false">
      <c r="A114" s="1"/>
      <c r="B114" s="202" t="s">
        <v>1111</v>
      </c>
      <c r="C114" s="213" t="s">
        <v>179</v>
      </c>
      <c r="D114" s="202" t="s">
        <v>12</v>
      </c>
      <c r="E114" s="205" t="n">
        <f aca="false">IFERROR(_xlfn.MINIFS(tblCompras[Preço Unit.],tblCompras[Produto],$B114,tblCompras[Unid.],$C114),"")</f>
        <v>15.79</v>
      </c>
      <c r="F114" s="213" t="str">
        <f aca="false">IFERROR(LOOKUP(2,1/((tblCompras[Produto]=$B114)*(tblCompras[Unid.]=$C114)*(tblCompras[Preço Unit.]=$E114)),tblCompras[Mercado]),"")</f>
        <v>Supermercados Nori</v>
      </c>
      <c r="G114" s="214" t="n">
        <f aca="false">IFERROR(LOOKUP(2,1/((tblCompras[Produto]=$B114)*(tblCompras[Unid.]=$C114)*(tblCompras[Preço Unit.]=$E114)),tblCompras[Data]),"")</f>
        <v>46193</v>
      </c>
      <c r="H114" s="205" t="n">
        <f aca="false">IFERROR(_xlfn.MAXIFS(tblCompras[Preço Unit.],tblCompras[Produto],$B114,tblCompras[Unid.],$C114),"")</f>
        <v>21</v>
      </c>
      <c r="I114" s="213" t="str">
        <f aca="false">IFERROR(LOOKUP(2,1/((tblCompras[Produto]=$B114)*(tblCompras[Unid.]=$C114)*(tblCompras[Preço Unit.]=$H114)),tblCompras[Mercado]),"")</f>
        <v>Supermercados Nori</v>
      </c>
      <c r="J114" s="214" t="n">
        <f aca="false">IFERROR(LOOKUP(2,1/((tblCompras[Produto]=$B114)*(tblCompras[Unid.]=$C114)*(tblCompras[Preço Unit.]=$H114)),tblCompras[Data]),"")</f>
        <v>46157</v>
      </c>
      <c r="K114" s="215" t="n">
        <f aca="false">IF(OR($E114="",$H114=""),"",MAX(0,$H114-$E114))</f>
        <v>5.21</v>
      </c>
      <c r="L114" s="216" t="n">
        <f aca="false">IF(OR($E114="",$H114="",$E114=0),"",($H114-$E114)/$E114)</f>
        <v>0.329955668144395</v>
      </c>
      <c r="M114" s="205" t="n">
        <f aca="false">IFERROR(LOOKUP(2,1/((tblCompras[Produto]=$B114)*(tblCompras[Unid.]=$C114)*(tblCompras[Data]=_xlfn.MAXIFS(tblCompras[Data],tblCompras[Produto],$B114,tblCompras[Unid.],$C114))),tblCompras[Preço Unit.]),"")</f>
        <v>15.79</v>
      </c>
      <c r="N114" s="213" t="str">
        <f aca="false">IFERROR(LOOKUP(2,1/((tblCompras[Produto]=$B114)*(tblCompras[Unid.]=$C114)*(tblCompras[Data]=_xlfn.MAXIFS(tblCompras[Data],tblCompras[Produto],$B114,tblCompras[Unid.],$C114))),tblCompras[Mercado])&amp;" · "&amp;TEXT(DAY(_xlfn.MAXIFS(tblCompras[Data],tblCompras[Produto],$B114,tblCompras[Unid.],$C114)),"00")&amp;"/"&amp;TEXT(MONTH(_xlfn.MAXIFS(tblCompras[Data],tblCompras[Produto],$B114,tblCompras[Unid.],$C114)),"00")&amp;"/"&amp;TEXT(MOD(YEAR(_xlfn.MAXIFS(tblCompras[Data],tblCompras[Produto],$B114,tblCompras[Unid.],$C114)),100),"00"),"")</f>
        <v>Supermercados Nori · 20/06/26</v>
      </c>
      <c r="O114" s="1"/>
      <c r="P114" s="1" t="n">
        <f aca="false">IF(AND(ISNUMBER($K114),$K114&gt;0,OR($B$6="Todas",$D114=$B$6)),$K114+ROW()/100000,"")</f>
        <v>5.21114</v>
      </c>
      <c r="Q114" s="1"/>
      <c r="R114" s="1"/>
      <c r="S114" s="1"/>
      <c r="T114" s="1"/>
    </row>
    <row r="115" customFormat="false" ht="15" hidden="false" customHeight="false" outlineLevel="0" collapsed="false">
      <c r="A115" s="1"/>
      <c r="B115" s="197" t="s">
        <v>446</v>
      </c>
      <c r="C115" s="209" t="s">
        <v>179</v>
      </c>
      <c r="D115" s="197" t="s">
        <v>12</v>
      </c>
      <c r="E115" s="200" t="n">
        <f aca="false">IFERROR(_xlfn.MINIFS(tblCompras[Preço Unit.],tblCompras[Produto],$B115,tblCompras[Unid.],$C115),"")</f>
        <v>10.5</v>
      </c>
      <c r="F115" s="209" t="str">
        <f aca="false">IFERROR(LOOKUP(2,1/((tblCompras[Produto]=$B115)*(tblCompras[Unid.]=$C115)*(tblCompras[Preço Unit.]=$E115)),tblCompras[Mercado]),"")</f>
        <v>Supermercados Nori</v>
      </c>
      <c r="G115" s="210" t="n">
        <f aca="false">IFERROR(LOOKUP(2,1/((tblCompras[Produto]=$B115)*(tblCompras[Unid.]=$C115)*(tblCompras[Preço Unit.]=$E115)),tblCompras[Data]),"")</f>
        <v>46208</v>
      </c>
      <c r="H115" s="200" t="n">
        <f aca="false">IFERROR(_xlfn.MAXIFS(tblCompras[Preço Unit.],tblCompras[Produto],$B115,tblCompras[Unid.],$C115),"")</f>
        <v>11.99</v>
      </c>
      <c r="I115" s="209" t="str">
        <f aca="false">IFERROR(LOOKUP(2,1/((tblCompras[Produto]=$B115)*(tblCompras[Unid.]=$C115)*(tblCompras[Preço Unit.]=$H115)),tblCompras[Mercado]),"")</f>
        <v>Supermercados Nori</v>
      </c>
      <c r="J115" s="210" t="n">
        <f aca="false">IFERROR(LOOKUP(2,1/((tblCompras[Produto]=$B115)*(tblCompras[Unid.]=$C115)*(tblCompras[Preço Unit.]=$H115)),tblCompras[Data]),"")</f>
        <v>46243</v>
      </c>
      <c r="K115" s="211" t="n">
        <f aca="false">IF(OR($E115="",$H115=""),"",MAX(0,$H115-$E115))</f>
        <v>1.49</v>
      </c>
      <c r="L115" s="212" t="n">
        <f aca="false">IF(OR($E115="",$H115="",$E115=0),"",($H115-$E115)/$E115)</f>
        <v>0.141904761904762</v>
      </c>
      <c r="M115" s="200" t="n">
        <f aca="false">IFERROR(LOOKUP(2,1/((tblCompras[Produto]=$B115)*(tblCompras[Unid.]=$C115)*(tblCompras[Data]=_xlfn.MAXIFS(tblCompras[Data],tblCompras[Produto],$B115,tblCompras[Unid.],$C115))),tblCompras[Preço Unit.]),"")</f>
        <v>11.99</v>
      </c>
      <c r="N115" s="209" t="str">
        <f aca="false">IFERROR(LOOKUP(2,1/((tblCompras[Produto]=$B115)*(tblCompras[Unid.]=$C115)*(tblCompras[Data]=_xlfn.MAXIFS(tblCompras[Data],tblCompras[Produto],$B115,tblCompras[Unid.],$C115))),tblCompras[Mercado])&amp;" · "&amp;TEXT(DAY(_xlfn.MAXIFS(tblCompras[Data],tblCompras[Produto],$B115,tblCompras[Unid.],$C115)),"00")&amp;"/"&amp;TEXT(MONTH(_xlfn.MAXIFS(tblCompras[Data],tblCompras[Produto],$B115,tblCompras[Unid.],$C115)),"00")&amp;"/"&amp;TEXT(MOD(YEAR(_xlfn.MAXIFS(tblCompras[Data],tblCompras[Produto],$B115,tblCompras[Unid.],$C115)),100),"00"),"")</f>
        <v>Supermercados Nori · 09/08/26</v>
      </c>
      <c r="O115" s="1"/>
      <c r="P115" s="1" t="n">
        <f aca="false">IF(AND(ISNUMBER($K115),$K115&gt;0,OR($B$6="Todas",$D115=$B$6)),$K115+ROW()/100000,"")</f>
        <v>1.49115</v>
      </c>
      <c r="Q115" s="1"/>
      <c r="R115" s="1"/>
      <c r="S115" s="1"/>
      <c r="T115" s="1"/>
    </row>
    <row r="116" customFormat="false" ht="15" hidden="false" customHeight="false" outlineLevel="0" collapsed="false">
      <c r="A116" s="1"/>
      <c r="B116" s="202" t="s">
        <v>442</v>
      </c>
      <c r="C116" s="213" t="s">
        <v>179</v>
      </c>
      <c r="D116" s="202" t="s">
        <v>12</v>
      </c>
      <c r="E116" s="205" t="n">
        <f aca="false">IFERROR(_xlfn.MINIFS(tblCompras[Preço Unit.],tblCompras[Produto],$B116,tblCompras[Unid.],$C116),"")</f>
        <v>15.9</v>
      </c>
      <c r="F116" s="213" t="str">
        <f aca="false">IFERROR(LOOKUP(2,1/((tblCompras[Produto]=$B116)*(tblCompras[Unid.]=$C116)*(tblCompras[Preço Unit.]=$E116)),tblCompras[Mercado]),"")</f>
        <v>Supermercados Nori</v>
      </c>
      <c r="G116" s="214" t="n">
        <f aca="false">IFERROR(LOOKUP(2,1/((tblCompras[Produto]=$B116)*(tblCompras[Unid.]=$C116)*(tblCompras[Preço Unit.]=$E116)),tblCompras[Data]),"")</f>
        <v>46159</v>
      </c>
      <c r="H116" s="205" t="n">
        <f aca="false">IFERROR(_xlfn.MAXIFS(tblCompras[Preço Unit.],tblCompras[Produto],$B116,tblCompras[Unid.],$C116),"")</f>
        <v>15.9</v>
      </c>
      <c r="I116" s="213" t="str">
        <f aca="false">IFERROR(LOOKUP(2,1/((tblCompras[Produto]=$B116)*(tblCompras[Unid.]=$C116)*(tblCompras[Preço Unit.]=$H116)),tblCompras[Mercado]),"")</f>
        <v>Supermercados Nori</v>
      </c>
      <c r="J116" s="214" t="n">
        <f aca="false">IFERROR(LOOKUP(2,1/((tblCompras[Produto]=$B116)*(tblCompras[Unid.]=$C116)*(tblCompras[Preço Unit.]=$H116)),tblCompras[Data]),"")</f>
        <v>46159</v>
      </c>
      <c r="K116" s="215" t="n">
        <f aca="false">IF(OR($E116="",$H116=""),"",MAX(0,$H116-$E116))</f>
        <v>0</v>
      </c>
      <c r="L116" s="216" t="n">
        <f aca="false">IF(OR($E116="",$H116="",$E116=0),"",($H116-$E116)/$E116)</f>
        <v>0</v>
      </c>
      <c r="M116" s="205" t="n">
        <f aca="false">IFERROR(LOOKUP(2,1/((tblCompras[Produto]=$B116)*(tblCompras[Unid.]=$C116)*(tblCompras[Data]=_xlfn.MAXIFS(tblCompras[Data],tblCompras[Produto],$B116,tblCompras[Unid.],$C116))),tblCompras[Preço Unit.]),"")</f>
        <v>15.9</v>
      </c>
      <c r="N116" s="213" t="str">
        <f aca="false">IFERROR(LOOKUP(2,1/((tblCompras[Produto]=$B116)*(tblCompras[Unid.]=$C116)*(tblCompras[Data]=_xlfn.MAXIFS(tblCompras[Data],tblCompras[Produto],$B116,tblCompras[Unid.],$C116))),tblCompras[Mercado])&amp;" · "&amp;TEXT(DAY(_xlfn.MAXIFS(tblCompras[Data],tblCompras[Produto],$B116,tblCompras[Unid.],$C116)),"00")&amp;"/"&amp;TEXT(MONTH(_xlfn.MAXIFS(tblCompras[Data],tblCompras[Produto],$B116,tblCompras[Unid.],$C116)),"00")&amp;"/"&amp;TEXT(MOD(YEAR(_xlfn.MAXIFS(tblCompras[Data],tblCompras[Produto],$B116,tblCompras[Unid.],$C116)),100),"00"),"")</f>
        <v>Supermercados Nori · 17/05/26</v>
      </c>
      <c r="O116" s="1"/>
      <c r="P116" s="1" t="str">
        <f aca="false">IF(AND(ISNUMBER($K116),$K116&gt;0,OR($B$6="Todas",$D116=$B$6)),$K116+ROW()/100000,"")</f>
        <v/>
      </c>
      <c r="Q116" s="1"/>
      <c r="R116" s="1"/>
      <c r="S116" s="1"/>
      <c r="T116" s="1"/>
    </row>
    <row r="117" customFormat="false" ht="15" hidden="false" customHeight="false" outlineLevel="0" collapsed="false">
      <c r="A117" s="1"/>
      <c r="B117" s="197" t="s">
        <v>242</v>
      </c>
      <c r="C117" s="209" t="s">
        <v>179</v>
      </c>
      <c r="D117" s="197" t="s">
        <v>12</v>
      </c>
      <c r="E117" s="200" t="n">
        <f aca="false">IFERROR(_xlfn.MINIFS(tblCompras[Preço Unit.],tblCompras[Produto],$B117,tblCompras[Unid.],$C117),"")</f>
        <v>3.7</v>
      </c>
      <c r="F117" s="209" t="str">
        <f aca="false">IFERROR(LOOKUP(2,1/((tblCompras[Produto]=$B117)*(tblCompras[Unid.]=$C117)*(tblCompras[Preço Unit.]=$E117)),tblCompras[Mercado]),"")</f>
        <v>Supermercados Nori</v>
      </c>
      <c r="G117" s="210" t="n">
        <f aca="false">IFERROR(LOOKUP(2,1/((tblCompras[Produto]=$B117)*(tblCompras[Unid.]=$C117)*(tblCompras[Preço Unit.]=$E117)),tblCompras[Data]),"")</f>
        <v>46176</v>
      </c>
      <c r="H117" s="200" t="n">
        <f aca="false">IFERROR(_xlfn.MAXIFS(tblCompras[Preço Unit.],tblCompras[Produto],$B117,tblCompras[Unid.],$C117),"")</f>
        <v>3.95</v>
      </c>
      <c r="I117" s="209" t="str">
        <f aca="false">IFERROR(LOOKUP(2,1/((tblCompras[Produto]=$B117)*(tblCompras[Unid.]=$C117)*(tblCompras[Preço Unit.]=$H117)),tblCompras[Mercado]),"")</f>
        <v>Supermercados Nori</v>
      </c>
      <c r="J117" s="210" t="n">
        <f aca="false">IFERROR(LOOKUP(2,1/((tblCompras[Produto]=$B117)*(tblCompras[Unid.]=$C117)*(tblCompras[Preço Unit.]=$H117)),tblCompras[Data]),"")</f>
        <v>46207</v>
      </c>
      <c r="K117" s="211" t="n">
        <f aca="false">IF(OR($E117="",$H117=""),"",MAX(0,$H117-$E117))</f>
        <v>0.25</v>
      </c>
      <c r="L117" s="212" t="n">
        <f aca="false">IF(OR($E117="",$H117="",$E117=0),"",($H117-$E117)/$E117)</f>
        <v>0.0675675675675677</v>
      </c>
      <c r="M117" s="200" t="n">
        <f aca="false">IFERROR(LOOKUP(2,1/((tblCompras[Produto]=$B117)*(tblCompras[Unid.]=$C117)*(tblCompras[Data]=_xlfn.MAXIFS(tblCompras[Data],tblCompras[Produto],$B117,tblCompras[Unid.],$C117))),tblCompras[Preço Unit.]),"")</f>
        <v>3.95</v>
      </c>
      <c r="N117" s="209" t="str">
        <f aca="false">IFERROR(LOOKUP(2,1/((tblCompras[Produto]=$B117)*(tblCompras[Unid.]=$C117)*(tblCompras[Data]=_xlfn.MAXIFS(tblCompras[Data],tblCompras[Produto],$B117,tblCompras[Unid.],$C117))),tblCompras[Mercado])&amp;" · "&amp;TEXT(DAY(_xlfn.MAXIFS(tblCompras[Data],tblCompras[Produto],$B117,tblCompras[Unid.],$C117)),"00")&amp;"/"&amp;TEXT(MONTH(_xlfn.MAXIFS(tblCompras[Data],tblCompras[Produto],$B117,tblCompras[Unid.],$C117)),"00")&amp;"/"&amp;TEXT(MOD(YEAR(_xlfn.MAXIFS(tblCompras[Data],tblCompras[Produto],$B117,tblCompras[Unid.],$C117)),100),"00"),"")</f>
        <v>Supermercados Nori · 04/07/26</v>
      </c>
      <c r="O117" s="1"/>
      <c r="P117" s="1" t="n">
        <f aca="false">IF(AND(ISNUMBER($K117),$K117&gt;0,OR($B$6="Todas",$D117=$B$6)),$K117+ROW()/100000,"")</f>
        <v>0.25117</v>
      </c>
      <c r="Q117" s="1"/>
      <c r="R117" s="1"/>
      <c r="S117" s="1"/>
      <c r="T117" s="1"/>
    </row>
    <row r="118" customFormat="false" ht="15" hidden="false" customHeight="false" outlineLevel="0" collapsed="false">
      <c r="A118" s="1"/>
      <c r="B118" s="202" t="s">
        <v>199</v>
      </c>
      <c r="C118" s="213" t="s">
        <v>179</v>
      </c>
      <c r="D118" s="202" t="s">
        <v>12</v>
      </c>
      <c r="E118" s="205" t="n">
        <f aca="false">IFERROR(_xlfn.MINIFS(tblCompras[Preço Unit.],tblCompras[Produto],$B118,tblCompras[Unid.],$C118),"")</f>
        <v>3.7</v>
      </c>
      <c r="F118" s="213" t="str">
        <f aca="false">IFERROR(LOOKUP(2,1/((tblCompras[Produto]=$B118)*(tblCompras[Unid.]=$C118)*(tblCompras[Preço Unit.]=$E118)),tblCompras[Mercado]),"")</f>
        <v>Supermercados Nori</v>
      </c>
      <c r="G118" s="214" t="n">
        <f aca="false">IFERROR(LOOKUP(2,1/((tblCompras[Produto]=$B118)*(tblCompras[Unid.]=$C118)*(tblCompras[Preço Unit.]=$E118)),tblCompras[Data]),"")</f>
        <v>46176</v>
      </c>
      <c r="H118" s="205" t="n">
        <f aca="false">IFERROR(_xlfn.MAXIFS(tblCompras[Preço Unit.],tblCompras[Produto],$B118,tblCompras[Unid.],$C118),"")</f>
        <v>3.95</v>
      </c>
      <c r="I118" s="213" t="str">
        <f aca="false">IFERROR(LOOKUP(2,1/((tblCompras[Produto]=$B118)*(tblCompras[Unid.]=$C118)*(tblCompras[Preço Unit.]=$H118)),tblCompras[Mercado]),"")</f>
        <v>Supermercados Nori</v>
      </c>
      <c r="J118" s="214" t="n">
        <f aca="false">IFERROR(LOOKUP(2,1/((tblCompras[Produto]=$B118)*(tblCompras[Unid.]=$C118)*(tblCompras[Preço Unit.]=$H118)),tblCompras[Data]),"")</f>
        <v>46207</v>
      </c>
      <c r="K118" s="215" t="n">
        <f aca="false">IF(OR($E118="",$H118=""),"",MAX(0,$H118-$E118))</f>
        <v>0.25</v>
      </c>
      <c r="L118" s="216" t="n">
        <f aca="false">IF(OR($E118="",$H118="",$E118=0),"",($H118-$E118)/$E118)</f>
        <v>0.0675675675675677</v>
      </c>
      <c r="M118" s="205" t="n">
        <f aca="false">IFERROR(LOOKUP(2,1/((tblCompras[Produto]=$B118)*(tblCompras[Unid.]=$C118)*(tblCompras[Data]=_xlfn.MAXIFS(tblCompras[Data],tblCompras[Produto],$B118,tblCompras[Unid.],$C118))),tblCompras[Preço Unit.]),"")</f>
        <v>3.95</v>
      </c>
      <c r="N118" s="213" t="str">
        <f aca="false">IFERROR(LOOKUP(2,1/((tblCompras[Produto]=$B118)*(tblCompras[Unid.]=$C118)*(tblCompras[Data]=_xlfn.MAXIFS(tblCompras[Data],tblCompras[Produto],$B118,tblCompras[Unid.],$C118))),tblCompras[Mercado])&amp;" · "&amp;TEXT(DAY(_xlfn.MAXIFS(tblCompras[Data],tblCompras[Produto],$B118,tblCompras[Unid.],$C118)),"00")&amp;"/"&amp;TEXT(MONTH(_xlfn.MAXIFS(tblCompras[Data],tblCompras[Produto],$B118,tblCompras[Unid.],$C118)),"00")&amp;"/"&amp;TEXT(MOD(YEAR(_xlfn.MAXIFS(tblCompras[Data],tblCompras[Produto],$B118,tblCompras[Unid.],$C118)),100),"00"),"")</f>
        <v>Supermercados Nori · 04/07/26</v>
      </c>
      <c r="O118" s="1"/>
      <c r="P118" s="1" t="n">
        <f aca="false">IF(AND(ISNUMBER($K118),$K118&gt;0,OR($B$6="Todas",$D118=$B$6)),$K118+ROW()/100000,"")</f>
        <v>0.25118</v>
      </c>
      <c r="Q118" s="1"/>
      <c r="R118" s="1"/>
      <c r="S118" s="1"/>
      <c r="T118" s="1"/>
    </row>
    <row r="119" customFormat="false" ht="15" hidden="false" customHeight="false" outlineLevel="0" collapsed="false">
      <c r="A119" s="1"/>
      <c r="B119" s="197" t="s">
        <v>203</v>
      </c>
      <c r="C119" s="209" t="s">
        <v>179</v>
      </c>
      <c r="D119" s="197" t="s">
        <v>12</v>
      </c>
      <c r="E119" s="200" t="n">
        <f aca="false">IFERROR(_xlfn.MINIFS(tblCompras[Preço Unit.],tblCompras[Produto],$B119,tblCompras[Unid.],$C119),"")</f>
        <v>1.8</v>
      </c>
      <c r="F119" s="209" t="str">
        <f aca="false">IFERROR(LOOKUP(2,1/((tblCompras[Produto]=$B119)*(tblCompras[Unid.]=$C119)*(tblCompras[Preço Unit.]=$E119)),tblCompras[Mercado]),"")</f>
        <v>Supermercados Nori</v>
      </c>
      <c r="G119" s="210" t="n">
        <f aca="false">IFERROR(LOOKUP(2,1/((tblCompras[Produto]=$B119)*(tblCompras[Unid.]=$C119)*(tblCompras[Preço Unit.]=$E119)),tblCompras[Data]),"")</f>
        <v>46146</v>
      </c>
      <c r="H119" s="200" t="n">
        <f aca="false">IFERROR(_xlfn.MAXIFS(tblCompras[Preço Unit.],tblCompras[Produto],$B119,tblCompras[Unid.],$C119),"")</f>
        <v>1.8</v>
      </c>
      <c r="I119" s="209" t="str">
        <f aca="false">IFERROR(LOOKUP(2,1/((tblCompras[Produto]=$B119)*(tblCompras[Unid.]=$C119)*(tblCompras[Preço Unit.]=$H119)),tblCompras[Mercado]),"")</f>
        <v>Supermercados Nori</v>
      </c>
      <c r="J119" s="210" t="n">
        <f aca="false">IFERROR(LOOKUP(2,1/((tblCompras[Produto]=$B119)*(tblCompras[Unid.]=$C119)*(tblCompras[Preço Unit.]=$H119)),tblCompras[Data]),"")</f>
        <v>46146</v>
      </c>
      <c r="K119" s="211" t="n">
        <f aca="false">IF(OR($E119="",$H119=""),"",MAX(0,$H119-$E119))</f>
        <v>0</v>
      </c>
      <c r="L119" s="212" t="n">
        <f aca="false">IF(OR($E119="",$H119="",$E119=0),"",($H119-$E119)/$E119)</f>
        <v>0</v>
      </c>
      <c r="M119" s="200" t="n">
        <f aca="false">IFERROR(LOOKUP(2,1/((tblCompras[Produto]=$B119)*(tblCompras[Unid.]=$C119)*(tblCompras[Data]=_xlfn.MAXIFS(tblCompras[Data],tblCompras[Produto],$B119,tblCompras[Unid.],$C119))),tblCompras[Preço Unit.]),"")</f>
        <v>1.8</v>
      </c>
      <c r="N119" s="209" t="str">
        <f aca="false">IFERROR(LOOKUP(2,1/((tblCompras[Produto]=$B119)*(tblCompras[Unid.]=$C119)*(tblCompras[Data]=_xlfn.MAXIFS(tblCompras[Data],tblCompras[Produto],$B119,tblCompras[Unid.],$C119))),tblCompras[Mercado])&amp;" · "&amp;TEXT(DAY(_xlfn.MAXIFS(tblCompras[Data],tblCompras[Produto],$B119,tblCompras[Unid.],$C119)),"00")&amp;"/"&amp;TEXT(MONTH(_xlfn.MAXIFS(tblCompras[Data],tblCompras[Produto],$B119,tblCompras[Unid.],$C119)),"00")&amp;"/"&amp;TEXT(MOD(YEAR(_xlfn.MAXIFS(tblCompras[Data],tblCompras[Produto],$B119,tblCompras[Unid.],$C119)),100),"00"),"")</f>
        <v>Supermercados Nori · 04/05/26</v>
      </c>
      <c r="O119" s="1"/>
      <c r="P119" s="1" t="str">
        <f aca="false">IF(AND(ISNUMBER($K119),$K119&gt;0,OR($B$6="Todas",$D119=$B$6)),$K119+ROW()/100000,"")</f>
        <v/>
      </c>
      <c r="Q119" s="1"/>
      <c r="R119" s="1"/>
      <c r="S119" s="1"/>
      <c r="T119" s="1"/>
    </row>
    <row r="120" customFormat="false" ht="15" hidden="false" customHeight="false" outlineLevel="0" collapsed="false">
      <c r="A120" s="1"/>
      <c r="B120" s="202" t="s">
        <v>241</v>
      </c>
      <c r="C120" s="213" t="s">
        <v>179</v>
      </c>
      <c r="D120" s="202" t="s">
        <v>12</v>
      </c>
      <c r="E120" s="205" t="n">
        <f aca="false">IFERROR(_xlfn.MINIFS(tblCompras[Preço Unit.],tblCompras[Produto],$B120,tblCompras[Unid.],$C120),"")</f>
        <v>1.69</v>
      </c>
      <c r="F120" s="213" t="str">
        <f aca="false">IFERROR(LOOKUP(2,1/((tblCompras[Produto]=$B120)*(tblCompras[Unid.]=$C120)*(tblCompras[Preço Unit.]=$E120)),tblCompras[Mercado]),"")</f>
        <v>Supermercados Nori</v>
      </c>
      <c r="G120" s="214" t="n">
        <f aca="false">IFERROR(LOOKUP(2,1/((tblCompras[Produto]=$B120)*(tblCompras[Unid.]=$C120)*(tblCompras[Preço Unit.]=$E120)),tblCompras[Data]),"")</f>
        <v>46193</v>
      </c>
      <c r="H120" s="205" t="n">
        <f aca="false">IFERROR(_xlfn.MAXIFS(tblCompras[Preço Unit.],tblCompras[Produto],$B120,tblCompras[Unid.],$C120),"")</f>
        <v>1.89</v>
      </c>
      <c r="I120" s="213" t="str">
        <f aca="false">IFERROR(LOOKUP(2,1/((tblCompras[Produto]=$B120)*(tblCompras[Unid.]=$C120)*(tblCompras[Preço Unit.]=$H120)),tblCompras[Mercado]),"")</f>
        <v>Supermercados Nori</v>
      </c>
      <c r="J120" s="214" t="n">
        <f aca="false">IFERROR(LOOKUP(2,1/((tblCompras[Produto]=$B120)*(tblCompras[Unid.]=$C120)*(tblCompras[Preço Unit.]=$H120)),tblCompras[Data]),"")</f>
        <v>46207</v>
      </c>
      <c r="K120" s="215" t="n">
        <f aca="false">IF(OR($E120="",$H120=""),"",MAX(0,$H120-$E120))</f>
        <v>0.2</v>
      </c>
      <c r="L120" s="216" t="n">
        <f aca="false">IF(OR($E120="",$H120="",$E120=0),"",($H120-$E120)/$E120)</f>
        <v>0.118343195266272</v>
      </c>
      <c r="M120" s="205" t="n">
        <f aca="false">IFERROR(LOOKUP(2,1/((tblCompras[Produto]=$B120)*(tblCompras[Unid.]=$C120)*(tblCompras[Data]=_xlfn.MAXIFS(tblCompras[Data],tblCompras[Produto],$B120,tblCompras[Unid.],$C120))),tblCompras[Preço Unit.]),"")</f>
        <v>1.89</v>
      </c>
      <c r="N120" s="213" t="str">
        <f aca="false">IFERROR(LOOKUP(2,1/((tblCompras[Produto]=$B120)*(tblCompras[Unid.]=$C120)*(tblCompras[Data]=_xlfn.MAXIFS(tblCompras[Data],tblCompras[Produto],$B120,tblCompras[Unid.],$C120))),tblCompras[Mercado])&amp;" · "&amp;TEXT(DAY(_xlfn.MAXIFS(tblCompras[Data],tblCompras[Produto],$B120,tblCompras[Unid.],$C120)),"00")&amp;"/"&amp;TEXT(MONTH(_xlfn.MAXIFS(tblCompras[Data],tblCompras[Produto],$B120,tblCompras[Unid.],$C120)),"00")&amp;"/"&amp;TEXT(MOD(YEAR(_xlfn.MAXIFS(tblCompras[Data],tblCompras[Produto],$B120,tblCompras[Unid.],$C120)),100),"00"),"")</f>
        <v>Supermercados Nori · 04/07/26</v>
      </c>
      <c r="O120" s="1"/>
      <c r="P120" s="1" t="n">
        <f aca="false">IF(AND(ISNUMBER($K120),$K120&gt;0,OR($B$6="Todas",$D120=$B$6)),$K120+ROW()/100000,"")</f>
        <v>0.2012</v>
      </c>
      <c r="Q120" s="1"/>
      <c r="R120" s="1"/>
      <c r="S120" s="1"/>
      <c r="T120" s="1"/>
    </row>
    <row r="121" customFormat="false" ht="15" hidden="false" customHeight="false" outlineLevel="0" collapsed="false">
      <c r="A121" s="1"/>
      <c r="B121" s="197" t="s">
        <v>1077</v>
      </c>
      <c r="C121" s="209" t="s">
        <v>179</v>
      </c>
      <c r="D121" s="197" t="s">
        <v>12</v>
      </c>
      <c r="E121" s="200" t="n">
        <f aca="false">IFERROR(_xlfn.MINIFS(tblCompras[Preço Unit.],tblCompras[Produto],$B121,tblCompras[Unid.],$C121),"")</f>
        <v>1.69</v>
      </c>
      <c r="F121" s="209" t="str">
        <f aca="false">IFERROR(LOOKUP(2,1/((tblCompras[Produto]=$B121)*(tblCompras[Unid.]=$C121)*(tblCompras[Preço Unit.]=$E121)),tblCompras[Mercado]),"")</f>
        <v>Supermercados Nori</v>
      </c>
      <c r="G121" s="210" t="n">
        <f aca="false">IFERROR(LOOKUP(2,1/((tblCompras[Produto]=$B121)*(tblCompras[Unid.]=$C121)*(tblCompras[Preço Unit.]=$E121)),tblCompras[Data]),"")</f>
        <v>46193</v>
      </c>
      <c r="H121" s="200" t="n">
        <f aca="false">IFERROR(_xlfn.MAXIFS(tblCompras[Preço Unit.],tblCompras[Produto],$B121,tblCompras[Unid.],$C121),"")</f>
        <v>1.89</v>
      </c>
      <c r="I121" s="209" t="str">
        <f aca="false">IFERROR(LOOKUP(2,1/((tblCompras[Produto]=$B121)*(tblCompras[Unid.]=$C121)*(tblCompras[Preço Unit.]=$H121)),tblCompras[Mercado]),"")</f>
        <v>Supermercados Nori</v>
      </c>
      <c r="J121" s="210" t="n">
        <f aca="false">IFERROR(LOOKUP(2,1/((tblCompras[Produto]=$B121)*(tblCompras[Unid.]=$C121)*(tblCompras[Preço Unit.]=$H121)),tblCompras[Data]),"")</f>
        <v>46207</v>
      </c>
      <c r="K121" s="211" t="n">
        <f aca="false">IF(OR($E121="",$H121=""),"",MAX(0,$H121-$E121))</f>
        <v>0.2</v>
      </c>
      <c r="L121" s="212" t="n">
        <f aca="false">IF(OR($E121="",$H121="",$E121=0),"",($H121-$E121)/$E121)</f>
        <v>0.118343195266272</v>
      </c>
      <c r="M121" s="200" t="n">
        <f aca="false">IFERROR(LOOKUP(2,1/((tblCompras[Produto]=$B121)*(tblCompras[Unid.]=$C121)*(tblCompras[Data]=_xlfn.MAXIFS(tblCompras[Data],tblCompras[Produto],$B121,tblCompras[Unid.],$C121))),tblCompras[Preço Unit.]),"")</f>
        <v>1.89</v>
      </c>
      <c r="N121" s="209" t="str">
        <f aca="false">IFERROR(LOOKUP(2,1/((tblCompras[Produto]=$B121)*(tblCompras[Unid.]=$C121)*(tblCompras[Data]=_xlfn.MAXIFS(tblCompras[Data],tblCompras[Produto],$B121,tblCompras[Unid.],$C121))),tblCompras[Mercado])&amp;" · "&amp;TEXT(DAY(_xlfn.MAXIFS(tblCompras[Data],tblCompras[Produto],$B121,tblCompras[Unid.],$C121)),"00")&amp;"/"&amp;TEXT(MONTH(_xlfn.MAXIFS(tblCompras[Data],tblCompras[Produto],$B121,tblCompras[Unid.],$C121)),"00")&amp;"/"&amp;TEXT(MOD(YEAR(_xlfn.MAXIFS(tblCompras[Data],tblCompras[Produto],$B121,tblCompras[Unid.],$C121)),100),"00"),"")</f>
        <v>Supermercados Nori · 04/07/26</v>
      </c>
      <c r="O121" s="1"/>
      <c r="P121" s="1" t="n">
        <f aca="false">IF(AND(ISNUMBER($K121),$K121&gt;0,OR($B$6="Todas",$D121=$B$6)),$K121+ROW()/100000,"")</f>
        <v>0.20121</v>
      </c>
      <c r="Q121" s="1"/>
      <c r="R121" s="1"/>
      <c r="S121" s="1"/>
      <c r="T121" s="1"/>
    </row>
    <row r="122" customFormat="false" ht="15" hidden="false" customHeight="false" outlineLevel="0" collapsed="false">
      <c r="A122" s="1"/>
      <c r="B122" s="202" t="s">
        <v>178</v>
      </c>
      <c r="C122" s="213" t="s">
        <v>179</v>
      </c>
      <c r="D122" s="202" t="s">
        <v>12</v>
      </c>
      <c r="E122" s="205" t="n">
        <f aca="false">IFERROR(_xlfn.MINIFS(tblCompras[Preço Unit.],tblCompras[Produto],$B122,tblCompras[Unid.],$C122),"")</f>
        <v>11.98</v>
      </c>
      <c r="F122" s="213" t="str">
        <f aca="false">IFERROR(LOOKUP(2,1/((tblCompras[Produto]=$B122)*(tblCompras[Unid.]=$C122)*(tblCompras[Preço Unit.]=$E122)),tblCompras[Mercado]),"")</f>
        <v>Crystal</v>
      </c>
      <c r="G122" s="214" t="n">
        <f aca="false">IFERROR(LOOKUP(2,1/((tblCompras[Produto]=$B122)*(tblCompras[Unid.]=$C122)*(tblCompras[Preço Unit.]=$E122)),tblCompras[Data]),"")</f>
        <v>46144</v>
      </c>
      <c r="H122" s="205" t="n">
        <f aca="false">IFERROR(_xlfn.MAXIFS(tblCompras[Preço Unit.],tblCompras[Produto],$B122,tblCompras[Unid.],$C122),"")</f>
        <v>11.98</v>
      </c>
      <c r="I122" s="213" t="str">
        <f aca="false">IFERROR(LOOKUP(2,1/((tblCompras[Produto]=$B122)*(tblCompras[Unid.]=$C122)*(tblCompras[Preço Unit.]=$H122)),tblCompras[Mercado]),"")</f>
        <v>Crystal</v>
      </c>
      <c r="J122" s="214" t="n">
        <f aca="false">IFERROR(LOOKUP(2,1/((tblCompras[Produto]=$B122)*(tblCompras[Unid.]=$C122)*(tblCompras[Preço Unit.]=$H122)),tblCompras[Data]),"")</f>
        <v>46144</v>
      </c>
      <c r="K122" s="215" t="n">
        <f aca="false">IF(OR($E122="",$H122=""),"",MAX(0,$H122-$E122))</f>
        <v>0</v>
      </c>
      <c r="L122" s="216" t="n">
        <f aca="false">IF(OR($E122="",$H122="",$E122=0),"",($H122-$E122)/$E122)</f>
        <v>0</v>
      </c>
      <c r="M122" s="205" t="n">
        <f aca="false">IFERROR(LOOKUP(2,1/((tblCompras[Produto]=$B122)*(tblCompras[Unid.]=$C122)*(tblCompras[Data]=_xlfn.MAXIFS(tblCompras[Data],tblCompras[Produto],$B122,tblCompras[Unid.],$C122))),tblCompras[Preço Unit.]),"")</f>
        <v>11.98</v>
      </c>
      <c r="N122" s="213" t="str">
        <f aca="false">IFERROR(LOOKUP(2,1/((tblCompras[Produto]=$B122)*(tblCompras[Unid.]=$C122)*(tblCompras[Data]=_xlfn.MAXIFS(tblCompras[Data],tblCompras[Produto],$B122,tblCompras[Unid.],$C122))),tblCompras[Mercado])&amp;" · "&amp;TEXT(DAY(_xlfn.MAXIFS(tblCompras[Data],tblCompras[Produto],$B122,tblCompras[Unid.],$C122)),"00")&amp;"/"&amp;TEXT(MONTH(_xlfn.MAXIFS(tblCompras[Data],tblCompras[Produto],$B122,tblCompras[Unid.],$C122)),"00")&amp;"/"&amp;TEXT(MOD(YEAR(_xlfn.MAXIFS(tblCompras[Data],tblCompras[Produto],$B122,tblCompras[Unid.],$C122)),100),"00"),"")</f>
        <v>Crystal · 02/05/26</v>
      </c>
      <c r="O122" s="1"/>
      <c r="P122" s="1" t="str">
        <f aca="false">IF(AND(ISNUMBER($K122),$K122&gt;0,OR($B$6="Todas",$D122=$B$6)),$K122+ROW()/100000,"")</f>
        <v/>
      </c>
      <c r="Q122" s="1"/>
      <c r="R122" s="1"/>
      <c r="S122" s="1"/>
      <c r="T122" s="1"/>
    </row>
    <row r="123" customFormat="false" ht="15" hidden="false" customHeight="false" outlineLevel="0" collapsed="false">
      <c r="A123" s="1"/>
      <c r="B123" s="197" t="s">
        <v>444</v>
      </c>
      <c r="C123" s="209" t="s">
        <v>179</v>
      </c>
      <c r="D123" s="197" t="s">
        <v>12</v>
      </c>
      <c r="E123" s="200" t="n">
        <f aca="false">IFERROR(_xlfn.MINIFS(tblCompras[Preço Unit.],tblCompras[Produto],$B123,tblCompras[Unid.],$C123),"")</f>
        <v>11.6</v>
      </c>
      <c r="F123" s="209" t="str">
        <f aca="false">IFERROR(LOOKUP(2,1/((tblCompras[Produto]=$B123)*(tblCompras[Unid.]=$C123)*(tblCompras[Preço Unit.]=$E123)),tblCompras[Mercado]),"")</f>
        <v>Supermercados Nori</v>
      </c>
      <c r="G123" s="210" t="n">
        <f aca="false">IFERROR(LOOKUP(2,1/((tblCompras[Produto]=$B123)*(tblCompras[Unid.]=$C123)*(tblCompras[Preço Unit.]=$E123)),tblCompras[Data]),"")</f>
        <v>46159</v>
      </c>
      <c r="H123" s="200" t="n">
        <f aca="false">IFERROR(_xlfn.MAXIFS(tblCompras[Preço Unit.],tblCompras[Produto],$B123,tblCompras[Unid.],$C123),"")</f>
        <v>11.6</v>
      </c>
      <c r="I123" s="209" t="str">
        <f aca="false">IFERROR(LOOKUP(2,1/((tblCompras[Produto]=$B123)*(tblCompras[Unid.]=$C123)*(tblCompras[Preço Unit.]=$H123)),tblCompras[Mercado]),"")</f>
        <v>Supermercados Nori</v>
      </c>
      <c r="J123" s="210" t="n">
        <f aca="false">IFERROR(LOOKUP(2,1/((tblCompras[Produto]=$B123)*(tblCompras[Unid.]=$C123)*(tblCompras[Preço Unit.]=$H123)),tblCompras[Data]),"")</f>
        <v>46159</v>
      </c>
      <c r="K123" s="211" t="n">
        <f aca="false">IF(OR($E123="",$H123=""),"",MAX(0,$H123-$E123))</f>
        <v>0</v>
      </c>
      <c r="L123" s="212" t="n">
        <f aca="false">IF(OR($E123="",$H123="",$E123=0),"",($H123-$E123)/$E123)</f>
        <v>0</v>
      </c>
      <c r="M123" s="200" t="n">
        <f aca="false">IFERROR(LOOKUP(2,1/((tblCompras[Produto]=$B123)*(tblCompras[Unid.]=$C123)*(tblCompras[Data]=_xlfn.MAXIFS(tblCompras[Data],tblCompras[Produto],$B123,tblCompras[Unid.],$C123))),tblCompras[Preço Unit.]),"")</f>
        <v>11.6</v>
      </c>
      <c r="N123" s="209" t="str">
        <f aca="false">IFERROR(LOOKUP(2,1/((tblCompras[Produto]=$B123)*(tblCompras[Unid.]=$C123)*(tblCompras[Data]=_xlfn.MAXIFS(tblCompras[Data],tblCompras[Produto],$B123,tblCompras[Unid.],$C123))),tblCompras[Mercado])&amp;" · "&amp;TEXT(DAY(_xlfn.MAXIFS(tblCompras[Data],tblCompras[Produto],$B123,tblCompras[Unid.],$C123)),"00")&amp;"/"&amp;TEXT(MONTH(_xlfn.MAXIFS(tblCompras[Data],tblCompras[Produto],$B123,tblCompras[Unid.],$C123)),"00")&amp;"/"&amp;TEXT(MOD(YEAR(_xlfn.MAXIFS(tblCompras[Data],tblCompras[Produto],$B123,tblCompras[Unid.],$C123)),100),"00"),"")</f>
        <v>Supermercados Nori · 17/05/26</v>
      </c>
      <c r="O123" s="1"/>
      <c r="P123" s="1" t="str">
        <f aca="false">IF(AND(ISNUMBER($K123),$K123&gt;0,OR($B$6="Todas",$D123=$B$6)),$K123+ROW()/100000,"")</f>
        <v/>
      </c>
      <c r="Q123" s="1"/>
      <c r="R123" s="1"/>
      <c r="S123" s="1"/>
      <c r="T123" s="1"/>
    </row>
    <row r="124" customFormat="false" ht="15" hidden="false" customHeight="false" outlineLevel="0" collapsed="false">
      <c r="A124" s="1"/>
      <c r="B124" s="202" t="s">
        <v>233</v>
      </c>
      <c r="C124" s="213" t="s">
        <v>179</v>
      </c>
      <c r="D124" s="202" t="s">
        <v>12</v>
      </c>
      <c r="E124" s="205" t="n">
        <f aca="false">IFERROR(_xlfn.MINIFS(tblCompras[Preço Unit.],tblCompras[Produto],$B124,tblCompras[Unid.],$C124),"")</f>
        <v>23</v>
      </c>
      <c r="F124" s="213" t="str">
        <f aca="false">IFERROR(LOOKUP(2,1/((tblCompras[Produto]=$B124)*(tblCompras[Unid.]=$C124)*(tblCompras[Preço Unit.]=$E124)),tblCompras[Mercado]),"")</f>
        <v>Supermercados Nori</v>
      </c>
      <c r="G124" s="214" t="n">
        <f aca="false">IFERROR(LOOKUP(2,1/((tblCompras[Produto]=$B124)*(tblCompras[Unid.]=$C124)*(tblCompras[Preço Unit.]=$E124)),tblCompras[Data]),"")</f>
        <v>46147</v>
      </c>
      <c r="H124" s="205" t="n">
        <f aca="false">IFERROR(_xlfn.MAXIFS(tblCompras[Preço Unit.],tblCompras[Produto],$B124,tblCompras[Unid.],$C124),"")</f>
        <v>23</v>
      </c>
      <c r="I124" s="213" t="str">
        <f aca="false">IFERROR(LOOKUP(2,1/((tblCompras[Produto]=$B124)*(tblCompras[Unid.]=$C124)*(tblCompras[Preço Unit.]=$H124)),tblCompras[Mercado]),"")</f>
        <v>Supermercados Nori</v>
      </c>
      <c r="J124" s="214" t="n">
        <f aca="false">IFERROR(LOOKUP(2,1/((tblCompras[Produto]=$B124)*(tblCompras[Unid.]=$C124)*(tblCompras[Preço Unit.]=$H124)),tblCompras[Data]),"")</f>
        <v>46147</v>
      </c>
      <c r="K124" s="215" t="n">
        <f aca="false">IF(OR($E124="",$H124=""),"",MAX(0,$H124-$E124))</f>
        <v>0</v>
      </c>
      <c r="L124" s="216" t="n">
        <f aca="false">IF(OR($E124="",$H124="",$E124=0),"",($H124-$E124)/$E124)</f>
        <v>0</v>
      </c>
      <c r="M124" s="205" t="n">
        <f aca="false">IFERROR(LOOKUP(2,1/((tblCompras[Produto]=$B124)*(tblCompras[Unid.]=$C124)*(tblCompras[Data]=_xlfn.MAXIFS(tblCompras[Data],tblCompras[Produto],$B124,tblCompras[Unid.],$C124))),tblCompras[Preço Unit.]),"")</f>
        <v>23</v>
      </c>
      <c r="N124" s="213" t="str">
        <f aca="false">IFERROR(LOOKUP(2,1/((tblCompras[Produto]=$B124)*(tblCompras[Unid.]=$C124)*(tblCompras[Data]=_xlfn.MAXIFS(tblCompras[Data],tblCompras[Produto],$B124,tblCompras[Unid.],$C124))),tblCompras[Mercado])&amp;" · "&amp;TEXT(DAY(_xlfn.MAXIFS(tblCompras[Data],tblCompras[Produto],$B124,tblCompras[Unid.],$C124)),"00")&amp;"/"&amp;TEXT(MONTH(_xlfn.MAXIFS(tblCompras[Data],tblCompras[Produto],$B124,tblCompras[Unid.],$C124)),"00")&amp;"/"&amp;TEXT(MOD(YEAR(_xlfn.MAXIFS(tblCompras[Data],tblCompras[Produto],$B124,tblCompras[Unid.],$C124)),100),"00"),"")</f>
        <v>Supermercados Nori · 05/05/26</v>
      </c>
      <c r="O124" s="1"/>
      <c r="P124" s="1" t="str">
        <f aca="false">IF(AND(ISNUMBER($K124),$K124&gt;0,OR($B$6="Todas",$D124=$B$6)),$K124+ROW()/100000,"")</f>
        <v/>
      </c>
      <c r="Q124" s="1"/>
      <c r="R124" s="1"/>
      <c r="S124" s="1"/>
      <c r="T124" s="1"/>
    </row>
    <row r="125" customFormat="false" ht="15" hidden="false" customHeight="false" outlineLevel="0" collapsed="false">
      <c r="A125" s="1"/>
      <c r="B125" s="197" t="s">
        <v>615</v>
      </c>
      <c r="C125" s="209" t="s">
        <v>179</v>
      </c>
      <c r="D125" s="197" t="s">
        <v>12</v>
      </c>
      <c r="E125" s="200" t="n">
        <f aca="false">IFERROR(_xlfn.MINIFS(tblCompras[Preço Unit.],tblCompras[Produto],$B125,tblCompras[Unid.],$C125),"")</f>
        <v>27</v>
      </c>
      <c r="F125" s="209" t="str">
        <f aca="false">IFERROR(LOOKUP(2,1/((tblCompras[Produto]=$B125)*(tblCompras[Unid.]=$C125)*(tblCompras[Preço Unit.]=$E125)),tblCompras[Mercado]),"")</f>
        <v>Supermercados Nori</v>
      </c>
      <c r="G125" s="210" t="n">
        <f aca="false">IFERROR(LOOKUP(2,1/((tblCompras[Produto]=$B125)*(tblCompras[Unid.]=$C125)*(tblCompras[Preço Unit.]=$E125)),tblCompras[Data]),"")</f>
        <v>46176</v>
      </c>
      <c r="H125" s="200" t="n">
        <f aca="false">IFERROR(_xlfn.MAXIFS(tblCompras[Preço Unit.],tblCompras[Produto],$B125,tblCompras[Unid.],$C125),"")</f>
        <v>27</v>
      </c>
      <c r="I125" s="209" t="str">
        <f aca="false">IFERROR(LOOKUP(2,1/((tblCompras[Produto]=$B125)*(tblCompras[Unid.]=$C125)*(tblCompras[Preço Unit.]=$H125)),tblCompras[Mercado]),"")</f>
        <v>Supermercados Nori</v>
      </c>
      <c r="J125" s="210" t="n">
        <f aca="false">IFERROR(LOOKUP(2,1/((tblCompras[Produto]=$B125)*(tblCompras[Unid.]=$C125)*(tblCompras[Preço Unit.]=$H125)),tblCompras[Data]),"")</f>
        <v>46176</v>
      </c>
      <c r="K125" s="211" t="n">
        <f aca="false">IF(OR($E125="",$H125=""),"",MAX(0,$H125-$E125))</f>
        <v>0</v>
      </c>
      <c r="L125" s="212" t="n">
        <f aca="false">IF(OR($E125="",$H125="",$E125=0),"",($H125-$E125)/$E125)</f>
        <v>0</v>
      </c>
      <c r="M125" s="200" t="n">
        <f aca="false">IFERROR(LOOKUP(2,1/((tblCompras[Produto]=$B125)*(tblCompras[Unid.]=$C125)*(tblCompras[Data]=_xlfn.MAXIFS(tblCompras[Data],tblCompras[Produto],$B125,tblCompras[Unid.],$C125))),tblCompras[Preço Unit.]),"")</f>
        <v>27</v>
      </c>
      <c r="N125" s="209" t="str">
        <f aca="false">IFERROR(LOOKUP(2,1/((tblCompras[Produto]=$B125)*(tblCompras[Unid.]=$C125)*(tblCompras[Data]=_xlfn.MAXIFS(tblCompras[Data],tblCompras[Produto],$B125,tblCompras[Unid.],$C125))),tblCompras[Mercado])&amp;" · "&amp;TEXT(DAY(_xlfn.MAXIFS(tblCompras[Data],tblCompras[Produto],$B125,tblCompras[Unid.],$C125)),"00")&amp;"/"&amp;TEXT(MONTH(_xlfn.MAXIFS(tblCompras[Data],tblCompras[Produto],$B125,tblCompras[Unid.],$C125)),"00")&amp;"/"&amp;TEXT(MOD(YEAR(_xlfn.MAXIFS(tblCompras[Data],tblCompras[Produto],$B125,tblCompras[Unid.],$C125)),100),"00"),"")</f>
        <v>Supermercados Nori · 03/06/26</v>
      </c>
      <c r="O125" s="1"/>
      <c r="P125" s="1" t="str">
        <f aca="false">IF(AND(ISNUMBER($K125),$K125&gt;0,OR($B$6="Todas",$D125=$B$6)),$K125+ROW()/100000,"")</f>
        <v/>
      </c>
      <c r="Q125" s="1"/>
      <c r="R125" s="1"/>
      <c r="S125" s="1"/>
      <c r="T125" s="1"/>
    </row>
    <row r="126" customFormat="false" ht="15" hidden="false" customHeight="false" outlineLevel="0" collapsed="false">
      <c r="A126" s="1"/>
      <c r="B126" s="202" t="s">
        <v>254</v>
      </c>
      <c r="C126" s="213" t="s">
        <v>179</v>
      </c>
      <c r="D126" s="202" t="s">
        <v>12</v>
      </c>
      <c r="E126" s="205" t="n">
        <f aca="false">IFERROR(_xlfn.MINIFS(tblCompras[Preço Unit.],tblCompras[Produto],$B126,tblCompras[Unid.],$C126),"")</f>
        <v>7.6</v>
      </c>
      <c r="F126" s="213" t="str">
        <f aca="false">IFERROR(LOOKUP(2,1/((tblCompras[Produto]=$B126)*(tblCompras[Unid.]=$C126)*(tblCompras[Preço Unit.]=$E126)),tblCompras[Mercado]),"")</f>
        <v>Supermercados Nori</v>
      </c>
      <c r="G126" s="214" t="n">
        <f aca="false">IFERROR(LOOKUP(2,1/((tblCompras[Produto]=$B126)*(tblCompras[Unid.]=$C126)*(tblCompras[Preço Unit.]=$E126)),tblCompras[Data]),"")</f>
        <v>46207</v>
      </c>
      <c r="H126" s="205" t="n">
        <f aca="false">IFERROR(_xlfn.MAXIFS(tblCompras[Preço Unit.],tblCompras[Produto],$B126,tblCompras[Unid.],$C126),"")</f>
        <v>7.7</v>
      </c>
      <c r="I126" s="213" t="str">
        <f aca="false">IFERROR(LOOKUP(2,1/((tblCompras[Produto]=$B126)*(tblCompras[Unid.]=$C126)*(tblCompras[Preço Unit.]=$H126)),tblCompras[Mercado]),"")</f>
        <v>Supermercados Nori</v>
      </c>
      <c r="J126" s="214" t="n">
        <f aca="false">IFERROR(LOOKUP(2,1/((tblCompras[Produto]=$B126)*(tblCompras[Unid.]=$C126)*(tblCompras[Preço Unit.]=$H126)),tblCompras[Data]),"")</f>
        <v>46147</v>
      </c>
      <c r="K126" s="215" t="n">
        <f aca="false">IF(OR($E126="",$H126=""),"",MAX(0,$H126-$E126))</f>
        <v>0.100000000000001</v>
      </c>
      <c r="L126" s="216" t="n">
        <f aca="false">IF(OR($E126="",$H126="",$E126=0),"",($H126-$E126)/$E126)</f>
        <v>0.0131578947368422</v>
      </c>
      <c r="M126" s="205" t="n">
        <f aca="false">IFERROR(LOOKUP(2,1/((tblCompras[Produto]=$B126)*(tblCompras[Unid.]=$C126)*(tblCompras[Data]=_xlfn.MAXIFS(tblCompras[Data],tblCompras[Produto],$B126,tblCompras[Unid.],$C126))),tblCompras[Preço Unit.]),"")</f>
        <v>7.6</v>
      </c>
      <c r="N126" s="213" t="str">
        <f aca="false">IFERROR(LOOKUP(2,1/((tblCompras[Produto]=$B126)*(tblCompras[Unid.]=$C126)*(tblCompras[Data]=_xlfn.MAXIFS(tblCompras[Data],tblCompras[Produto],$B126,tblCompras[Unid.],$C126))),tblCompras[Mercado])&amp;" · "&amp;TEXT(DAY(_xlfn.MAXIFS(tblCompras[Data],tblCompras[Produto],$B126,tblCompras[Unid.],$C126)),"00")&amp;"/"&amp;TEXT(MONTH(_xlfn.MAXIFS(tblCompras[Data],tblCompras[Produto],$B126,tblCompras[Unid.],$C126)),"00")&amp;"/"&amp;TEXT(MOD(YEAR(_xlfn.MAXIFS(tblCompras[Data],tblCompras[Produto],$B126,tblCompras[Unid.],$C126)),100),"00"),"")</f>
        <v>Supermercados Nori · 04/07/26</v>
      </c>
      <c r="O126" s="1"/>
      <c r="P126" s="1" t="n">
        <f aca="false">IF(AND(ISNUMBER($K126),$K126&gt;0,OR($B$6="Todas",$D126=$B$6)),$K126+ROW()/100000,"")</f>
        <v>0.101260000000001</v>
      </c>
      <c r="Q126" s="1"/>
      <c r="R126" s="1"/>
      <c r="S126" s="1"/>
      <c r="T126" s="1"/>
    </row>
    <row r="127" customFormat="false" ht="15" hidden="false" customHeight="false" outlineLevel="0" collapsed="false">
      <c r="A127" s="1"/>
      <c r="B127" s="197" t="s">
        <v>810</v>
      </c>
      <c r="C127" s="209" t="s">
        <v>179</v>
      </c>
      <c r="D127" s="197" t="s">
        <v>12</v>
      </c>
      <c r="E127" s="200" t="n">
        <f aca="false">IFERROR(_xlfn.MINIFS(tblCompras[Preço Unit.],tblCompras[Produto],$B127,tblCompras[Unid.],$C127),"")</f>
        <v>7.6</v>
      </c>
      <c r="F127" s="209" t="str">
        <f aca="false">IFERROR(LOOKUP(2,1/((tblCompras[Produto]=$B127)*(tblCompras[Unid.]=$C127)*(tblCompras[Preço Unit.]=$E127)),tblCompras[Mercado]),"")</f>
        <v>Supermercados Nori</v>
      </c>
      <c r="G127" s="210" t="n">
        <f aca="false">IFERROR(LOOKUP(2,1/((tblCompras[Produto]=$B127)*(tblCompras[Unid.]=$C127)*(tblCompras[Preço Unit.]=$E127)),tblCompras[Data]),"")</f>
        <v>46166</v>
      </c>
      <c r="H127" s="200" t="n">
        <f aca="false">IFERROR(_xlfn.MAXIFS(tblCompras[Preço Unit.],tblCompras[Produto],$B127,tblCompras[Unid.],$C127),"")</f>
        <v>7.6</v>
      </c>
      <c r="I127" s="209" t="str">
        <f aca="false">IFERROR(LOOKUP(2,1/((tblCompras[Produto]=$B127)*(tblCompras[Unid.]=$C127)*(tblCompras[Preço Unit.]=$H127)),tblCompras[Mercado]),"")</f>
        <v>Supermercados Nori</v>
      </c>
      <c r="J127" s="210" t="n">
        <f aca="false">IFERROR(LOOKUP(2,1/((tblCompras[Produto]=$B127)*(tblCompras[Unid.]=$C127)*(tblCompras[Preço Unit.]=$H127)),tblCompras[Data]),"")</f>
        <v>46166</v>
      </c>
      <c r="K127" s="211" t="n">
        <f aca="false">IF(OR($E127="",$H127=""),"",MAX(0,$H127-$E127))</f>
        <v>0</v>
      </c>
      <c r="L127" s="212" t="n">
        <f aca="false">IF(OR($E127="",$H127="",$E127=0),"",($H127-$E127)/$E127)</f>
        <v>0</v>
      </c>
      <c r="M127" s="200" t="n">
        <f aca="false">IFERROR(LOOKUP(2,1/((tblCompras[Produto]=$B127)*(tblCompras[Unid.]=$C127)*(tblCompras[Data]=_xlfn.MAXIFS(tblCompras[Data],tblCompras[Produto],$B127,tblCompras[Unid.],$C127))),tblCompras[Preço Unit.]),"")</f>
        <v>7.6</v>
      </c>
      <c r="N127" s="209" t="str">
        <f aca="false">IFERROR(LOOKUP(2,1/((tblCompras[Produto]=$B127)*(tblCompras[Unid.]=$C127)*(tblCompras[Data]=_xlfn.MAXIFS(tblCompras[Data],tblCompras[Produto],$B127,tblCompras[Unid.],$C127))),tblCompras[Mercado])&amp;" · "&amp;TEXT(DAY(_xlfn.MAXIFS(tblCompras[Data],tblCompras[Produto],$B127,tblCompras[Unid.],$C127)),"00")&amp;"/"&amp;TEXT(MONTH(_xlfn.MAXIFS(tblCompras[Data],tblCompras[Produto],$B127,tblCompras[Unid.],$C127)),"00")&amp;"/"&amp;TEXT(MOD(YEAR(_xlfn.MAXIFS(tblCompras[Data],tblCompras[Produto],$B127,tblCompras[Unid.],$C127)),100),"00"),"")</f>
        <v>Supermercados Nori · 24/05/26</v>
      </c>
      <c r="O127" s="1"/>
      <c r="P127" s="1" t="str">
        <f aca="false">IF(AND(ISNUMBER($K127),$K127&gt;0,OR($B$6="Todas",$D127=$B$6)),$K127+ROW()/100000,"")</f>
        <v/>
      </c>
      <c r="Q127" s="1"/>
      <c r="R127" s="1"/>
      <c r="S127" s="1"/>
      <c r="T127" s="1"/>
    </row>
    <row r="128" customFormat="false" ht="15" hidden="false" customHeight="false" outlineLevel="0" collapsed="false">
      <c r="A128" s="1"/>
      <c r="B128" s="202" t="s">
        <v>547</v>
      </c>
      <c r="C128" s="213" t="s">
        <v>179</v>
      </c>
      <c r="D128" s="202" t="s">
        <v>12</v>
      </c>
      <c r="E128" s="205" t="n">
        <f aca="false">IFERROR(_xlfn.MINIFS(tblCompras[Preço Unit.],tblCompras[Produto],$B128,tblCompras[Unid.],$C128),"")</f>
        <v>23</v>
      </c>
      <c r="F128" s="213" t="str">
        <f aca="false">IFERROR(LOOKUP(2,1/((tblCompras[Produto]=$B128)*(tblCompras[Unid.]=$C128)*(tblCompras[Preço Unit.]=$E128)),tblCompras[Mercado]),"")</f>
        <v>Supermercados Nori</v>
      </c>
      <c r="G128" s="214" t="n">
        <f aca="false">IFERROR(LOOKUP(2,1/((tblCompras[Produto]=$B128)*(tblCompras[Unid.]=$C128)*(tblCompras[Preço Unit.]=$E128)),tblCompras[Data]),"")</f>
        <v>46193</v>
      </c>
      <c r="H128" s="205" t="n">
        <f aca="false">IFERROR(_xlfn.MAXIFS(tblCompras[Preço Unit.],tblCompras[Produto],$B128,tblCompras[Unid.],$C128),"")</f>
        <v>31.7</v>
      </c>
      <c r="I128" s="213" t="str">
        <f aca="false">IFERROR(LOOKUP(2,1/((tblCompras[Produto]=$B128)*(tblCompras[Unid.]=$C128)*(tblCompras[Preço Unit.]=$H128)),tblCompras[Mercado]),"")</f>
        <v>Supermercados Nori</v>
      </c>
      <c r="J128" s="214" t="n">
        <f aca="false">IFERROR(LOOKUP(2,1/((tblCompras[Produto]=$B128)*(tblCompras[Unid.]=$C128)*(tblCompras[Preço Unit.]=$H128)),tblCompras[Data]),"")</f>
        <v>46173</v>
      </c>
      <c r="K128" s="215" t="n">
        <f aca="false">IF(OR($E128="",$H128=""),"",MAX(0,$H128-$E128))</f>
        <v>8.7</v>
      </c>
      <c r="L128" s="216" t="n">
        <f aca="false">IF(OR($E128="",$H128="",$E128=0),"",($H128-$E128)/$E128)</f>
        <v>0.378260869565217</v>
      </c>
      <c r="M128" s="205" t="n">
        <f aca="false">IFERROR(LOOKUP(2,1/((tblCompras[Produto]=$B128)*(tblCompras[Unid.]=$C128)*(tblCompras[Data]=_xlfn.MAXIFS(tblCompras[Data],tblCompras[Produto],$B128,tblCompras[Unid.],$C128))),tblCompras[Preço Unit.]),"")</f>
        <v>23</v>
      </c>
      <c r="N128" s="213" t="str">
        <f aca="false">IFERROR(LOOKUP(2,1/((tblCompras[Produto]=$B128)*(tblCompras[Unid.]=$C128)*(tblCompras[Data]=_xlfn.MAXIFS(tblCompras[Data],tblCompras[Produto],$B128,tblCompras[Unid.],$C128))),tblCompras[Mercado])&amp;" · "&amp;TEXT(DAY(_xlfn.MAXIFS(tblCompras[Data],tblCompras[Produto],$B128,tblCompras[Unid.],$C128)),"00")&amp;"/"&amp;TEXT(MONTH(_xlfn.MAXIFS(tblCompras[Data],tblCompras[Produto],$B128,tblCompras[Unid.],$C128)),"00")&amp;"/"&amp;TEXT(MOD(YEAR(_xlfn.MAXIFS(tblCompras[Data],tblCompras[Produto],$B128,tblCompras[Unid.],$C128)),100),"00"),"")</f>
        <v>Supermercados Nori · 20/06/26</v>
      </c>
      <c r="O128" s="1"/>
      <c r="P128" s="1" t="n">
        <f aca="false">IF(AND(ISNUMBER($K128),$K128&gt;0,OR($B$6="Todas",$D128=$B$6)),$K128+ROW()/100000,"")</f>
        <v>8.70128</v>
      </c>
      <c r="Q128" s="1"/>
      <c r="R128" s="1"/>
      <c r="S128" s="1"/>
      <c r="T128" s="1"/>
    </row>
    <row r="129" customFormat="false" ht="15" hidden="false" customHeight="false" outlineLevel="0" collapsed="false">
      <c r="A129" s="1"/>
      <c r="B129" s="197" t="s">
        <v>1122</v>
      </c>
      <c r="C129" s="209" t="s">
        <v>179</v>
      </c>
      <c r="D129" s="197" t="s">
        <v>12</v>
      </c>
      <c r="E129" s="200" t="n">
        <f aca="false">IFERROR(_xlfn.MINIFS(tblCompras[Preço Unit.],tblCompras[Produto],$B129,tblCompras[Unid.],$C129),"")</f>
        <v>29.99</v>
      </c>
      <c r="F129" s="209" t="str">
        <f aca="false">IFERROR(LOOKUP(2,1/((tblCompras[Produto]=$B129)*(tblCompras[Unid.]=$C129)*(tblCompras[Preço Unit.]=$E129)),tblCompras[Mercado]),"")</f>
        <v>Andre Novato Ribeiro</v>
      </c>
      <c r="G129" s="210" t="n">
        <f aca="false">IFERROR(LOOKUP(2,1/((tblCompras[Produto]=$B129)*(tblCompras[Unid.]=$C129)*(tblCompras[Preço Unit.]=$E129)),tblCompras[Data]),"")</f>
        <v>46156</v>
      </c>
      <c r="H129" s="200" t="n">
        <f aca="false">IFERROR(_xlfn.MAXIFS(tblCompras[Preço Unit.],tblCompras[Produto],$B129,tblCompras[Unid.],$C129),"")</f>
        <v>29.99</v>
      </c>
      <c r="I129" s="209" t="str">
        <f aca="false">IFERROR(LOOKUP(2,1/((tblCompras[Produto]=$B129)*(tblCompras[Unid.]=$C129)*(tblCompras[Preço Unit.]=$H129)),tblCompras[Mercado]),"")</f>
        <v>Andre Novato Ribeiro</v>
      </c>
      <c r="J129" s="210" t="n">
        <f aca="false">IFERROR(LOOKUP(2,1/((tblCompras[Produto]=$B129)*(tblCompras[Unid.]=$C129)*(tblCompras[Preço Unit.]=$H129)),tblCompras[Data]),"")</f>
        <v>46156</v>
      </c>
      <c r="K129" s="211" t="n">
        <f aca="false">IF(OR($E129="",$H129=""),"",MAX(0,$H129-$E129))</f>
        <v>0</v>
      </c>
      <c r="L129" s="212" t="n">
        <f aca="false">IF(OR($E129="",$H129="",$E129=0),"",($H129-$E129)/$E129)</f>
        <v>0</v>
      </c>
      <c r="M129" s="200" t="n">
        <f aca="false">IFERROR(LOOKUP(2,1/((tblCompras[Produto]=$B129)*(tblCompras[Unid.]=$C129)*(tblCompras[Data]=_xlfn.MAXIFS(tblCompras[Data],tblCompras[Produto],$B129,tblCompras[Unid.],$C129))),tblCompras[Preço Unit.]),"")</f>
        <v>29.99</v>
      </c>
      <c r="N129" s="209" t="str">
        <f aca="false">IFERROR(LOOKUP(2,1/((tblCompras[Produto]=$B129)*(tblCompras[Unid.]=$C129)*(tblCompras[Data]=_xlfn.MAXIFS(tblCompras[Data],tblCompras[Produto],$B129,tblCompras[Unid.],$C129))),tblCompras[Mercado])&amp;" · "&amp;TEXT(DAY(_xlfn.MAXIFS(tblCompras[Data],tblCompras[Produto],$B129,tblCompras[Unid.],$C129)),"00")&amp;"/"&amp;TEXT(MONTH(_xlfn.MAXIFS(tblCompras[Data],tblCompras[Produto],$B129,tblCompras[Unid.],$C129)),"00")&amp;"/"&amp;TEXT(MOD(YEAR(_xlfn.MAXIFS(tblCompras[Data],tblCompras[Produto],$B129,tblCompras[Unid.],$C129)),100),"00"),"")</f>
        <v>Andre Novato Ribeiro · 14/05/26</v>
      </c>
      <c r="O129" s="1"/>
      <c r="P129" s="1" t="str">
        <f aca="false">IF(AND(ISNUMBER($K129),$K129&gt;0,OR($B$6="Todas",$D129=$B$6)),$K129+ROW()/100000,"")</f>
        <v/>
      </c>
      <c r="Q129" s="1"/>
      <c r="R129" s="1"/>
      <c r="S129" s="1"/>
      <c r="T129" s="1"/>
    </row>
    <row r="130" customFormat="false" ht="15" hidden="false" customHeight="false" outlineLevel="0" collapsed="false">
      <c r="A130" s="1"/>
      <c r="B130" s="202" t="s">
        <v>1063</v>
      </c>
      <c r="C130" s="213" t="s">
        <v>179</v>
      </c>
      <c r="D130" s="202" t="s">
        <v>12</v>
      </c>
      <c r="E130" s="205" t="n">
        <f aca="false">IFERROR(_xlfn.MINIFS(tblCompras[Preço Unit.],tblCompras[Produto],$B130,tblCompras[Unid.],$C130),"")</f>
        <v>21</v>
      </c>
      <c r="F130" s="213" t="str">
        <f aca="false">IFERROR(LOOKUP(2,1/((tblCompras[Produto]=$B130)*(tblCompras[Unid.]=$C130)*(tblCompras[Preço Unit.]=$E130)),tblCompras[Mercado]),"")</f>
        <v>Supermercados Nori</v>
      </c>
      <c r="G130" s="214" t="n">
        <f aca="false">IFERROR(LOOKUP(2,1/((tblCompras[Produto]=$B130)*(tblCompras[Unid.]=$C130)*(tblCompras[Preço Unit.]=$E130)),tblCompras[Data]),"")</f>
        <v>46157</v>
      </c>
      <c r="H130" s="205" t="n">
        <f aca="false">IFERROR(_xlfn.MAXIFS(tblCompras[Preço Unit.],tblCompras[Produto],$B130,tblCompras[Unid.],$C130),"")</f>
        <v>21</v>
      </c>
      <c r="I130" s="213" t="str">
        <f aca="false">IFERROR(LOOKUP(2,1/((tblCompras[Produto]=$B130)*(tblCompras[Unid.]=$C130)*(tblCompras[Preço Unit.]=$H130)),tblCompras[Mercado]),"")</f>
        <v>Supermercados Nori</v>
      </c>
      <c r="J130" s="214" t="n">
        <f aca="false">IFERROR(LOOKUP(2,1/((tblCompras[Produto]=$B130)*(tblCompras[Unid.]=$C130)*(tblCompras[Preço Unit.]=$H130)),tblCompras[Data]),"")</f>
        <v>46157</v>
      </c>
      <c r="K130" s="215" t="n">
        <f aca="false">IF(OR($E130="",$H130=""),"",MAX(0,$H130-$E130))</f>
        <v>0</v>
      </c>
      <c r="L130" s="216" t="n">
        <f aca="false">IF(OR($E130="",$H130="",$E130=0),"",($H130-$E130)/$E130)</f>
        <v>0</v>
      </c>
      <c r="M130" s="205" t="n">
        <f aca="false">IFERROR(LOOKUP(2,1/((tblCompras[Produto]=$B130)*(tblCompras[Unid.]=$C130)*(tblCompras[Data]=_xlfn.MAXIFS(tblCompras[Data],tblCompras[Produto],$B130,tblCompras[Unid.],$C130))),tblCompras[Preço Unit.]),"")</f>
        <v>21</v>
      </c>
      <c r="N130" s="213" t="str">
        <f aca="false">IFERROR(LOOKUP(2,1/((tblCompras[Produto]=$B130)*(tblCompras[Unid.]=$C130)*(tblCompras[Data]=_xlfn.MAXIFS(tblCompras[Data],tblCompras[Produto],$B130,tblCompras[Unid.],$C130))),tblCompras[Mercado])&amp;" · "&amp;TEXT(DAY(_xlfn.MAXIFS(tblCompras[Data],tblCompras[Produto],$B130,tblCompras[Unid.],$C130)),"00")&amp;"/"&amp;TEXT(MONTH(_xlfn.MAXIFS(tblCompras[Data],tblCompras[Produto],$B130,tblCompras[Unid.],$C130)),"00")&amp;"/"&amp;TEXT(MOD(YEAR(_xlfn.MAXIFS(tblCompras[Data],tblCompras[Produto],$B130,tblCompras[Unid.],$C130)),100),"00"),"")</f>
        <v>Supermercados Nori · 15/05/26</v>
      </c>
      <c r="O130" s="1"/>
      <c r="P130" s="1" t="str">
        <f aca="false">IF(AND(ISNUMBER($K130),$K130&gt;0,OR($B$6="Todas",$D130=$B$6)),$K130+ROW()/100000,"")</f>
        <v/>
      </c>
      <c r="Q130" s="1"/>
      <c r="R130" s="1"/>
      <c r="S130" s="1"/>
      <c r="T130" s="1"/>
    </row>
    <row r="131" customFormat="false" ht="15" hidden="false" customHeight="false" outlineLevel="0" collapsed="false">
      <c r="A131" s="1"/>
      <c r="B131" s="197" t="s">
        <v>1072</v>
      </c>
      <c r="C131" s="209" t="s">
        <v>179</v>
      </c>
      <c r="D131" s="197" t="s">
        <v>12</v>
      </c>
      <c r="E131" s="200" t="n">
        <f aca="false">IFERROR(_xlfn.MINIFS(tblCompras[Preço Unit.],tblCompras[Produto],$B131,tblCompras[Unid.],$C131),"")</f>
        <v>2.85</v>
      </c>
      <c r="F131" s="209" t="str">
        <f aca="false">IFERROR(LOOKUP(2,1/((tblCompras[Produto]=$B131)*(tblCompras[Unid.]=$C131)*(tblCompras[Preço Unit.]=$E131)),tblCompras[Mercado]),"")</f>
        <v>Supermercados Nori</v>
      </c>
      <c r="G131" s="210" t="n">
        <f aca="false">IFERROR(LOOKUP(2,1/((tblCompras[Produto]=$B131)*(tblCompras[Unid.]=$C131)*(tblCompras[Preço Unit.]=$E131)),tblCompras[Data]),"")</f>
        <v>46157</v>
      </c>
      <c r="H131" s="200" t="n">
        <f aca="false">IFERROR(_xlfn.MAXIFS(tblCompras[Preço Unit.],tblCompras[Produto],$B131,tblCompras[Unid.],$C131),"")</f>
        <v>2.85</v>
      </c>
      <c r="I131" s="209" t="str">
        <f aca="false">IFERROR(LOOKUP(2,1/((tblCompras[Produto]=$B131)*(tblCompras[Unid.]=$C131)*(tblCompras[Preço Unit.]=$H131)),tblCompras[Mercado]),"")</f>
        <v>Supermercados Nori</v>
      </c>
      <c r="J131" s="210" t="n">
        <f aca="false">IFERROR(LOOKUP(2,1/((tblCompras[Produto]=$B131)*(tblCompras[Unid.]=$C131)*(tblCompras[Preço Unit.]=$H131)),tblCompras[Data]),"")</f>
        <v>46157</v>
      </c>
      <c r="K131" s="211" t="n">
        <f aca="false">IF(OR($E131="",$H131=""),"",MAX(0,$H131-$E131))</f>
        <v>0</v>
      </c>
      <c r="L131" s="212" t="n">
        <f aca="false">IF(OR($E131="",$H131="",$E131=0),"",($H131-$E131)/$E131)</f>
        <v>0</v>
      </c>
      <c r="M131" s="200" t="n">
        <f aca="false">IFERROR(LOOKUP(2,1/((tblCompras[Produto]=$B131)*(tblCompras[Unid.]=$C131)*(tblCompras[Data]=_xlfn.MAXIFS(tblCompras[Data],tblCompras[Produto],$B131,tblCompras[Unid.],$C131))),tblCompras[Preço Unit.]),"")</f>
        <v>2.85</v>
      </c>
      <c r="N131" s="209" t="str">
        <f aca="false">IFERROR(LOOKUP(2,1/((tblCompras[Produto]=$B131)*(tblCompras[Unid.]=$C131)*(tblCompras[Data]=_xlfn.MAXIFS(tblCompras[Data],tblCompras[Produto],$B131,tblCompras[Unid.],$C131))),tblCompras[Mercado])&amp;" · "&amp;TEXT(DAY(_xlfn.MAXIFS(tblCompras[Data],tblCompras[Produto],$B131,tblCompras[Unid.],$C131)),"00")&amp;"/"&amp;TEXT(MONTH(_xlfn.MAXIFS(tblCompras[Data],tblCompras[Produto],$B131,tblCompras[Unid.],$C131)),"00")&amp;"/"&amp;TEXT(MOD(YEAR(_xlfn.MAXIFS(tblCompras[Data],tblCompras[Produto],$B131,tblCompras[Unid.],$C131)),100),"00"),"")</f>
        <v>Supermercados Nori · 15/05/26</v>
      </c>
      <c r="O131" s="1"/>
      <c r="P131" s="1" t="str">
        <f aca="false">IF(AND(ISNUMBER($K131),$K131&gt;0,OR($B$6="Todas",$D131=$B$6)),$K131+ROW()/100000,"")</f>
        <v/>
      </c>
      <c r="Q131" s="1"/>
      <c r="R131" s="1"/>
      <c r="S131" s="1"/>
      <c r="T131" s="1"/>
    </row>
    <row r="132" customFormat="false" ht="15" hidden="false" customHeight="false" outlineLevel="0" collapsed="false">
      <c r="A132" s="1"/>
      <c r="B132" s="202" t="s">
        <v>1068</v>
      </c>
      <c r="C132" s="213" t="s">
        <v>179</v>
      </c>
      <c r="D132" s="202" t="s">
        <v>12</v>
      </c>
      <c r="E132" s="205" t="n">
        <f aca="false">IFERROR(_xlfn.MINIFS(tblCompras[Preço Unit.],tblCompras[Produto],$B132,tblCompras[Unid.],$C132),"")</f>
        <v>2.75</v>
      </c>
      <c r="F132" s="213" t="str">
        <f aca="false">IFERROR(LOOKUP(2,1/((tblCompras[Produto]=$B132)*(tblCompras[Unid.]=$C132)*(tblCompras[Preço Unit.]=$E132)),tblCompras[Mercado]),"")</f>
        <v>Supermercados Nori</v>
      </c>
      <c r="G132" s="214" t="n">
        <f aca="false">IFERROR(LOOKUP(2,1/((tblCompras[Produto]=$B132)*(tblCompras[Unid.]=$C132)*(tblCompras[Preço Unit.]=$E132)),tblCompras[Data]),"")</f>
        <v>46157</v>
      </c>
      <c r="H132" s="205" t="n">
        <f aca="false">IFERROR(_xlfn.MAXIFS(tblCompras[Preço Unit.],tblCompras[Produto],$B132,tblCompras[Unid.],$C132),"")</f>
        <v>2.75</v>
      </c>
      <c r="I132" s="213" t="str">
        <f aca="false">IFERROR(LOOKUP(2,1/((tblCompras[Produto]=$B132)*(tblCompras[Unid.]=$C132)*(tblCompras[Preço Unit.]=$H132)),tblCompras[Mercado]),"")</f>
        <v>Supermercados Nori</v>
      </c>
      <c r="J132" s="214" t="n">
        <f aca="false">IFERROR(LOOKUP(2,1/((tblCompras[Produto]=$B132)*(tblCompras[Unid.]=$C132)*(tblCompras[Preço Unit.]=$H132)),tblCompras[Data]),"")</f>
        <v>46157</v>
      </c>
      <c r="K132" s="215" t="n">
        <f aca="false">IF(OR($E132="",$H132=""),"",MAX(0,$H132-$E132))</f>
        <v>0</v>
      </c>
      <c r="L132" s="216" t="n">
        <f aca="false">IF(OR($E132="",$H132="",$E132=0),"",($H132-$E132)/$E132)</f>
        <v>0</v>
      </c>
      <c r="M132" s="205" t="n">
        <f aca="false">IFERROR(LOOKUP(2,1/((tblCompras[Produto]=$B132)*(tblCompras[Unid.]=$C132)*(tblCompras[Data]=_xlfn.MAXIFS(tblCompras[Data],tblCompras[Produto],$B132,tblCompras[Unid.],$C132))),tblCompras[Preço Unit.]),"")</f>
        <v>2.75</v>
      </c>
      <c r="N132" s="213" t="str">
        <f aca="false">IFERROR(LOOKUP(2,1/((tblCompras[Produto]=$B132)*(tblCompras[Unid.]=$C132)*(tblCompras[Data]=_xlfn.MAXIFS(tblCompras[Data],tblCompras[Produto],$B132,tblCompras[Unid.],$C132))),tblCompras[Mercado])&amp;" · "&amp;TEXT(DAY(_xlfn.MAXIFS(tblCompras[Data],tblCompras[Produto],$B132,tblCompras[Unid.],$C132)),"00")&amp;"/"&amp;TEXT(MONTH(_xlfn.MAXIFS(tblCompras[Data],tblCompras[Produto],$B132,tblCompras[Unid.],$C132)),"00")&amp;"/"&amp;TEXT(MOD(YEAR(_xlfn.MAXIFS(tblCompras[Data],tblCompras[Produto],$B132,tblCompras[Unid.],$C132)),100),"00"),"")</f>
        <v>Supermercados Nori · 15/05/26</v>
      </c>
      <c r="O132" s="1"/>
      <c r="P132" s="1" t="str">
        <f aca="false">IF(AND(ISNUMBER($K132),$K132&gt;0,OR($B$6="Todas",$D132=$B$6)),$K132+ROW()/100000,"")</f>
        <v/>
      </c>
      <c r="Q132" s="1"/>
      <c r="R132" s="1"/>
      <c r="S132" s="1"/>
      <c r="T132" s="1"/>
    </row>
    <row r="133" customFormat="false" ht="15" hidden="false" customHeight="false" outlineLevel="0" collapsed="false">
      <c r="A133" s="1"/>
      <c r="B133" s="197" t="s">
        <v>1071</v>
      </c>
      <c r="C133" s="209" t="s">
        <v>179</v>
      </c>
      <c r="D133" s="197" t="s">
        <v>12</v>
      </c>
      <c r="E133" s="200" t="n">
        <f aca="false">IFERROR(_xlfn.MINIFS(tblCompras[Preço Unit.],tblCompras[Produto],$B133,tblCompras[Unid.],$C133),"")</f>
        <v>3.5</v>
      </c>
      <c r="F133" s="209" t="str">
        <f aca="false">IFERROR(LOOKUP(2,1/((tblCompras[Produto]=$B133)*(tblCompras[Unid.]=$C133)*(tblCompras[Preço Unit.]=$E133)),tblCompras[Mercado]),"")</f>
        <v>Supermercados Nori</v>
      </c>
      <c r="G133" s="210" t="n">
        <f aca="false">IFERROR(LOOKUP(2,1/((tblCompras[Produto]=$B133)*(tblCompras[Unid.]=$C133)*(tblCompras[Preço Unit.]=$E133)),tblCompras[Data]),"")</f>
        <v>46157</v>
      </c>
      <c r="H133" s="200" t="n">
        <f aca="false">IFERROR(_xlfn.MAXIFS(tblCompras[Preço Unit.],tblCompras[Produto],$B133,tblCompras[Unid.],$C133),"")</f>
        <v>3.5</v>
      </c>
      <c r="I133" s="209" t="str">
        <f aca="false">IFERROR(LOOKUP(2,1/((tblCompras[Produto]=$B133)*(tblCompras[Unid.]=$C133)*(tblCompras[Preço Unit.]=$H133)),tblCompras[Mercado]),"")</f>
        <v>Supermercados Nori</v>
      </c>
      <c r="J133" s="210" t="n">
        <f aca="false">IFERROR(LOOKUP(2,1/((tblCompras[Produto]=$B133)*(tblCompras[Unid.]=$C133)*(tblCompras[Preço Unit.]=$H133)),tblCompras[Data]),"")</f>
        <v>46157</v>
      </c>
      <c r="K133" s="211" t="n">
        <f aca="false">IF(OR($E133="",$H133=""),"",MAX(0,$H133-$E133))</f>
        <v>0</v>
      </c>
      <c r="L133" s="212" t="n">
        <f aca="false">IF(OR($E133="",$H133="",$E133=0),"",($H133-$E133)/$E133)</f>
        <v>0</v>
      </c>
      <c r="M133" s="200" t="n">
        <f aca="false">IFERROR(LOOKUP(2,1/((tblCompras[Produto]=$B133)*(tblCompras[Unid.]=$C133)*(tblCompras[Data]=_xlfn.MAXIFS(tblCompras[Data],tblCompras[Produto],$B133,tblCompras[Unid.],$C133))),tblCompras[Preço Unit.]),"")</f>
        <v>3.5</v>
      </c>
      <c r="N133" s="209" t="str">
        <f aca="false">IFERROR(LOOKUP(2,1/((tblCompras[Produto]=$B133)*(tblCompras[Unid.]=$C133)*(tblCompras[Data]=_xlfn.MAXIFS(tblCompras[Data],tblCompras[Produto],$B133,tblCompras[Unid.],$C133))),tblCompras[Mercado])&amp;" · "&amp;TEXT(DAY(_xlfn.MAXIFS(tblCompras[Data],tblCompras[Produto],$B133,tblCompras[Unid.],$C133)),"00")&amp;"/"&amp;TEXT(MONTH(_xlfn.MAXIFS(tblCompras[Data],tblCompras[Produto],$B133,tblCompras[Unid.],$C133)),"00")&amp;"/"&amp;TEXT(MOD(YEAR(_xlfn.MAXIFS(tblCompras[Data],tblCompras[Produto],$B133,tblCompras[Unid.],$C133)),100),"00"),"")</f>
        <v>Supermercados Nori · 15/05/26</v>
      </c>
      <c r="O133" s="1"/>
      <c r="P133" s="1" t="str">
        <f aca="false">IF(AND(ISNUMBER($K133),$K133&gt;0,OR($B$6="Todas",$D133=$B$6)),$K133+ROW()/100000,"")</f>
        <v/>
      </c>
      <c r="Q133" s="1"/>
      <c r="R133" s="1"/>
      <c r="S133" s="1"/>
      <c r="T133" s="1"/>
    </row>
    <row r="134" customFormat="false" ht="15" hidden="false" customHeight="false" outlineLevel="0" collapsed="false">
      <c r="A134" s="1"/>
      <c r="B134" s="202" t="s">
        <v>552</v>
      </c>
      <c r="C134" s="213" t="s">
        <v>179</v>
      </c>
      <c r="D134" s="202" t="s">
        <v>12</v>
      </c>
      <c r="E134" s="205" t="n">
        <f aca="false">IFERROR(_xlfn.MINIFS(tblCompras[Preço Unit.],tblCompras[Produto],$B134,tblCompras[Unid.],$C134),"")</f>
        <v>4</v>
      </c>
      <c r="F134" s="213" t="str">
        <f aca="false">IFERROR(LOOKUP(2,1/((tblCompras[Produto]=$B134)*(tblCompras[Unid.]=$C134)*(tblCompras[Preço Unit.]=$E134)),tblCompras[Mercado]),"")</f>
        <v>Supermercados Nori</v>
      </c>
      <c r="G134" s="214" t="n">
        <f aca="false">IFERROR(LOOKUP(2,1/((tblCompras[Produto]=$B134)*(tblCompras[Unid.]=$C134)*(tblCompras[Preço Unit.]=$E134)),tblCompras[Data]),"")</f>
        <v>46173</v>
      </c>
      <c r="H134" s="205" t="n">
        <f aca="false">IFERROR(_xlfn.MAXIFS(tblCompras[Preço Unit.],tblCompras[Produto],$B134,tblCompras[Unid.],$C134),"")</f>
        <v>4</v>
      </c>
      <c r="I134" s="213" t="str">
        <f aca="false">IFERROR(LOOKUP(2,1/((tblCompras[Produto]=$B134)*(tblCompras[Unid.]=$C134)*(tblCompras[Preço Unit.]=$H134)),tblCompras[Mercado]),"")</f>
        <v>Supermercados Nori</v>
      </c>
      <c r="J134" s="214" t="n">
        <f aca="false">IFERROR(LOOKUP(2,1/((tblCompras[Produto]=$B134)*(tblCompras[Unid.]=$C134)*(tblCompras[Preço Unit.]=$H134)),tblCompras[Data]),"")</f>
        <v>46173</v>
      </c>
      <c r="K134" s="215" t="n">
        <f aca="false">IF(OR($E134="",$H134=""),"",MAX(0,$H134-$E134))</f>
        <v>0</v>
      </c>
      <c r="L134" s="216" t="n">
        <f aca="false">IF(OR($E134="",$H134="",$E134=0),"",($H134-$E134)/$E134)</f>
        <v>0</v>
      </c>
      <c r="M134" s="205" t="n">
        <f aca="false">IFERROR(LOOKUP(2,1/((tblCompras[Produto]=$B134)*(tblCompras[Unid.]=$C134)*(tblCompras[Data]=_xlfn.MAXIFS(tblCompras[Data],tblCompras[Produto],$B134,tblCompras[Unid.],$C134))),tblCompras[Preço Unit.]),"")</f>
        <v>4</v>
      </c>
      <c r="N134" s="213" t="str">
        <f aca="false">IFERROR(LOOKUP(2,1/((tblCompras[Produto]=$B134)*(tblCompras[Unid.]=$C134)*(tblCompras[Data]=_xlfn.MAXIFS(tblCompras[Data],tblCompras[Produto],$B134,tblCompras[Unid.],$C134))),tblCompras[Mercado])&amp;" · "&amp;TEXT(DAY(_xlfn.MAXIFS(tblCompras[Data],tblCompras[Produto],$B134,tblCompras[Unid.],$C134)),"00")&amp;"/"&amp;TEXT(MONTH(_xlfn.MAXIFS(tblCompras[Data],tblCompras[Produto],$B134,tblCompras[Unid.],$C134)),"00")&amp;"/"&amp;TEXT(MOD(YEAR(_xlfn.MAXIFS(tblCompras[Data],tblCompras[Produto],$B134,tblCompras[Unid.],$C134)),100),"00"),"")</f>
        <v>Supermercados Nori · 31/05/26</v>
      </c>
      <c r="O134" s="1"/>
      <c r="P134" s="1" t="str">
        <f aca="false">IF(AND(ISNUMBER($K134),$K134&gt;0,OR($B$6="Todas",$D134=$B$6)),$K134+ROW()/100000,"")</f>
        <v/>
      </c>
      <c r="Q134" s="1"/>
      <c r="R134" s="1"/>
      <c r="S134" s="1"/>
      <c r="T134" s="1"/>
    </row>
    <row r="135" customFormat="false" ht="15" hidden="false" customHeight="false" outlineLevel="0" collapsed="false">
      <c r="A135" s="1"/>
      <c r="B135" s="197" t="s">
        <v>308</v>
      </c>
      <c r="C135" s="209" t="s">
        <v>179</v>
      </c>
      <c r="D135" s="197" t="s">
        <v>12</v>
      </c>
      <c r="E135" s="200" t="n">
        <f aca="false">IFERROR(_xlfn.MINIFS(tblCompras[Preço Unit.],tblCompras[Produto],$B135,tblCompras[Unid.],$C135),"")</f>
        <v>1</v>
      </c>
      <c r="F135" s="209" t="str">
        <f aca="false">IFERROR(LOOKUP(2,1/((tblCompras[Produto]=$B135)*(tblCompras[Unid.]=$C135)*(tblCompras[Preço Unit.]=$E135)),tblCompras[Mercado]),"")</f>
        <v>Real Atacamix</v>
      </c>
      <c r="G135" s="210" t="n">
        <f aca="false">IFERROR(LOOKUP(2,1/((tblCompras[Produto]=$B135)*(tblCompras[Unid.]=$C135)*(tblCompras[Preço Unit.]=$E135)),tblCompras[Data]),"")</f>
        <v>46152</v>
      </c>
      <c r="H135" s="200" t="n">
        <f aca="false">IFERROR(_xlfn.MAXIFS(tblCompras[Preço Unit.],tblCompras[Produto],$B135,tblCompras[Unid.],$C135),"")</f>
        <v>1</v>
      </c>
      <c r="I135" s="209" t="str">
        <f aca="false">IFERROR(LOOKUP(2,1/((tblCompras[Produto]=$B135)*(tblCompras[Unid.]=$C135)*(tblCompras[Preço Unit.]=$H135)),tblCompras[Mercado]),"")</f>
        <v>Real Atacamix</v>
      </c>
      <c r="J135" s="210" t="n">
        <f aca="false">IFERROR(LOOKUP(2,1/((tblCompras[Produto]=$B135)*(tblCompras[Unid.]=$C135)*(tblCompras[Preço Unit.]=$H135)),tblCompras[Data]),"")</f>
        <v>46152</v>
      </c>
      <c r="K135" s="211" t="n">
        <f aca="false">IF(OR($E135="",$H135=""),"",MAX(0,$H135-$E135))</f>
        <v>0</v>
      </c>
      <c r="L135" s="212" t="n">
        <f aca="false">IF(OR($E135="",$H135="",$E135=0),"",($H135-$E135)/$E135)</f>
        <v>0</v>
      </c>
      <c r="M135" s="200" t="n">
        <f aca="false">IFERROR(LOOKUP(2,1/((tblCompras[Produto]=$B135)*(tblCompras[Unid.]=$C135)*(tblCompras[Data]=_xlfn.MAXIFS(tblCompras[Data],tblCompras[Produto],$B135,tblCompras[Unid.],$C135))),tblCompras[Preço Unit.]),"")</f>
        <v>1</v>
      </c>
      <c r="N135" s="209" t="str">
        <f aca="false">IFERROR(LOOKUP(2,1/((tblCompras[Produto]=$B135)*(tblCompras[Unid.]=$C135)*(tblCompras[Data]=_xlfn.MAXIFS(tblCompras[Data],tblCompras[Produto],$B135,tblCompras[Unid.],$C135))),tblCompras[Mercado])&amp;" · "&amp;TEXT(DAY(_xlfn.MAXIFS(tblCompras[Data],tblCompras[Produto],$B135,tblCompras[Unid.],$C135)),"00")&amp;"/"&amp;TEXT(MONTH(_xlfn.MAXIFS(tblCompras[Data],tblCompras[Produto],$B135,tblCompras[Unid.],$C135)),"00")&amp;"/"&amp;TEXT(MOD(YEAR(_xlfn.MAXIFS(tblCompras[Data],tblCompras[Produto],$B135,tblCompras[Unid.],$C135)),100),"00"),"")</f>
        <v>Real Atacamix · 10/05/26</v>
      </c>
      <c r="O135" s="1"/>
      <c r="P135" s="1" t="str">
        <f aca="false">IF(AND(ISNUMBER($K135),$K135&gt;0,OR($B$6="Todas",$D135=$B$6)),$K135+ROW()/100000,"")</f>
        <v/>
      </c>
      <c r="Q135" s="1"/>
      <c r="R135" s="1"/>
      <c r="S135" s="1"/>
      <c r="T135" s="1"/>
    </row>
    <row r="136" customFormat="false" ht="15" hidden="false" customHeight="false" outlineLevel="0" collapsed="false">
      <c r="A136" s="1"/>
      <c r="B136" s="202" t="s">
        <v>1147</v>
      </c>
      <c r="C136" s="213" t="s">
        <v>179</v>
      </c>
      <c r="D136" s="202" t="s">
        <v>12</v>
      </c>
      <c r="E136" s="205" t="n">
        <f aca="false">IFERROR(_xlfn.MINIFS(tblCompras[Preço Unit.],tblCompras[Produto],$B136,tblCompras[Unid.],$C136),"")</f>
        <v>11</v>
      </c>
      <c r="F136" s="213" t="str">
        <f aca="false">IFERROR(LOOKUP(2,1/((tblCompras[Produto]=$B136)*(tblCompras[Unid.]=$C136)*(tblCompras[Preço Unit.]=$E136)),tblCompras[Mercado]),"")</f>
        <v>Varejao Monteverde</v>
      </c>
      <c r="G136" s="214" t="n">
        <f aca="false">IFERROR(LOOKUP(2,1/((tblCompras[Produto]=$B136)*(tblCompras[Unid.]=$C136)*(tblCompras[Preço Unit.]=$E136)),tblCompras[Data]),"")</f>
        <v>46168</v>
      </c>
      <c r="H136" s="205" t="n">
        <f aca="false">IFERROR(_xlfn.MAXIFS(tblCompras[Preço Unit.],tblCompras[Produto],$B136,tblCompras[Unid.],$C136),"")</f>
        <v>11</v>
      </c>
      <c r="I136" s="213" t="str">
        <f aca="false">IFERROR(LOOKUP(2,1/((tblCompras[Produto]=$B136)*(tblCompras[Unid.]=$C136)*(tblCompras[Preço Unit.]=$H136)),tblCompras[Mercado]),"")</f>
        <v>Varejao Monteverde</v>
      </c>
      <c r="J136" s="214" t="n">
        <f aca="false">IFERROR(LOOKUP(2,1/((tblCompras[Produto]=$B136)*(tblCompras[Unid.]=$C136)*(tblCompras[Preço Unit.]=$H136)),tblCompras[Data]),"")</f>
        <v>46168</v>
      </c>
      <c r="K136" s="215" t="n">
        <f aca="false">IF(OR($E136="",$H136=""),"",MAX(0,$H136-$E136))</f>
        <v>0</v>
      </c>
      <c r="L136" s="216" t="n">
        <f aca="false">IF(OR($E136="",$H136="",$E136=0),"",($H136-$E136)/$E136)</f>
        <v>0</v>
      </c>
      <c r="M136" s="205" t="n">
        <f aca="false">IFERROR(LOOKUP(2,1/((tblCompras[Produto]=$B136)*(tblCompras[Unid.]=$C136)*(tblCompras[Data]=_xlfn.MAXIFS(tblCompras[Data],tblCompras[Produto],$B136,tblCompras[Unid.],$C136))),tblCompras[Preço Unit.]),"")</f>
        <v>11</v>
      </c>
      <c r="N136" s="213" t="str">
        <f aca="false">IFERROR(LOOKUP(2,1/((tblCompras[Produto]=$B136)*(tblCompras[Unid.]=$C136)*(tblCompras[Data]=_xlfn.MAXIFS(tblCompras[Data],tblCompras[Produto],$B136,tblCompras[Unid.],$C136))),tblCompras[Mercado])&amp;" · "&amp;TEXT(DAY(_xlfn.MAXIFS(tblCompras[Data],tblCompras[Produto],$B136,tblCompras[Unid.],$C136)),"00")&amp;"/"&amp;TEXT(MONTH(_xlfn.MAXIFS(tblCompras[Data],tblCompras[Produto],$B136,tblCompras[Unid.],$C136)),"00")&amp;"/"&amp;TEXT(MOD(YEAR(_xlfn.MAXIFS(tblCompras[Data],tblCompras[Produto],$B136,tblCompras[Unid.],$C136)),100),"00"),"")</f>
        <v>Varejao Monteverde · 26/05/26</v>
      </c>
      <c r="O136" s="1"/>
      <c r="P136" s="1" t="str">
        <f aca="false">IF(AND(ISNUMBER($K136),$K136&gt;0,OR($B$6="Todas",$D136=$B$6)),$K136+ROW()/100000,"")</f>
        <v/>
      </c>
      <c r="Q136" s="1"/>
      <c r="R136" s="1"/>
      <c r="S136" s="1"/>
      <c r="T136" s="1"/>
    </row>
    <row r="137" customFormat="false" ht="15" hidden="false" customHeight="false" outlineLevel="0" collapsed="false">
      <c r="A137" s="1"/>
      <c r="B137" s="197" t="s">
        <v>1069</v>
      </c>
      <c r="C137" s="209" t="s">
        <v>179</v>
      </c>
      <c r="D137" s="197" t="s">
        <v>12</v>
      </c>
      <c r="E137" s="200" t="n">
        <f aca="false">IFERROR(_xlfn.MINIFS(tblCompras[Preço Unit.],tblCompras[Produto],$B137,tblCompras[Unid.],$C137),"")</f>
        <v>3.85</v>
      </c>
      <c r="F137" s="209" t="str">
        <f aca="false">IFERROR(LOOKUP(2,1/((tblCompras[Produto]=$B137)*(tblCompras[Unid.]=$C137)*(tblCompras[Preço Unit.]=$E137)),tblCompras[Mercado]),"")</f>
        <v>Supermercados Nori</v>
      </c>
      <c r="G137" s="210" t="n">
        <f aca="false">IFERROR(LOOKUP(2,1/((tblCompras[Produto]=$B137)*(tblCompras[Unid.]=$C137)*(tblCompras[Preço Unit.]=$E137)),tblCompras[Data]),"")</f>
        <v>46185</v>
      </c>
      <c r="H137" s="200" t="n">
        <f aca="false">IFERROR(_xlfn.MAXIFS(tblCompras[Preço Unit.],tblCompras[Produto],$B137,tblCompras[Unid.],$C137),"")</f>
        <v>3.85</v>
      </c>
      <c r="I137" s="209" t="str">
        <f aca="false">IFERROR(LOOKUP(2,1/((tblCompras[Produto]=$B137)*(tblCompras[Unid.]=$C137)*(tblCompras[Preço Unit.]=$H137)),tblCompras[Mercado]),"")</f>
        <v>Supermercados Nori</v>
      </c>
      <c r="J137" s="210" t="n">
        <f aca="false">IFERROR(LOOKUP(2,1/((tblCompras[Produto]=$B137)*(tblCompras[Unid.]=$C137)*(tblCompras[Preço Unit.]=$H137)),tblCompras[Data]),"")</f>
        <v>46185</v>
      </c>
      <c r="K137" s="211" t="n">
        <f aca="false">IF(OR($E137="",$H137=""),"",MAX(0,$H137-$E137))</f>
        <v>0</v>
      </c>
      <c r="L137" s="212" t="n">
        <f aca="false">IF(OR($E137="",$H137="",$E137=0),"",($H137-$E137)/$E137)</f>
        <v>0</v>
      </c>
      <c r="M137" s="200" t="n">
        <f aca="false">IFERROR(LOOKUP(2,1/((tblCompras[Produto]=$B137)*(tblCompras[Unid.]=$C137)*(tblCompras[Data]=_xlfn.MAXIFS(tblCompras[Data],tblCompras[Produto],$B137,tblCompras[Unid.],$C137))),tblCompras[Preço Unit.]),"")</f>
        <v>3.85</v>
      </c>
      <c r="N137" s="209" t="str">
        <f aca="false">IFERROR(LOOKUP(2,1/((tblCompras[Produto]=$B137)*(tblCompras[Unid.]=$C137)*(tblCompras[Data]=_xlfn.MAXIFS(tblCompras[Data],tblCompras[Produto],$B137,tblCompras[Unid.],$C137))),tblCompras[Mercado])&amp;" · "&amp;TEXT(DAY(_xlfn.MAXIFS(tblCompras[Data],tblCompras[Produto],$B137,tblCompras[Unid.],$C137)),"00")&amp;"/"&amp;TEXT(MONTH(_xlfn.MAXIFS(tblCompras[Data],tblCompras[Produto],$B137,tblCompras[Unid.],$C137)),"00")&amp;"/"&amp;TEXT(MOD(YEAR(_xlfn.MAXIFS(tblCompras[Data],tblCompras[Produto],$B137,tblCompras[Unid.],$C137)),100),"00"),"")</f>
        <v>Supermercados Nori · 12/06/26</v>
      </c>
      <c r="O137" s="1"/>
      <c r="P137" s="1" t="str">
        <f aca="false">IF(AND(ISNUMBER($K137),$K137&gt;0,OR($B$6="Todas",$D137=$B$6)),$K137+ROW()/100000,"")</f>
        <v/>
      </c>
      <c r="Q137" s="1"/>
      <c r="R137" s="1"/>
      <c r="S137" s="1"/>
      <c r="T137" s="1"/>
    </row>
    <row r="138" customFormat="false" ht="15" hidden="false" customHeight="false" outlineLevel="0" collapsed="false">
      <c r="A138" s="1"/>
      <c r="B138" s="202" t="s">
        <v>1091</v>
      </c>
      <c r="C138" s="213" t="s">
        <v>179</v>
      </c>
      <c r="D138" s="202" t="s">
        <v>12</v>
      </c>
      <c r="E138" s="205" t="n">
        <f aca="false">IFERROR(_xlfn.MINIFS(tblCompras[Preço Unit.],tblCompras[Produto],$B138,tblCompras[Unid.],$C138),"")</f>
        <v>3.05</v>
      </c>
      <c r="F138" s="213" t="str">
        <f aca="false">IFERROR(LOOKUP(2,1/((tblCompras[Produto]=$B138)*(tblCompras[Unid.]=$C138)*(tblCompras[Preço Unit.]=$E138)),tblCompras[Mercado]),"")</f>
        <v>Supermercados Nori</v>
      </c>
      <c r="G138" s="214" t="n">
        <f aca="false">IFERROR(LOOKUP(2,1/((tblCompras[Produto]=$B138)*(tblCompras[Unid.]=$C138)*(tblCompras[Preço Unit.]=$E138)),tblCompras[Data]),"")</f>
        <v>46157</v>
      </c>
      <c r="H138" s="205" t="n">
        <f aca="false">IFERROR(_xlfn.MAXIFS(tblCompras[Preço Unit.],tblCompras[Produto],$B138,tblCompras[Unid.],$C138),"")</f>
        <v>3.05</v>
      </c>
      <c r="I138" s="213" t="str">
        <f aca="false">IFERROR(LOOKUP(2,1/((tblCompras[Produto]=$B138)*(tblCompras[Unid.]=$C138)*(tblCompras[Preço Unit.]=$H138)),tblCompras[Mercado]),"")</f>
        <v>Supermercados Nori</v>
      </c>
      <c r="J138" s="214" t="n">
        <f aca="false">IFERROR(LOOKUP(2,1/((tblCompras[Produto]=$B138)*(tblCompras[Unid.]=$C138)*(tblCompras[Preço Unit.]=$H138)),tblCompras[Data]),"")</f>
        <v>46157</v>
      </c>
      <c r="K138" s="215" t="n">
        <f aca="false">IF(OR($E138="",$H138=""),"",MAX(0,$H138-$E138))</f>
        <v>0</v>
      </c>
      <c r="L138" s="216" t="n">
        <f aca="false">IF(OR($E138="",$H138="",$E138=0),"",($H138-$E138)/$E138)</f>
        <v>0</v>
      </c>
      <c r="M138" s="205" t="n">
        <f aca="false">IFERROR(LOOKUP(2,1/((tblCompras[Produto]=$B138)*(tblCompras[Unid.]=$C138)*(tblCompras[Data]=_xlfn.MAXIFS(tblCompras[Data],tblCompras[Produto],$B138,tblCompras[Unid.],$C138))),tblCompras[Preço Unit.]),"")</f>
        <v>3.05</v>
      </c>
      <c r="N138" s="213" t="str">
        <f aca="false">IFERROR(LOOKUP(2,1/((tblCompras[Produto]=$B138)*(tblCompras[Unid.]=$C138)*(tblCompras[Data]=_xlfn.MAXIFS(tblCompras[Data],tblCompras[Produto],$B138,tblCompras[Unid.],$C138))),tblCompras[Mercado])&amp;" · "&amp;TEXT(DAY(_xlfn.MAXIFS(tblCompras[Data],tblCompras[Produto],$B138,tblCompras[Unid.],$C138)),"00")&amp;"/"&amp;TEXT(MONTH(_xlfn.MAXIFS(tblCompras[Data],tblCompras[Produto],$B138,tblCompras[Unid.],$C138)),"00")&amp;"/"&amp;TEXT(MOD(YEAR(_xlfn.MAXIFS(tblCompras[Data],tblCompras[Produto],$B138,tblCompras[Unid.],$C138)),100),"00"),"")</f>
        <v>Supermercados Nori · 15/05/26</v>
      </c>
      <c r="O138" s="1"/>
      <c r="P138" s="1" t="str">
        <f aca="false">IF(AND(ISNUMBER($K138),$K138&gt;0,OR($B$6="Todas",$D138=$B$6)),$K138+ROW()/100000,"")</f>
        <v/>
      </c>
      <c r="Q138" s="1"/>
      <c r="R138" s="1"/>
      <c r="S138" s="1"/>
      <c r="T138" s="1"/>
    </row>
    <row r="139" customFormat="false" ht="15" hidden="false" customHeight="false" outlineLevel="0" collapsed="false">
      <c r="A139" s="1"/>
      <c r="B139" s="197" t="s">
        <v>248</v>
      </c>
      <c r="C139" s="209" t="s">
        <v>179</v>
      </c>
      <c r="D139" s="197" t="s">
        <v>12</v>
      </c>
      <c r="E139" s="200" t="n">
        <f aca="false">IFERROR(_xlfn.MINIFS(tblCompras[Preço Unit.],tblCompras[Produto],$B139,tblCompras[Unid.],$C139),"")</f>
        <v>5.45</v>
      </c>
      <c r="F139" s="209" t="str">
        <f aca="false">IFERROR(LOOKUP(2,1/((tblCompras[Produto]=$B139)*(tblCompras[Unid.]=$C139)*(tblCompras[Preço Unit.]=$E139)),tblCompras[Mercado]),"")</f>
        <v>Supermercados Nori</v>
      </c>
      <c r="G139" s="210" t="n">
        <f aca="false">IFERROR(LOOKUP(2,1/((tblCompras[Produto]=$B139)*(tblCompras[Unid.]=$C139)*(tblCompras[Preço Unit.]=$E139)),tblCompras[Data]),"")</f>
        <v>46185</v>
      </c>
      <c r="H139" s="200" t="n">
        <f aca="false">IFERROR(_xlfn.MAXIFS(tblCompras[Preço Unit.],tblCompras[Produto],$B139,tblCompras[Unid.],$C139),"")</f>
        <v>5.45</v>
      </c>
      <c r="I139" s="209" t="str">
        <f aca="false">IFERROR(LOOKUP(2,1/((tblCompras[Produto]=$B139)*(tblCompras[Unid.]=$C139)*(tblCompras[Preço Unit.]=$H139)),tblCompras[Mercado]),"")</f>
        <v>Supermercados Nori</v>
      </c>
      <c r="J139" s="210" t="n">
        <f aca="false">IFERROR(LOOKUP(2,1/((tblCompras[Produto]=$B139)*(tblCompras[Unid.]=$C139)*(tblCompras[Preço Unit.]=$H139)),tblCompras[Data]),"")</f>
        <v>46185</v>
      </c>
      <c r="K139" s="211" t="n">
        <f aca="false">IF(OR($E139="",$H139=""),"",MAX(0,$H139-$E139))</f>
        <v>0</v>
      </c>
      <c r="L139" s="212" t="n">
        <f aca="false">IF(OR($E139="",$H139="",$E139=0),"",($H139-$E139)/$E139)</f>
        <v>0</v>
      </c>
      <c r="M139" s="200" t="n">
        <f aca="false">IFERROR(LOOKUP(2,1/((tblCompras[Produto]=$B139)*(tblCompras[Unid.]=$C139)*(tblCompras[Data]=_xlfn.MAXIFS(tblCompras[Data],tblCompras[Produto],$B139,tblCompras[Unid.],$C139))),tblCompras[Preço Unit.]),"")</f>
        <v>5.45</v>
      </c>
      <c r="N139" s="209" t="str">
        <f aca="false">IFERROR(LOOKUP(2,1/((tblCompras[Produto]=$B139)*(tblCompras[Unid.]=$C139)*(tblCompras[Data]=_xlfn.MAXIFS(tblCompras[Data],tblCompras[Produto],$B139,tblCompras[Unid.],$C139))),tblCompras[Mercado])&amp;" · "&amp;TEXT(DAY(_xlfn.MAXIFS(tblCompras[Data],tblCompras[Produto],$B139,tblCompras[Unid.],$C139)),"00")&amp;"/"&amp;TEXT(MONTH(_xlfn.MAXIFS(tblCompras[Data],tblCompras[Produto],$B139,tblCompras[Unid.],$C139)),"00")&amp;"/"&amp;TEXT(MOD(YEAR(_xlfn.MAXIFS(tblCompras[Data],tblCompras[Produto],$B139,tblCompras[Unid.],$C139)),100),"00"),"")</f>
        <v>Supermercados Nori · 12/06/26</v>
      </c>
      <c r="O139" s="1"/>
      <c r="P139" s="1" t="str">
        <f aca="false">IF(AND(ISNUMBER($K139),$K139&gt;0,OR($B$6="Todas",$D139=$B$6)),$K139+ROW()/100000,"")</f>
        <v/>
      </c>
      <c r="Q139" s="1"/>
      <c r="R139" s="1"/>
      <c r="S139" s="1"/>
      <c r="T139" s="1"/>
    </row>
    <row r="140" customFormat="false" ht="15" hidden="false" customHeight="false" outlineLevel="0" collapsed="false">
      <c r="A140" s="1"/>
      <c r="B140" s="202" t="s">
        <v>1081</v>
      </c>
      <c r="C140" s="213" t="s">
        <v>179</v>
      </c>
      <c r="D140" s="202" t="s">
        <v>12</v>
      </c>
      <c r="E140" s="205" t="n">
        <f aca="false">IFERROR(_xlfn.MINIFS(tblCompras[Preço Unit.],tblCompras[Produto],$B140,tblCompras[Unid.],$C140),"")</f>
        <v>5.45</v>
      </c>
      <c r="F140" s="213" t="str">
        <f aca="false">IFERROR(LOOKUP(2,1/((tblCompras[Produto]=$B140)*(tblCompras[Unid.]=$C140)*(tblCompras[Preço Unit.]=$E140)),tblCompras[Mercado]),"")</f>
        <v>Supermercados Nori</v>
      </c>
      <c r="G140" s="214" t="n">
        <f aca="false">IFERROR(LOOKUP(2,1/((tblCompras[Produto]=$B140)*(tblCompras[Unid.]=$C140)*(tblCompras[Preço Unit.]=$E140)),tblCompras[Data]),"")</f>
        <v>46157</v>
      </c>
      <c r="H140" s="205" t="n">
        <f aca="false">IFERROR(_xlfn.MAXIFS(tblCompras[Preço Unit.],tblCompras[Produto],$B140,tblCompras[Unid.],$C140),"")</f>
        <v>5.45</v>
      </c>
      <c r="I140" s="213" t="str">
        <f aca="false">IFERROR(LOOKUP(2,1/((tblCompras[Produto]=$B140)*(tblCompras[Unid.]=$C140)*(tblCompras[Preço Unit.]=$H140)),tblCompras[Mercado]),"")</f>
        <v>Supermercados Nori</v>
      </c>
      <c r="J140" s="214" t="n">
        <f aca="false">IFERROR(LOOKUP(2,1/((tblCompras[Produto]=$B140)*(tblCompras[Unid.]=$C140)*(tblCompras[Preço Unit.]=$H140)),tblCompras[Data]),"")</f>
        <v>46157</v>
      </c>
      <c r="K140" s="215" t="n">
        <f aca="false">IF(OR($E140="",$H140=""),"",MAX(0,$H140-$E140))</f>
        <v>0</v>
      </c>
      <c r="L140" s="216" t="n">
        <f aca="false">IF(OR($E140="",$H140="",$E140=0),"",($H140-$E140)/$E140)</f>
        <v>0</v>
      </c>
      <c r="M140" s="205" t="n">
        <f aca="false">IFERROR(LOOKUP(2,1/((tblCompras[Produto]=$B140)*(tblCompras[Unid.]=$C140)*(tblCompras[Data]=_xlfn.MAXIFS(tblCompras[Data],tblCompras[Produto],$B140,tblCompras[Unid.],$C140))),tblCompras[Preço Unit.]),"")</f>
        <v>5.45</v>
      </c>
      <c r="N140" s="213" t="str">
        <f aca="false">IFERROR(LOOKUP(2,1/((tblCompras[Produto]=$B140)*(tblCompras[Unid.]=$C140)*(tblCompras[Data]=_xlfn.MAXIFS(tblCompras[Data],tblCompras[Produto],$B140,tblCompras[Unid.],$C140))),tblCompras[Mercado])&amp;" · "&amp;TEXT(DAY(_xlfn.MAXIFS(tblCompras[Data],tblCompras[Produto],$B140,tblCompras[Unid.],$C140)),"00")&amp;"/"&amp;TEXT(MONTH(_xlfn.MAXIFS(tblCompras[Data],tblCompras[Produto],$B140,tblCompras[Unid.],$C140)),"00")&amp;"/"&amp;TEXT(MOD(YEAR(_xlfn.MAXIFS(tblCompras[Data],tblCompras[Produto],$B140,tblCompras[Unid.],$C140)),100),"00"),"")</f>
        <v>Supermercados Nori · 15/05/26</v>
      </c>
      <c r="O140" s="1"/>
      <c r="P140" s="1" t="str">
        <f aca="false">IF(AND(ISNUMBER($K140),$K140&gt;0,OR($B$6="Todas",$D140=$B$6)),$K140+ROW()/100000,"")</f>
        <v/>
      </c>
      <c r="Q140" s="1"/>
      <c r="R140" s="1"/>
      <c r="S140" s="1"/>
      <c r="T140" s="1"/>
    </row>
    <row r="141" customFormat="false" ht="15" hidden="false" customHeight="false" outlineLevel="0" collapsed="false">
      <c r="A141" s="1"/>
      <c r="B141" s="197" t="s">
        <v>191</v>
      </c>
      <c r="C141" s="209" t="s">
        <v>179</v>
      </c>
      <c r="D141" s="197" t="s">
        <v>12</v>
      </c>
      <c r="E141" s="200" t="n">
        <f aca="false">IFERROR(_xlfn.MINIFS(tblCompras[Preço Unit.],tblCompras[Produto],$B141,tblCompras[Unid.],$C141),"")</f>
        <v>5.75</v>
      </c>
      <c r="F141" s="209" t="str">
        <f aca="false">IFERROR(LOOKUP(2,1/((tblCompras[Produto]=$B141)*(tblCompras[Unid.]=$C141)*(tblCompras[Preço Unit.]=$E141)),tblCompras[Mercado]),"")</f>
        <v>Supermercados Nori</v>
      </c>
      <c r="G141" s="210" t="n">
        <f aca="false">IFERROR(LOOKUP(2,1/((tblCompras[Produto]=$B141)*(tblCompras[Unid.]=$C141)*(tblCompras[Preço Unit.]=$E141)),tblCompras[Data]),"")</f>
        <v>46146</v>
      </c>
      <c r="H141" s="200" t="n">
        <f aca="false">IFERROR(_xlfn.MAXIFS(tblCompras[Preço Unit.],tblCompras[Produto],$B141,tblCompras[Unid.],$C141),"")</f>
        <v>5.75</v>
      </c>
      <c r="I141" s="209" t="str">
        <f aca="false">IFERROR(LOOKUP(2,1/((tblCompras[Produto]=$B141)*(tblCompras[Unid.]=$C141)*(tblCompras[Preço Unit.]=$H141)),tblCompras[Mercado]),"")</f>
        <v>Supermercados Nori</v>
      </c>
      <c r="J141" s="210" t="n">
        <f aca="false">IFERROR(LOOKUP(2,1/((tblCompras[Produto]=$B141)*(tblCompras[Unid.]=$C141)*(tblCompras[Preço Unit.]=$H141)),tblCompras[Data]),"")</f>
        <v>46146</v>
      </c>
      <c r="K141" s="211" t="n">
        <f aca="false">IF(OR($E141="",$H141=""),"",MAX(0,$H141-$E141))</f>
        <v>0</v>
      </c>
      <c r="L141" s="212" t="n">
        <f aca="false">IF(OR($E141="",$H141="",$E141=0),"",($H141-$E141)/$E141)</f>
        <v>0</v>
      </c>
      <c r="M141" s="200" t="n">
        <f aca="false">IFERROR(LOOKUP(2,1/((tblCompras[Produto]=$B141)*(tblCompras[Unid.]=$C141)*(tblCompras[Data]=_xlfn.MAXIFS(tblCompras[Data],tblCompras[Produto],$B141,tblCompras[Unid.],$C141))),tblCompras[Preço Unit.]),"")</f>
        <v>5.75</v>
      </c>
      <c r="N141" s="209" t="str">
        <f aca="false">IFERROR(LOOKUP(2,1/((tblCompras[Produto]=$B141)*(tblCompras[Unid.]=$C141)*(tblCompras[Data]=_xlfn.MAXIFS(tblCompras[Data],tblCompras[Produto],$B141,tblCompras[Unid.],$C141))),tblCompras[Mercado])&amp;" · "&amp;TEXT(DAY(_xlfn.MAXIFS(tblCompras[Data],tblCompras[Produto],$B141,tblCompras[Unid.],$C141)),"00")&amp;"/"&amp;TEXT(MONTH(_xlfn.MAXIFS(tblCompras[Data],tblCompras[Produto],$B141,tblCompras[Unid.],$C141)),"00")&amp;"/"&amp;TEXT(MOD(YEAR(_xlfn.MAXIFS(tblCompras[Data],tblCompras[Produto],$B141,tblCompras[Unid.],$C141)),100),"00"),"")</f>
        <v>Supermercados Nori · 04/05/26</v>
      </c>
      <c r="O141" s="1"/>
      <c r="P141" s="1" t="str">
        <f aca="false">IF(AND(ISNUMBER($K141),$K141&gt;0,OR($B$6="Todas",$D141=$B$6)),$K141+ROW()/100000,"")</f>
        <v/>
      </c>
      <c r="Q141" s="1"/>
      <c r="R141" s="1"/>
      <c r="S141" s="1"/>
      <c r="T141" s="1"/>
    </row>
    <row r="142" customFormat="false" ht="15" hidden="false" customHeight="false" outlineLevel="0" collapsed="false">
      <c r="A142" s="1"/>
      <c r="B142" s="202" t="s">
        <v>193</v>
      </c>
      <c r="C142" s="213" t="s">
        <v>179</v>
      </c>
      <c r="D142" s="202" t="s">
        <v>12</v>
      </c>
      <c r="E142" s="205" t="n">
        <f aca="false">IFERROR(_xlfn.MINIFS(tblCompras[Preço Unit.],tblCompras[Produto],$B142,tblCompras[Unid.],$C142),"")</f>
        <v>4.6</v>
      </c>
      <c r="F142" s="213" t="str">
        <f aca="false">IFERROR(LOOKUP(2,1/((tblCompras[Produto]=$B142)*(tblCompras[Unid.]=$C142)*(tblCompras[Preço Unit.]=$E142)),tblCompras[Mercado]),"")</f>
        <v>Supermercados Nori</v>
      </c>
      <c r="G142" s="214" t="n">
        <f aca="false">IFERROR(LOOKUP(2,1/((tblCompras[Produto]=$B142)*(tblCompras[Unid.]=$C142)*(tblCompras[Preço Unit.]=$E142)),tblCompras[Data]),"")</f>
        <v>46157</v>
      </c>
      <c r="H142" s="205" t="n">
        <f aca="false">IFERROR(_xlfn.MAXIFS(tblCompras[Preço Unit.],tblCompras[Produto],$B142,tblCompras[Unid.],$C142),"")</f>
        <v>4.99</v>
      </c>
      <c r="I142" s="213" t="str">
        <f aca="false">IFERROR(LOOKUP(2,1/((tblCompras[Produto]=$B142)*(tblCompras[Unid.]=$C142)*(tblCompras[Preço Unit.]=$H142)),tblCompras[Mercado]),"")</f>
        <v>Supermercados Nori</v>
      </c>
      <c r="J142" s="214" t="n">
        <f aca="false">IFERROR(LOOKUP(2,1/((tblCompras[Produto]=$B142)*(tblCompras[Unid.]=$C142)*(tblCompras[Preço Unit.]=$H142)),tblCompras[Data]),"")</f>
        <v>46146</v>
      </c>
      <c r="K142" s="215" t="n">
        <f aca="false">IF(OR($E142="",$H142=""),"",MAX(0,$H142-$E142))</f>
        <v>0.390000000000001</v>
      </c>
      <c r="L142" s="216" t="n">
        <f aca="false">IF(OR($E142="",$H142="",$E142=0),"",($H142-$E142)/$E142)</f>
        <v>0.0847826086956523</v>
      </c>
      <c r="M142" s="205" t="n">
        <f aca="false">IFERROR(LOOKUP(2,1/((tblCompras[Produto]=$B142)*(tblCompras[Unid.]=$C142)*(tblCompras[Data]=_xlfn.MAXIFS(tblCompras[Data],tblCompras[Produto],$B142,tblCompras[Unid.],$C142))),tblCompras[Preço Unit.]),"")</f>
        <v>4.6</v>
      </c>
      <c r="N142" s="213" t="str">
        <f aca="false">IFERROR(LOOKUP(2,1/((tblCompras[Produto]=$B142)*(tblCompras[Unid.]=$C142)*(tblCompras[Data]=_xlfn.MAXIFS(tblCompras[Data],tblCompras[Produto],$B142,tblCompras[Unid.],$C142))),tblCompras[Mercado])&amp;" · "&amp;TEXT(DAY(_xlfn.MAXIFS(tblCompras[Data],tblCompras[Produto],$B142,tblCompras[Unid.],$C142)),"00")&amp;"/"&amp;TEXT(MONTH(_xlfn.MAXIFS(tblCompras[Data],tblCompras[Produto],$B142,tblCompras[Unid.],$C142)),"00")&amp;"/"&amp;TEXT(MOD(YEAR(_xlfn.MAXIFS(tblCompras[Data],tblCompras[Produto],$B142,tblCompras[Unid.],$C142)),100),"00"),"")</f>
        <v>Supermercados Nori · 15/05/26</v>
      </c>
      <c r="O142" s="1"/>
      <c r="P142" s="1" t="n">
        <f aca="false">IF(AND(ISNUMBER($K142),$K142&gt;0,OR($B$6="Todas",$D142=$B$6)),$K142+ROW()/100000,"")</f>
        <v>0.391420000000001</v>
      </c>
      <c r="Q142" s="1"/>
      <c r="R142" s="1"/>
      <c r="S142" s="1"/>
      <c r="T142" s="1"/>
    </row>
    <row r="143" customFormat="false" ht="15" hidden="false" customHeight="false" outlineLevel="0" collapsed="false">
      <c r="A143" s="1"/>
      <c r="B143" s="197" t="s">
        <v>1135</v>
      </c>
      <c r="C143" s="209" t="s">
        <v>179</v>
      </c>
      <c r="D143" s="197" t="s">
        <v>12</v>
      </c>
      <c r="E143" s="200" t="n">
        <f aca="false">IFERROR(_xlfn.MINIFS(tblCompras[Preço Unit.],tblCompras[Produto],$B143,tblCompras[Unid.],$C143),"")</f>
        <v>5.75</v>
      </c>
      <c r="F143" s="209" t="str">
        <f aca="false">IFERROR(LOOKUP(2,1/((tblCompras[Produto]=$B143)*(tblCompras[Unid.]=$C143)*(tblCompras[Preço Unit.]=$E143)),tblCompras[Mercado]),"")</f>
        <v>Supermercados Nori</v>
      </c>
      <c r="G143" s="210" t="n">
        <f aca="false">IFERROR(LOOKUP(2,1/((tblCompras[Produto]=$B143)*(tblCompras[Unid.]=$C143)*(tblCompras[Preço Unit.]=$E143)),tblCompras[Data]),"")</f>
        <v>46166</v>
      </c>
      <c r="H143" s="200" t="n">
        <f aca="false">IFERROR(_xlfn.MAXIFS(tblCompras[Preço Unit.],tblCompras[Produto],$B143,tblCompras[Unid.],$C143),"")</f>
        <v>5.75</v>
      </c>
      <c r="I143" s="209" t="str">
        <f aca="false">IFERROR(LOOKUP(2,1/((tblCompras[Produto]=$B143)*(tblCompras[Unid.]=$C143)*(tblCompras[Preço Unit.]=$H143)),tblCompras[Mercado]),"")</f>
        <v>Supermercados Nori</v>
      </c>
      <c r="J143" s="210" t="n">
        <f aca="false">IFERROR(LOOKUP(2,1/((tblCompras[Produto]=$B143)*(tblCompras[Unid.]=$C143)*(tblCompras[Preço Unit.]=$H143)),tblCompras[Data]),"")</f>
        <v>46166</v>
      </c>
      <c r="K143" s="211" t="n">
        <f aca="false">IF(OR($E143="",$H143=""),"",MAX(0,$H143-$E143))</f>
        <v>0</v>
      </c>
      <c r="L143" s="212" t="n">
        <f aca="false">IF(OR($E143="",$H143="",$E143=0),"",($H143-$E143)/$E143)</f>
        <v>0</v>
      </c>
      <c r="M143" s="200" t="n">
        <f aca="false">IFERROR(LOOKUP(2,1/((tblCompras[Produto]=$B143)*(tblCompras[Unid.]=$C143)*(tblCompras[Data]=_xlfn.MAXIFS(tblCompras[Data],tblCompras[Produto],$B143,tblCompras[Unid.],$C143))),tblCompras[Preço Unit.]),"")</f>
        <v>5.75</v>
      </c>
      <c r="N143" s="209" t="str">
        <f aca="false">IFERROR(LOOKUP(2,1/((tblCompras[Produto]=$B143)*(tblCompras[Unid.]=$C143)*(tblCompras[Data]=_xlfn.MAXIFS(tblCompras[Data],tblCompras[Produto],$B143,tblCompras[Unid.],$C143))),tblCompras[Mercado])&amp;" · "&amp;TEXT(DAY(_xlfn.MAXIFS(tblCompras[Data],tblCompras[Produto],$B143,tblCompras[Unid.],$C143)),"00")&amp;"/"&amp;TEXT(MONTH(_xlfn.MAXIFS(tblCompras[Data],tblCompras[Produto],$B143,tblCompras[Unid.],$C143)),"00")&amp;"/"&amp;TEXT(MOD(YEAR(_xlfn.MAXIFS(tblCompras[Data],tblCompras[Produto],$B143,tblCompras[Unid.],$C143)),100),"00"),"")</f>
        <v>Supermercados Nori · 24/05/26</v>
      </c>
      <c r="O143" s="1"/>
      <c r="P143" s="1" t="str">
        <f aca="false">IF(AND(ISNUMBER($K143),$K143&gt;0,OR($B$6="Todas",$D143=$B$6)),$K143+ROW()/100000,"")</f>
        <v/>
      </c>
      <c r="Q143" s="1"/>
      <c r="R143" s="1"/>
      <c r="S143" s="1"/>
      <c r="T143" s="1"/>
    </row>
    <row r="144" customFormat="false" ht="15" hidden="false" customHeight="false" outlineLevel="0" collapsed="false">
      <c r="A144" s="1"/>
      <c r="B144" s="202" t="s">
        <v>375</v>
      </c>
      <c r="C144" s="213" t="s">
        <v>179</v>
      </c>
      <c r="D144" s="202" t="s">
        <v>12</v>
      </c>
      <c r="E144" s="205" t="n">
        <f aca="false">IFERROR(_xlfn.MINIFS(tblCompras[Preço Unit.],tblCompras[Produto],$B144,tblCompras[Unid.],$C144),"")</f>
        <v>4.99</v>
      </c>
      <c r="F144" s="213" t="str">
        <f aca="false">IFERROR(LOOKUP(2,1/((tblCompras[Produto]=$B144)*(tblCompras[Unid.]=$C144)*(tblCompras[Preço Unit.]=$E144)),tblCompras[Mercado]),"")</f>
        <v>Supermercados Nori</v>
      </c>
      <c r="G144" s="214" t="n">
        <f aca="false">IFERROR(LOOKUP(2,1/((tblCompras[Produto]=$B144)*(tblCompras[Unid.]=$C144)*(tblCompras[Preço Unit.]=$E144)),tblCompras[Data]),"")</f>
        <v>46185</v>
      </c>
      <c r="H144" s="205" t="n">
        <f aca="false">IFERROR(_xlfn.MAXIFS(tblCompras[Preço Unit.],tblCompras[Produto],$B144,tblCompras[Unid.],$C144),"")</f>
        <v>4.99</v>
      </c>
      <c r="I144" s="213" t="str">
        <f aca="false">IFERROR(LOOKUP(2,1/((tblCompras[Produto]=$B144)*(tblCompras[Unid.]=$C144)*(tblCompras[Preço Unit.]=$H144)),tblCompras[Mercado]),"")</f>
        <v>Supermercados Nori</v>
      </c>
      <c r="J144" s="214" t="n">
        <f aca="false">IFERROR(LOOKUP(2,1/((tblCompras[Produto]=$B144)*(tblCompras[Unid.]=$C144)*(tblCompras[Preço Unit.]=$H144)),tblCompras[Data]),"")</f>
        <v>46185</v>
      </c>
      <c r="K144" s="215" t="n">
        <f aca="false">IF(OR($E144="",$H144=""),"",MAX(0,$H144-$E144))</f>
        <v>0</v>
      </c>
      <c r="L144" s="216" t="n">
        <f aca="false">IF(OR($E144="",$H144="",$E144=0),"",($H144-$E144)/$E144)</f>
        <v>0</v>
      </c>
      <c r="M144" s="205" t="n">
        <f aca="false">IFERROR(LOOKUP(2,1/((tblCompras[Produto]=$B144)*(tblCompras[Unid.]=$C144)*(tblCompras[Data]=_xlfn.MAXIFS(tblCompras[Data],tblCompras[Produto],$B144,tblCompras[Unid.],$C144))),tblCompras[Preço Unit.]),"")</f>
        <v>4.99</v>
      </c>
      <c r="N144" s="213" t="str">
        <f aca="false">IFERROR(LOOKUP(2,1/((tblCompras[Produto]=$B144)*(tblCompras[Unid.]=$C144)*(tblCompras[Data]=_xlfn.MAXIFS(tblCompras[Data],tblCompras[Produto],$B144,tblCompras[Unid.],$C144))),tblCompras[Mercado])&amp;" · "&amp;TEXT(DAY(_xlfn.MAXIFS(tblCompras[Data],tblCompras[Produto],$B144,tblCompras[Unid.],$C144)),"00")&amp;"/"&amp;TEXT(MONTH(_xlfn.MAXIFS(tblCompras[Data],tblCompras[Produto],$B144,tblCompras[Unid.],$C144)),"00")&amp;"/"&amp;TEXT(MOD(YEAR(_xlfn.MAXIFS(tblCompras[Data],tblCompras[Produto],$B144,tblCompras[Unid.],$C144)),100),"00"),"")</f>
        <v>Supermercados Nori · 12/06/26</v>
      </c>
      <c r="O144" s="1"/>
      <c r="P144" s="1" t="str">
        <f aca="false">IF(AND(ISNUMBER($K144),$K144&gt;0,OR($B$6="Todas",$D144=$B$6)),$K144+ROW()/100000,"")</f>
        <v/>
      </c>
      <c r="Q144" s="1"/>
      <c r="R144" s="1"/>
      <c r="S144" s="1"/>
      <c r="T144" s="1"/>
    </row>
    <row r="145" customFormat="false" ht="15" hidden="false" customHeight="false" outlineLevel="0" collapsed="false">
      <c r="A145" s="1"/>
      <c r="B145" s="197" t="s">
        <v>1062</v>
      </c>
      <c r="C145" s="209" t="s">
        <v>179</v>
      </c>
      <c r="D145" s="197" t="s">
        <v>12</v>
      </c>
      <c r="E145" s="200" t="n">
        <f aca="false">IFERROR(_xlfn.MINIFS(tblCompras[Preço Unit.],tblCompras[Produto],$B145,tblCompras[Unid.],$C145),"")</f>
        <v>7.99</v>
      </c>
      <c r="F145" s="209" t="str">
        <f aca="false">IFERROR(LOOKUP(2,1/((tblCompras[Produto]=$B145)*(tblCompras[Unid.]=$C145)*(tblCompras[Preço Unit.]=$E145)),tblCompras[Mercado]),"")</f>
        <v>Supermercados Nori</v>
      </c>
      <c r="G145" s="210" t="n">
        <f aca="false">IFERROR(LOOKUP(2,1/((tblCompras[Produto]=$B145)*(tblCompras[Unid.]=$C145)*(tblCompras[Preço Unit.]=$E145)),tblCompras[Data]),"")</f>
        <v>46157</v>
      </c>
      <c r="H145" s="200" t="n">
        <f aca="false">IFERROR(_xlfn.MAXIFS(tblCompras[Preço Unit.],tblCompras[Produto],$B145,tblCompras[Unid.],$C145),"")</f>
        <v>7.99</v>
      </c>
      <c r="I145" s="209" t="str">
        <f aca="false">IFERROR(LOOKUP(2,1/((tblCompras[Produto]=$B145)*(tblCompras[Unid.]=$C145)*(tblCompras[Preço Unit.]=$H145)),tblCompras[Mercado]),"")</f>
        <v>Supermercados Nori</v>
      </c>
      <c r="J145" s="210" t="n">
        <f aca="false">IFERROR(LOOKUP(2,1/((tblCompras[Produto]=$B145)*(tblCompras[Unid.]=$C145)*(tblCompras[Preço Unit.]=$H145)),tblCompras[Data]),"")</f>
        <v>46157</v>
      </c>
      <c r="K145" s="211" t="n">
        <f aca="false">IF(OR($E145="",$H145=""),"",MAX(0,$H145-$E145))</f>
        <v>0</v>
      </c>
      <c r="L145" s="212" t="n">
        <f aca="false">IF(OR($E145="",$H145="",$E145=0),"",($H145-$E145)/$E145)</f>
        <v>0</v>
      </c>
      <c r="M145" s="200" t="n">
        <f aca="false">IFERROR(LOOKUP(2,1/((tblCompras[Produto]=$B145)*(tblCompras[Unid.]=$C145)*(tblCompras[Data]=_xlfn.MAXIFS(tblCompras[Data],tblCompras[Produto],$B145,tblCompras[Unid.],$C145))),tblCompras[Preço Unit.]),"")</f>
        <v>7.99</v>
      </c>
      <c r="N145" s="209" t="str">
        <f aca="false">IFERROR(LOOKUP(2,1/((tblCompras[Produto]=$B145)*(tblCompras[Unid.]=$C145)*(tblCompras[Data]=_xlfn.MAXIFS(tblCompras[Data],tblCompras[Produto],$B145,tblCompras[Unid.],$C145))),tblCompras[Mercado])&amp;" · "&amp;TEXT(DAY(_xlfn.MAXIFS(tblCompras[Data],tblCompras[Produto],$B145,tblCompras[Unid.],$C145)),"00")&amp;"/"&amp;TEXT(MONTH(_xlfn.MAXIFS(tblCompras[Data],tblCompras[Produto],$B145,tblCompras[Unid.],$C145)),"00")&amp;"/"&amp;TEXT(MOD(YEAR(_xlfn.MAXIFS(tblCompras[Data],tblCompras[Produto],$B145,tblCompras[Unid.],$C145)),100),"00"),"")</f>
        <v>Supermercados Nori · 15/05/26</v>
      </c>
      <c r="O145" s="1"/>
      <c r="P145" s="1" t="str">
        <f aca="false">IF(AND(ISNUMBER($K145),$K145&gt;0,OR($B$6="Todas",$D145=$B$6)),$K145+ROW()/100000,"")</f>
        <v/>
      </c>
      <c r="Q145" s="1"/>
      <c r="R145" s="1"/>
      <c r="S145" s="1"/>
      <c r="T145" s="1"/>
    </row>
    <row r="146" customFormat="false" ht="15" hidden="false" customHeight="false" outlineLevel="0" collapsed="false">
      <c r="A146" s="1"/>
      <c r="B146" s="202" t="s">
        <v>554</v>
      </c>
      <c r="C146" s="213" t="s">
        <v>179</v>
      </c>
      <c r="D146" s="202" t="s">
        <v>12</v>
      </c>
      <c r="E146" s="205" t="n">
        <f aca="false">IFERROR(_xlfn.MINIFS(tblCompras[Preço Unit.],tblCompras[Produto],$B146,tblCompras[Unid.],$C146),"")</f>
        <v>1.2</v>
      </c>
      <c r="F146" s="213" t="str">
        <f aca="false">IFERROR(LOOKUP(2,1/((tblCompras[Produto]=$B146)*(tblCompras[Unid.]=$C146)*(tblCompras[Preço Unit.]=$E146)),tblCompras[Mercado]),"")</f>
        <v>Supermercados Nori</v>
      </c>
      <c r="G146" s="214" t="n">
        <f aca="false">IFERROR(LOOKUP(2,1/((tblCompras[Produto]=$B146)*(tblCompras[Unid.]=$C146)*(tblCompras[Preço Unit.]=$E146)),tblCompras[Data]),"")</f>
        <v>46173</v>
      </c>
      <c r="H146" s="205" t="n">
        <f aca="false">IFERROR(_xlfn.MAXIFS(tblCompras[Preço Unit.],tblCompras[Produto],$B146,tblCompras[Unid.],$C146),"")</f>
        <v>1.2</v>
      </c>
      <c r="I146" s="213" t="str">
        <f aca="false">IFERROR(LOOKUP(2,1/((tblCompras[Produto]=$B146)*(tblCompras[Unid.]=$C146)*(tblCompras[Preço Unit.]=$H146)),tblCompras[Mercado]),"")</f>
        <v>Supermercados Nori</v>
      </c>
      <c r="J146" s="214" t="n">
        <f aca="false">IFERROR(LOOKUP(2,1/((tblCompras[Produto]=$B146)*(tblCompras[Unid.]=$C146)*(tblCompras[Preço Unit.]=$H146)),tblCompras[Data]),"")</f>
        <v>46173</v>
      </c>
      <c r="K146" s="215" t="n">
        <f aca="false">IF(OR($E146="",$H146=""),"",MAX(0,$H146-$E146))</f>
        <v>0</v>
      </c>
      <c r="L146" s="216" t="n">
        <f aca="false">IF(OR($E146="",$H146="",$E146=0),"",($H146-$E146)/$E146)</f>
        <v>0</v>
      </c>
      <c r="M146" s="205" t="n">
        <f aca="false">IFERROR(LOOKUP(2,1/((tblCompras[Produto]=$B146)*(tblCompras[Unid.]=$C146)*(tblCompras[Data]=_xlfn.MAXIFS(tblCompras[Data],tblCompras[Produto],$B146,tblCompras[Unid.],$C146))),tblCompras[Preço Unit.]),"")</f>
        <v>1.2</v>
      </c>
      <c r="N146" s="213" t="str">
        <f aca="false">IFERROR(LOOKUP(2,1/((tblCompras[Produto]=$B146)*(tblCompras[Unid.]=$C146)*(tblCompras[Data]=_xlfn.MAXIFS(tblCompras[Data],tblCompras[Produto],$B146,tblCompras[Unid.],$C146))),tblCompras[Mercado])&amp;" · "&amp;TEXT(DAY(_xlfn.MAXIFS(tblCompras[Data],tblCompras[Produto],$B146,tblCompras[Unid.],$C146)),"00")&amp;"/"&amp;TEXT(MONTH(_xlfn.MAXIFS(tblCompras[Data],tblCompras[Produto],$B146,tblCompras[Unid.],$C146)),"00")&amp;"/"&amp;TEXT(MOD(YEAR(_xlfn.MAXIFS(tblCompras[Data],tblCompras[Produto],$B146,tblCompras[Unid.],$C146)),100),"00"),"")</f>
        <v>Supermercados Nori · 31/05/26</v>
      </c>
      <c r="O146" s="1"/>
      <c r="P146" s="1" t="str">
        <f aca="false">IF(AND(ISNUMBER($K146),$K146&gt;0,OR($B$6="Todas",$D146=$B$6)),$K146+ROW()/100000,"")</f>
        <v/>
      </c>
      <c r="Q146" s="1"/>
      <c r="R146" s="1"/>
      <c r="S146" s="1"/>
      <c r="T146" s="1"/>
    </row>
    <row r="147" customFormat="false" ht="15" hidden="false" customHeight="false" outlineLevel="0" collapsed="false">
      <c r="A147" s="1"/>
      <c r="B147" s="197" t="s">
        <v>677</v>
      </c>
      <c r="C147" s="209" t="s">
        <v>179</v>
      </c>
      <c r="D147" s="197" t="s">
        <v>12</v>
      </c>
      <c r="E147" s="200" t="n">
        <f aca="false">IFERROR(_xlfn.MINIFS(tblCompras[Preço Unit.],tblCompras[Produto],$B147,tblCompras[Unid.],$C147),"")</f>
        <v>1.7</v>
      </c>
      <c r="F147" s="209" t="str">
        <f aca="false">IFERROR(LOOKUP(2,1/((tblCompras[Produto]=$B147)*(tblCompras[Unid.]=$C147)*(tblCompras[Preço Unit.]=$E147)),tblCompras[Mercado]),"")</f>
        <v>Supermercados Nori</v>
      </c>
      <c r="G147" s="210" t="n">
        <f aca="false">IFERROR(LOOKUP(2,1/((tblCompras[Produto]=$B147)*(tblCompras[Unid.]=$C147)*(tblCompras[Preço Unit.]=$E147)),tblCompras[Data]),"")</f>
        <v>46185</v>
      </c>
      <c r="H147" s="200" t="n">
        <f aca="false">IFERROR(_xlfn.MAXIFS(tblCompras[Preço Unit.],tblCompras[Produto],$B147,tblCompras[Unid.],$C147),"")</f>
        <v>1.7</v>
      </c>
      <c r="I147" s="209" t="str">
        <f aca="false">IFERROR(LOOKUP(2,1/((tblCompras[Produto]=$B147)*(tblCompras[Unid.]=$C147)*(tblCompras[Preço Unit.]=$H147)),tblCompras[Mercado]),"")</f>
        <v>Supermercados Nori</v>
      </c>
      <c r="J147" s="210" t="n">
        <f aca="false">IFERROR(LOOKUP(2,1/((tblCompras[Produto]=$B147)*(tblCompras[Unid.]=$C147)*(tblCompras[Preço Unit.]=$H147)),tblCompras[Data]),"")</f>
        <v>46185</v>
      </c>
      <c r="K147" s="211" t="n">
        <f aca="false">IF(OR($E147="",$H147=""),"",MAX(0,$H147-$E147))</f>
        <v>0</v>
      </c>
      <c r="L147" s="212" t="n">
        <f aca="false">IF(OR($E147="",$H147="",$E147=0),"",($H147-$E147)/$E147)</f>
        <v>0</v>
      </c>
      <c r="M147" s="200" t="n">
        <f aca="false">IFERROR(LOOKUP(2,1/((tblCompras[Produto]=$B147)*(tblCompras[Unid.]=$C147)*(tblCompras[Data]=_xlfn.MAXIFS(tblCompras[Data],tblCompras[Produto],$B147,tblCompras[Unid.],$C147))),tblCompras[Preço Unit.]),"")</f>
        <v>1.7</v>
      </c>
      <c r="N147" s="209" t="str">
        <f aca="false">IFERROR(LOOKUP(2,1/((tblCompras[Produto]=$B147)*(tblCompras[Unid.]=$C147)*(tblCompras[Data]=_xlfn.MAXIFS(tblCompras[Data],tblCompras[Produto],$B147,tblCompras[Unid.],$C147))),tblCompras[Mercado])&amp;" · "&amp;TEXT(DAY(_xlfn.MAXIFS(tblCompras[Data],tblCompras[Produto],$B147,tblCompras[Unid.],$C147)),"00")&amp;"/"&amp;TEXT(MONTH(_xlfn.MAXIFS(tblCompras[Data],tblCompras[Produto],$B147,tblCompras[Unid.],$C147)),"00")&amp;"/"&amp;TEXT(MOD(YEAR(_xlfn.MAXIFS(tblCompras[Data],tblCompras[Produto],$B147,tblCompras[Unid.],$C147)),100),"00"),"")</f>
        <v>Supermercados Nori · 12/06/26</v>
      </c>
      <c r="O147" s="1"/>
      <c r="P147" s="1" t="str">
        <f aca="false">IF(AND(ISNUMBER($K147),$K147&gt;0,OR($B$6="Todas",$D147=$B$6)),$K147+ROW()/100000,"")</f>
        <v/>
      </c>
      <c r="Q147" s="1"/>
      <c r="R147" s="1"/>
      <c r="S147" s="1"/>
      <c r="T147" s="1"/>
    </row>
    <row r="148" customFormat="false" ht="15" hidden="false" customHeight="false" outlineLevel="0" collapsed="false">
      <c r="A148" s="1"/>
      <c r="B148" s="202" t="s">
        <v>201</v>
      </c>
      <c r="C148" s="213" t="s">
        <v>179</v>
      </c>
      <c r="D148" s="202" t="s">
        <v>12</v>
      </c>
      <c r="E148" s="205" t="n">
        <f aca="false">IFERROR(_xlfn.MINIFS(tblCompras[Preço Unit.],tblCompras[Produto],$B148,tblCompras[Unid.],$C148),"")</f>
        <v>1.7</v>
      </c>
      <c r="F148" s="213" t="str">
        <f aca="false">IFERROR(LOOKUP(2,1/((tblCompras[Produto]=$B148)*(tblCompras[Unid.]=$C148)*(tblCompras[Preço Unit.]=$E148)),tblCompras[Mercado]),"")</f>
        <v>Supermercados Nori</v>
      </c>
      <c r="G148" s="214" t="n">
        <f aca="false">IFERROR(LOOKUP(2,1/((tblCompras[Produto]=$B148)*(tblCompras[Unid.]=$C148)*(tblCompras[Preço Unit.]=$E148)),tblCompras[Data]),"")</f>
        <v>46146</v>
      </c>
      <c r="H148" s="205" t="n">
        <f aca="false">IFERROR(_xlfn.MAXIFS(tblCompras[Preço Unit.],tblCompras[Produto],$B148,tblCompras[Unid.],$C148),"")</f>
        <v>1.7</v>
      </c>
      <c r="I148" s="213" t="str">
        <f aca="false">IFERROR(LOOKUP(2,1/((tblCompras[Produto]=$B148)*(tblCompras[Unid.]=$C148)*(tblCompras[Preço Unit.]=$H148)),tblCompras[Mercado]),"")</f>
        <v>Supermercados Nori</v>
      </c>
      <c r="J148" s="214" t="n">
        <f aca="false">IFERROR(LOOKUP(2,1/((tblCompras[Produto]=$B148)*(tblCompras[Unid.]=$C148)*(tblCompras[Preço Unit.]=$H148)),tblCompras[Data]),"")</f>
        <v>46146</v>
      </c>
      <c r="K148" s="215" t="n">
        <f aca="false">IF(OR($E148="",$H148=""),"",MAX(0,$H148-$E148))</f>
        <v>0</v>
      </c>
      <c r="L148" s="216" t="n">
        <f aca="false">IF(OR($E148="",$H148="",$E148=0),"",($H148-$E148)/$E148)</f>
        <v>0</v>
      </c>
      <c r="M148" s="205" t="n">
        <f aca="false">IFERROR(LOOKUP(2,1/((tblCompras[Produto]=$B148)*(tblCompras[Unid.]=$C148)*(tblCompras[Data]=_xlfn.MAXIFS(tblCompras[Data],tblCompras[Produto],$B148,tblCompras[Unid.],$C148))),tblCompras[Preço Unit.]),"")</f>
        <v>1.7</v>
      </c>
      <c r="N148" s="213" t="str">
        <f aca="false">IFERROR(LOOKUP(2,1/((tblCompras[Produto]=$B148)*(tblCompras[Unid.]=$C148)*(tblCompras[Data]=_xlfn.MAXIFS(tblCompras[Data],tblCompras[Produto],$B148,tblCompras[Unid.],$C148))),tblCompras[Mercado])&amp;" · "&amp;TEXT(DAY(_xlfn.MAXIFS(tblCompras[Data],tblCompras[Produto],$B148,tblCompras[Unid.],$C148)),"00")&amp;"/"&amp;TEXT(MONTH(_xlfn.MAXIFS(tblCompras[Data],tblCompras[Produto],$B148,tblCompras[Unid.],$C148)),"00")&amp;"/"&amp;TEXT(MOD(YEAR(_xlfn.MAXIFS(tblCompras[Data],tblCompras[Produto],$B148,tblCompras[Unid.],$C148)),100),"00"),"")</f>
        <v>Supermercados Nori · 04/05/26</v>
      </c>
      <c r="O148" s="1"/>
      <c r="P148" s="1" t="str">
        <f aca="false">IF(AND(ISNUMBER($K148),$K148&gt;0,OR($B$6="Todas",$D148=$B$6)),$K148+ROW()/100000,"")</f>
        <v/>
      </c>
      <c r="Q148" s="1"/>
      <c r="R148" s="1"/>
      <c r="S148" s="1"/>
      <c r="T148" s="1"/>
    </row>
    <row r="149" customFormat="false" ht="15" hidden="false" customHeight="false" outlineLevel="0" collapsed="false">
      <c r="A149" s="1"/>
      <c r="B149" s="197" t="s">
        <v>1134</v>
      </c>
      <c r="C149" s="209" t="s">
        <v>179</v>
      </c>
      <c r="D149" s="197" t="s">
        <v>12</v>
      </c>
      <c r="E149" s="200" t="n">
        <f aca="false">IFERROR(_xlfn.MINIFS(tblCompras[Preço Unit.],tblCompras[Produto],$B149,tblCompras[Unid.],$C149),"")</f>
        <v>3.99</v>
      </c>
      <c r="F149" s="209" t="str">
        <f aca="false">IFERROR(LOOKUP(2,1/((tblCompras[Produto]=$B149)*(tblCompras[Unid.]=$C149)*(tblCompras[Preço Unit.]=$E149)),tblCompras[Mercado]),"")</f>
        <v>Supermercados Nori</v>
      </c>
      <c r="G149" s="210" t="n">
        <f aca="false">IFERROR(LOOKUP(2,1/((tblCompras[Produto]=$B149)*(tblCompras[Unid.]=$C149)*(tblCompras[Preço Unit.]=$E149)),tblCompras[Data]),"")</f>
        <v>46166</v>
      </c>
      <c r="H149" s="200" t="n">
        <f aca="false">IFERROR(_xlfn.MAXIFS(tblCompras[Preço Unit.],tblCompras[Produto],$B149,tblCompras[Unid.],$C149),"")</f>
        <v>3.99</v>
      </c>
      <c r="I149" s="209" t="str">
        <f aca="false">IFERROR(LOOKUP(2,1/((tblCompras[Produto]=$B149)*(tblCompras[Unid.]=$C149)*(tblCompras[Preço Unit.]=$H149)),tblCompras[Mercado]),"")</f>
        <v>Supermercados Nori</v>
      </c>
      <c r="J149" s="210" t="n">
        <f aca="false">IFERROR(LOOKUP(2,1/((tblCompras[Produto]=$B149)*(tblCompras[Unid.]=$C149)*(tblCompras[Preço Unit.]=$H149)),tblCompras[Data]),"")</f>
        <v>46166</v>
      </c>
      <c r="K149" s="211" t="n">
        <f aca="false">IF(OR($E149="",$H149=""),"",MAX(0,$H149-$E149))</f>
        <v>0</v>
      </c>
      <c r="L149" s="212" t="n">
        <f aca="false">IF(OR($E149="",$H149="",$E149=0),"",($H149-$E149)/$E149)</f>
        <v>0</v>
      </c>
      <c r="M149" s="200" t="n">
        <f aca="false">IFERROR(LOOKUP(2,1/((tblCompras[Produto]=$B149)*(tblCompras[Unid.]=$C149)*(tblCompras[Data]=_xlfn.MAXIFS(tblCompras[Data],tblCompras[Produto],$B149,tblCompras[Unid.],$C149))),tblCompras[Preço Unit.]),"")</f>
        <v>3.99</v>
      </c>
      <c r="N149" s="209" t="str">
        <f aca="false">IFERROR(LOOKUP(2,1/((tblCompras[Produto]=$B149)*(tblCompras[Unid.]=$C149)*(tblCompras[Data]=_xlfn.MAXIFS(tblCompras[Data],tblCompras[Produto],$B149,tblCompras[Unid.],$C149))),tblCompras[Mercado])&amp;" · "&amp;TEXT(DAY(_xlfn.MAXIFS(tblCompras[Data],tblCompras[Produto],$B149,tblCompras[Unid.],$C149)),"00")&amp;"/"&amp;TEXT(MONTH(_xlfn.MAXIFS(tblCompras[Data],tblCompras[Produto],$B149,tblCompras[Unid.],$C149)),"00")&amp;"/"&amp;TEXT(MOD(YEAR(_xlfn.MAXIFS(tblCompras[Data],tblCompras[Produto],$B149,tblCompras[Unid.],$C149)),100),"00"),"")</f>
        <v>Supermercados Nori · 24/05/26</v>
      </c>
      <c r="O149" s="1"/>
      <c r="P149" s="1" t="str">
        <f aca="false">IF(AND(ISNUMBER($K149),$K149&gt;0,OR($B$6="Todas",$D149=$B$6)),$K149+ROW()/100000,"")</f>
        <v/>
      </c>
      <c r="Q149" s="1"/>
      <c r="R149" s="1"/>
      <c r="S149" s="1"/>
      <c r="T149" s="1"/>
    </row>
    <row r="150" customFormat="false" ht="15" hidden="false" customHeight="false" outlineLevel="0" collapsed="false">
      <c r="A150" s="1"/>
      <c r="B150" s="202" t="s">
        <v>189</v>
      </c>
      <c r="C150" s="213" t="s">
        <v>179</v>
      </c>
      <c r="D150" s="202" t="s">
        <v>12</v>
      </c>
      <c r="E150" s="205" t="n">
        <f aca="false">IFERROR(_xlfn.MINIFS(tblCompras[Preço Unit.],tblCompras[Produto],$B150,tblCompras[Unid.],$C150),"")</f>
        <v>3.99</v>
      </c>
      <c r="F150" s="213" t="str">
        <f aca="false">IFERROR(LOOKUP(2,1/((tblCompras[Produto]=$B150)*(tblCompras[Unid.]=$C150)*(tblCompras[Preço Unit.]=$E150)),tblCompras[Mercado]),"")</f>
        <v>Supermercados Nori</v>
      </c>
      <c r="G150" s="214" t="n">
        <f aca="false">IFERROR(LOOKUP(2,1/((tblCompras[Produto]=$B150)*(tblCompras[Unid.]=$C150)*(tblCompras[Preço Unit.]=$E150)),tblCompras[Data]),"")</f>
        <v>46146</v>
      </c>
      <c r="H150" s="205" t="n">
        <f aca="false">IFERROR(_xlfn.MAXIFS(tblCompras[Preço Unit.],tblCompras[Produto],$B150,tblCompras[Unid.],$C150),"")</f>
        <v>3.99</v>
      </c>
      <c r="I150" s="213" t="str">
        <f aca="false">IFERROR(LOOKUP(2,1/((tblCompras[Produto]=$B150)*(tblCompras[Unid.]=$C150)*(tblCompras[Preço Unit.]=$H150)),tblCompras[Mercado]),"")</f>
        <v>Supermercados Nori</v>
      </c>
      <c r="J150" s="214" t="n">
        <f aca="false">IFERROR(LOOKUP(2,1/((tblCompras[Produto]=$B150)*(tblCompras[Unid.]=$C150)*(tblCompras[Preço Unit.]=$H150)),tblCompras[Data]),"")</f>
        <v>46146</v>
      </c>
      <c r="K150" s="215" t="n">
        <f aca="false">IF(OR($E150="",$H150=""),"",MAX(0,$H150-$E150))</f>
        <v>0</v>
      </c>
      <c r="L150" s="216" t="n">
        <f aca="false">IF(OR($E150="",$H150="",$E150=0),"",($H150-$E150)/$E150)</f>
        <v>0</v>
      </c>
      <c r="M150" s="205" t="n">
        <f aca="false">IFERROR(LOOKUP(2,1/((tblCompras[Produto]=$B150)*(tblCompras[Unid.]=$C150)*(tblCompras[Data]=_xlfn.MAXIFS(tblCompras[Data],tblCompras[Produto],$B150,tblCompras[Unid.],$C150))),tblCompras[Preço Unit.]),"")</f>
        <v>3.99</v>
      </c>
      <c r="N150" s="213" t="str">
        <f aca="false">IFERROR(LOOKUP(2,1/((tblCompras[Produto]=$B150)*(tblCompras[Unid.]=$C150)*(tblCompras[Data]=_xlfn.MAXIFS(tblCompras[Data],tblCompras[Produto],$B150,tblCompras[Unid.],$C150))),tblCompras[Mercado])&amp;" · "&amp;TEXT(DAY(_xlfn.MAXIFS(tblCompras[Data],tblCompras[Produto],$B150,tblCompras[Unid.],$C150)),"00")&amp;"/"&amp;TEXT(MONTH(_xlfn.MAXIFS(tblCompras[Data],tblCompras[Produto],$B150,tblCompras[Unid.],$C150)),"00")&amp;"/"&amp;TEXT(MOD(YEAR(_xlfn.MAXIFS(tblCompras[Data],tblCompras[Produto],$B150,tblCompras[Unid.],$C150)),100),"00"),"")</f>
        <v>Supermercados Nori · 04/05/26</v>
      </c>
      <c r="O150" s="1"/>
      <c r="P150" s="1" t="str">
        <f aca="false">IF(AND(ISNUMBER($K150),$K150&gt;0,OR($B$6="Todas",$D150=$B$6)),$K150+ROW()/100000,"")</f>
        <v/>
      </c>
      <c r="Q150" s="1"/>
      <c r="R150" s="1"/>
      <c r="S150" s="1"/>
      <c r="T150" s="1"/>
    </row>
    <row r="151" customFormat="false" ht="15" hidden="false" customHeight="false" outlineLevel="0" collapsed="false">
      <c r="A151" s="1"/>
      <c r="B151" s="197" t="s">
        <v>343</v>
      </c>
      <c r="C151" s="209" t="s">
        <v>179</v>
      </c>
      <c r="D151" s="197" t="s">
        <v>12</v>
      </c>
      <c r="E151" s="200" t="n">
        <f aca="false">IFERROR(_xlfn.MINIFS(tblCompras[Preço Unit.],tblCompras[Produto],$B151,tblCompras[Unid.],$C151),"")</f>
        <v>3.49</v>
      </c>
      <c r="F151" s="209" t="str">
        <f aca="false">IFERROR(LOOKUP(2,1/((tblCompras[Produto]=$B151)*(tblCompras[Unid.]=$C151)*(tblCompras[Preço Unit.]=$E151)),tblCompras[Mercado]),"")</f>
        <v>Supermercados Nori</v>
      </c>
      <c r="G151" s="210" t="n">
        <f aca="false">IFERROR(LOOKUP(2,1/((tblCompras[Produto]=$B151)*(tblCompras[Unid.]=$C151)*(tblCompras[Preço Unit.]=$E151)),tblCompras[Data]),"")</f>
        <v>46173</v>
      </c>
      <c r="H151" s="200" t="n">
        <f aca="false">IFERROR(_xlfn.MAXIFS(tblCompras[Preço Unit.],tblCompras[Produto],$B151,tblCompras[Unid.],$C151),"")</f>
        <v>3.49</v>
      </c>
      <c r="I151" s="209" t="str">
        <f aca="false">IFERROR(LOOKUP(2,1/((tblCompras[Produto]=$B151)*(tblCompras[Unid.]=$C151)*(tblCompras[Preço Unit.]=$H151)),tblCompras[Mercado]),"")</f>
        <v>Supermercados Nori</v>
      </c>
      <c r="J151" s="210" t="n">
        <f aca="false">IFERROR(LOOKUP(2,1/((tblCompras[Produto]=$B151)*(tblCompras[Unid.]=$C151)*(tblCompras[Preço Unit.]=$H151)),tblCompras[Data]),"")</f>
        <v>46173</v>
      </c>
      <c r="K151" s="211" t="n">
        <f aca="false">IF(OR($E151="",$H151=""),"",MAX(0,$H151-$E151))</f>
        <v>0</v>
      </c>
      <c r="L151" s="212" t="n">
        <f aca="false">IF(OR($E151="",$H151="",$E151=0),"",($H151-$E151)/$E151)</f>
        <v>0</v>
      </c>
      <c r="M151" s="200" t="n">
        <f aca="false">IFERROR(LOOKUP(2,1/((tblCompras[Produto]=$B151)*(tblCompras[Unid.]=$C151)*(tblCompras[Data]=_xlfn.MAXIFS(tblCompras[Data],tblCompras[Produto],$B151,tblCompras[Unid.],$C151))),tblCompras[Preço Unit.]),"")</f>
        <v>3.49</v>
      </c>
      <c r="N151" s="209" t="str">
        <f aca="false">IFERROR(LOOKUP(2,1/((tblCompras[Produto]=$B151)*(tblCompras[Unid.]=$C151)*(tblCompras[Data]=_xlfn.MAXIFS(tblCompras[Data],tblCompras[Produto],$B151,tblCompras[Unid.],$C151))),tblCompras[Mercado])&amp;" · "&amp;TEXT(DAY(_xlfn.MAXIFS(tblCompras[Data],tblCompras[Produto],$B151,tblCompras[Unid.],$C151)),"00")&amp;"/"&amp;TEXT(MONTH(_xlfn.MAXIFS(tblCompras[Data],tblCompras[Produto],$B151,tblCompras[Unid.],$C151)),"00")&amp;"/"&amp;TEXT(MOD(YEAR(_xlfn.MAXIFS(tblCompras[Data],tblCompras[Produto],$B151,tblCompras[Unid.],$C151)),100),"00"),"")</f>
        <v>Supermercados Nori · 31/05/26</v>
      </c>
      <c r="O151" s="1"/>
      <c r="P151" s="1" t="str">
        <f aca="false">IF(AND(ISNUMBER($K151),$K151&gt;0,OR($B$6="Todas",$D151=$B$6)),$K151+ROW()/100000,"")</f>
        <v/>
      </c>
      <c r="Q151" s="1"/>
      <c r="R151" s="1"/>
      <c r="S151" s="1"/>
      <c r="T151" s="1"/>
    </row>
    <row r="152" customFormat="false" ht="15" hidden="false" customHeight="false" outlineLevel="0" collapsed="false">
      <c r="A152" s="1"/>
      <c r="B152" s="202" t="s">
        <v>1060</v>
      </c>
      <c r="C152" s="213" t="s">
        <v>179</v>
      </c>
      <c r="D152" s="202" t="s">
        <v>12</v>
      </c>
      <c r="E152" s="205" t="n">
        <f aca="false">IFERROR(_xlfn.MINIFS(tblCompras[Preço Unit.],tblCompras[Produto],$B152,tblCompras[Unid.],$C152),"")</f>
        <v>3.6</v>
      </c>
      <c r="F152" s="213" t="str">
        <f aca="false">IFERROR(LOOKUP(2,1/((tblCompras[Produto]=$B152)*(tblCompras[Unid.]=$C152)*(tblCompras[Preço Unit.]=$E152)),tblCompras[Mercado]),"")</f>
        <v>Supermercados Nori</v>
      </c>
      <c r="G152" s="214" t="n">
        <f aca="false">IFERROR(LOOKUP(2,1/((tblCompras[Produto]=$B152)*(tblCompras[Unid.]=$C152)*(tblCompras[Preço Unit.]=$E152)),tblCompras[Data]),"")</f>
        <v>46157</v>
      </c>
      <c r="H152" s="205" t="n">
        <f aca="false">IFERROR(_xlfn.MAXIFS(tblCompras[Preço Unit.],tblCompras[Produto],$B152,tblCompras[Unid.],$C152),"")</f>
        <v>3.6</v>
      </c>
      <c r="I152" s="213" t="str">
        <f aca="false">IFERROR(LOOKUP(2,1/((tblCompras[Produto]=$B152)*(tblCompras[Unid.]=$C152)*(tblCompras[Preço Unit.]=$H152)),tblCompras[Mercado]),"")</f>
        <v>Supermercados Nori</v>
      </c>
      <c r="J152" s="214" t="n">
        <f aca="false">IFERROR(LOOKUP(2,1/((tblCompras[Produto]=$B152)*(tblCompras[Unid.]=$C152)*(tblCompras[Preço Unit.]=$H152)),tblCompras[Data]),"")</f>
        <v>46157</v>
      </c>
      <c r="K152" s="215" t="n">
        <f aca="false">IF(OR($E152="",$H152=""),"",MAX(0,$H152-$E152))</f>
        <v>0</v>
      </c>
      <c r="L152" s="216" t="n">
        <f aca="false">IF(OR($E152="",$H152="",$E152=0),"",($H152-$E152)/$E152)</f>
        <v>0</v>
      </c>
      <c r="M152" s="205" t="n">
        <f aca="false">IFERROR(LOOKUP(2,1/((tblCompras[Produto]=$B152)*(tblCompras[Unid.]=$C152)*(tblCompras[Data]=_xlfn.MAXIFS(tblCompras[Data],tblCompras[Produto],$B152,tblCompras[Unid.],$C152))),tblCompras[Preço Unit.]),"")</f>
        <v>3.6</v>
      </c>
      <c r="N152" s="213" t="str">
        <f aca="false">IFERROR(LOOKUP(2,1/((tblCompras[Produto]=$B152)*(tblCompras[Unid.]=$C152)*(tblCompras[Data]=_xlfn.MAXIFS(tblCompras[Data],tblCompras[Produto],$B152,tblCompras[Unid.],$C152))),tblCompras[Mercado])&amp;" · "&amp;TEXT(DAY(_xlfn.MAXIFS(tblCompras[Data],tblCompras[Produto],$B152,tblCompras[Unid.],$C152)),"00")&amp;"/"&amp;TEXT(MONTH(_xlfn.MAXIFS(tblCompras[Data],tblCompras[Produto],$B152,tblCompras[Unid.],$C152)),"00")&amp;"/"&amp;TEXT(MOD(YEAR(_xlfn.MAXIFS(tblCompras[Data],tblCompras[Produto],$B152,tblCompras[Unid.],$C152)),100),"00"),"")</f>
        <v>Supermercados Nori · 15/05/26</v>
      </c>
      <c r="O152" s="1"/>
      <c r="P152" s="1" t="str">
        <f aca="false">IF(AND(ISNUMBER($K152),$K152&gt;0,OR($B$6="Todas",$D152=$B$6)),$K152+ROW()/100000,"")</f>
        <v/>
      </c>
      <c r="Q152" s="1"/>
      <c r="R152" s="1"/>
      <c r="S152" s="1"/>
      <c r="T152" s="1"/>
    </row>
    <row r="153" customFormat="false" ht="15" hidden="false" customHeight="false" outlineLevel="0" collapsed="false">
      <c r="A153" s="1"/>
      <c r="B153" s="197" t="s">
        <v>256</v>
      </c>
      <c r="C153" s="209" t="s">
        <v>179</v>
      </c>
      <c r="D153" s="197" t="s">
        <v>12</v>
      </c>
      <c r="E153" s="200" t="n">
        <f aca="false">IFERROR(_xlfn.MINIFS(tblCompras[Preço Unit.],tblCompras[Produto],$B153,tblCompras[Unid.],$C153),"")</f>
        <v>5.99</v>
      </c>
      <c r="F153" s="209" t="str">
        <f aca="false">IFERROR(LOOKUP(2,1/((tblCompras[Produto]=$B153)*(tblCompras[Unid.]=$C153)*(tblCompras[Preço Unit.]=$E153)),tblCompras[Mercado]),"")</f>
        <v>Supermercados Nori</v>
      </c>
      <c r="G153" s="210" t="n">
        <f aca="false">IFERROR(LOOKUP(2,1/((tblCompras[Produto]=$B153)*(tblCompras[Unid.]=$C153)*(tblCompras[Preço Unit.]=$E153)),tblCompras[Data]),"")</f>
        <v>46147</v>
      </c>
      <c r="H153" s="200" t="n">
        <f aca="false">IFERROR(_xlfn.MAXIFS(tblCompras[Preço Unit.],tblCompras[Produto],$B153,tblCompras[Unid.],$C153),"")</f>
        <v>5.99</v>
      </c>
      <c r="I153" s="209" t="str">
        <f aca="false">IFERROR(LOOKUP(2,1/((tblCompras[Produto]=$B153)*(tblCompras[Unid.]=$C153)*(tblCompras[Preço Unit.]=$H153)),tblCompras[Mercado]),"")</f>
        <v>Supermercados Nori</v>
      </c>
      <c r="J153" s="210" t="n">
        <f aca="false">IFERROR(LOOKUP(2,1/((tblCompras[Produto]=$B153)*(tblCompras[Unid.]=$C153)*(tblCompras[Preço Unit.]=$H153)),tblCompras[Data]),"")</f>
        <v>46147</v>
      </c>
      <c r="K153" s="211" t="n">
        <f aca="false">IF(OR($E153="",$H153=""),"",MAX(0,$H153-$E153))</f>
        <v>0</v>
      </c>
      <c r="L153" s="212" t="n">
        <f aca="false">IF(OR($E153="",$H153="",$E153=0),"",($H153-$E153)/$E153)</f>
        <v>0</v>
      </c>
      <c r="M153" s="200" t="n">
        <f aca="false">IFERROR(LOOKUP(2,1/((tblCompras[Produto]=$B153)*(tblCompras[Unid.]=$C153)*(tblCompras[Data]=_xlfn.MAXIFS(tblCompras[Data],tblCompras[Produto],$B153,tblCompras[Unid.],$C153))),tblCompras[Preço Unit.]),"")</f>
        <v>5.99</v>
      </c>
      <c r="N153" s="209" t="str">
        <f aca="false">IFERROR(LOOKUP(2,1/((tblCompras[Produto]=$B153)*(tblCompras[Unid.]=$C153)*(tblCompras[Data]=_xlfn.MAXIFS(tblCompras[Data],tblCompras[Produto],$B153,tblCompras[Unid.],$C153))),tblCompras[Mercado])&amp;" · "&amp;TEXT(DAY(_xlfn.MAXIFS(tblCompras[Data],tblCompras[Produto],$B153,tblCompras[Unid.],$C153)),"00")&amp;"/"&amp;TEXT(MONTH(_xlfn.MAXIFS(tblCompras[Data],tblCompras[Produto],$B153,tblCompras[Unid.],$C153)),"00")&amp;"/"&amp;TEXT(MOD(YEAR(_xlfn.MAXIFS(tblCompras[Data],tblCompras[Produto],$B153,tblCompras[Unid.],$C153)),100),"00"),"")</f>
        <v>Supermercados Nori · 05/05/26</v>
      </c>
      <c r="O153" s="1"/>
      <c r="P153" s="1" t="str">
        <f aca="false">IF(AND(ISNUMBER($K153),$K153&gt;0,OR($B$6="Todas",$D153=$B$6)),$K153+ROW()/100000,"")</f>
        <v/>
      </c>
      <c r="Q153" s="1"/>
      <c r="R153" s="1"/>
      <c r="S153" s="1"/>
      <c r="T153" s="1"/>
    </row>
    <row r="154" customFormat="false" ht="15" hidden="false" customHeight="false" outlineLevel="0" collapsed="false">
      <c r="A154" s="1"/>
      <c r="B154" s="202" t="s">
        <v>556</v>
      </c>
      <c r="C154" s="213" t="s">
        <v>179</v>
      </c>
      <c r="D154" s="202" t="s">
        <v>12</v>
      </c>
      <c r="E154" s="205" t="n">
        <f aca="false">IFERROR(_xlfn.MINIFS(tblCompras[Preço Unit.],tblCompras[Produto],$B154,tblCompras[Unid.],$C154),"")</f>
        <v>5.99</v>
      </c>
      <c r="F154" s="213" t="str">
        <f aca="false">IFERROR(LOOKUP(2,1/((tblCompras[Produto]=$B154)*(tblCompras[Unid.]=$C154)*(tblCompras[Preço Unit.]=$E154)),tblCompras[Mercado]),"")</f>
        <v>Supermercados Nori</v>
      </c>
      <c r="G154" s="214" t="n">
        <f aca="false">IFERROR(LOOKUP(2,1/((tblCompras[Produto]=$B154)*(tblCompras[Unid.]=$C154)*(tblCompras[Preço Unit.]=$E154)),tblCompras[Data]),"")</f>
        <v>46173</v>
      </c>
      <c r="H154" s="205" t="n">
        <f aca="false">IFERROR(_xlfn.MAXIFS(tblCompras[Preço Unit.],tblCompras[Produto],$B154,tblCompras[Unid.],$C154),"")</f>
        <v>5.99</v>
      </c>
      <c r="I154" s="213" t="str">
        <f aca="false">IFERROR(LOOKUP(2,1/((tblCompras[Produto]=$B154)*(tblCompras[Unid.]=$C154)*(tblCompras[Preço Unit.]=$H154)),tblCompras[Mercado]),"")</f>
        <v>Supermercados Nori</v>
      </c>
      <c r="J154" s="214" t="n">
        <f aca="false">IFERROR(LOOKUP(2,1/((tblCompras[Produto]=$B154)*(tblCompras[Unid.]=$C154)*(tblCompras[Preço Unit.]=$H154)),tblCompras[Data]),"")</f>
        <v>46173</v>
      </c>
      <c r="K154" s="215" t="n">
        <f aca="false">IF(OR($E154="",$H154=""),"",MAX(0,$H154-$E154))</f>
        <v>0</v>
      </c>
      <c r="L154" s="216" t="n">
        <f aca="false">IF(OR($E154="",$H154="",$E154=0),"",($H154-$E154)/$E154)</f>
        <v>0</v>
      </c>
      <c r="M154" s="205" t="n">
        <f aca="false">IFERROR(LOOKUP(2,1/((tblCompras[Produto]=$B154)*(tblCompras[Unid.]=$C154)*(tblCompras[Data]=_xlfn.MAXIFS(tblCompras[Data],tblCompras[Produto],$B154,tblCompras[Unid.],$C154))),tblCompras[Preço Unit.]),"")</f>
        <v>5.99</v>
      </c>
      <c r="N154" s="213" t="str">
        <f aca="false">IFERROR(LOOKUP(2,1/((tblCompras[Produto]=$B154)*(tblCompras[Unid.]=$C154)*(tblCompras[Data]=_xlfn.MAXIFS(tblCompras[Data],tblCompras[Produto],$B154,tblCompras[Unid.],$C154))),tblCompras[Mercado])&amp;" · "&amp;TEXT(DAY(_xlfn.MAXIFS(tblCompras[Data],tblCompras[Produto],$B154,tblCompras[Unid.],$C154)),"00")&amp;"/"&amp;TEXT(MONTH(_xlfn.MAXIFS(tblCompras[Data],tblCompras[Produto],$B154,tblCompras[Unid.],$C154)),"00")&amp;"/"&amp;TEXT(MOD(YEAR(_xlfn.MAXIFS(tblCompras[Data],tblCompras[Produto],$B154,tblCompras[Unid.],$C154)),100),"00"),"")</f>
        <v>Supermercados Nori · 31/05/26</v>
      </c>
      <c r="O154" s="1"/>
      <c r="P154" s="1" t="str">
        <f aca="false">IF(AND(ISNUMBER($K154),$K154&gt;0,OR($B$6="Todas",$D154=$B$6)),$K154+ROW()/100000,"")</f>
        <v/>
      </c>
      <c r="Q154" s="1"/>
      <c r="R154" s="1"/>
      <c r="S154" s="1"/>
      <c r="T154" s="1"/>
    </row>
    <row r="155" customFormat="false" ht="15" hidden="false" customHeight="false" outlineLevel="0" collapsed="false">
      <c r="A155" s="1"/>
      <c r="B155" s="197" t="s">
        <v>354</v>
      </c>
      <c r="C155" s="209" t="s">
        <v>179</v>
      </c>
      <c r="D155" s="197" t="s">
        <v>12</v>
      </c>
      <c r="E155" s="200" t="n">
        <f aca="false">IFERROR(_xlfn.MINIFS(tblCompras[Preço Unit.],tblCompras[Produto],$B155,tblCompras[Unid.],$C155),"")</f>
        <v>9.45</v>
      </c>
      <c r="F155" s="209" t="str">
        <f aca="false">IFERROR(LOOKUP(2,1/((tblCompras[Produto]=$B155)*(tblCompras[Unid.]=$C155)*(tblCompras[Preço Unit.]=$E155)),tblCompras[Mercado]),"")</f>
        <v>Supermercados Nori</v>
      </c>
      <c r="G155" s="210" t="n">
        <f aca="false">IFERROR(LOOKUP(2,1/((tblCompras[Produto]=$B155)*(tblCompras[Unid.]=$C155)*(tblCompras[Preço Unit.]=$E155)),tblCompras[Data]),"")</f>
        <v>46215</v>
      </c>
      <c r="H155" s="200" t="n">
        <f aca="false">IFERROR(_xlfn.MAXIFS(tblCompras[Preço Unit.],tblCompras[Produto],$B155,tblCompras[Unid.],$C155),"")</f>
        <v>11.99</v>
      </c>
      <c r="I155" s="209" t="str">
        <f aca="false">IFERROR(LOOKUP(2,1/((tblCompras[Produto]=$B155)*(tblCompras[Unid.]=$C155)*(tblCompras[Preço Unit.]=$H155)),tblCompras[Mercado]),"")</f>
        <v>Supermercados Nori</v>
      </c>
      <c r="J155" s="210" t="n">
        <f aca="false">IFERROR(LOOKUP(2,1/((tblCompras[Produto]=$B155)*(tblCompras[Unid.]=$C155)*(tblCompras[Preço Unit.]=$H155)),tblCompras[Data]),"")</f>
        <v>46166</v>
      </c>
      <c r="K155" s="211" t="n">
        <f aca="false">IF(OR($E155="",$H155=""),"",MAX(0,$H155-$E155))</f>
        <v>2.54</v>
      </c>
      <c r="L155" s="212" t="n">
        <f aca="false">IF(OR($E155="",$H155="",$E155=0),"",($H155-$E155)/$E155)</f>
        <v>0.268783068783069</v>
      </c>
      <c r="M155" s="200" t="n">
        <f aca="false">IFERROR(LOOKUP(2,1/((tblCompras[Produto]=$B155)*(tblCompras[Unid.]=$C155)*(tblCompras[Data]=_xlfn.MAXIFS(tblCompras[Data],tblCompras[Produto],$B155,tblCompras[Unid.],$C155))),tblCompras[Preço Unit.]),"")</f>
        <v>9.45</v>
      </c>
      <c r="N155" s="209" t="str">
        <f aca="false">IFERROR(LOOKUP(2,1/((tblCompras[Produto]=$B155)*(tblCompras[Unid.]=$C155)*(tblCompras[Data]=_xlfn.MAXIFS(tblCompras[Data],tblCompras[Produto],$B155,tblCompras[Unid.],$C155))),tblCompras[Mercado])&amp;" · "&amp;TEXT(DAY(_xlfn.MAXIFS(tblCompras[Data],tblCompras[Produto],$B155,tblCompras[Unid.],$C155)),"00")&amp;"/"&amp;TEXT(MONTH(_xlfn.MAXIFS(tblCompras[Data],tblCompras[Produto],$B155,tblCompras[Unid.],$C155)),"00")&amp;"/"&amp;TEXT(MOD(YEAR(_xlfn.MAXIFS(tblCompras[Data],tblCompras[Produto],$B155,tblCompras[Unid.],$C155)),100),"00"),"")</f>
        <v>Supermercados Nori · 12/07/26</v>
      </c>
      <c r="O155" s="1"/>
      <c r="P155" s="1" t="n">
        <f aca="false">IF(AND(ISNUMBER($K155),$K155&gt;0,OR($B$6="Todas",$D155=$B$6)),$K155+ROW()/100000,"")</f>
        <v>2.54155</v>
      </c>
      <c r="Q155" s="1"/>
      <c r="R155" s="1"/>
      <c r="S155" s="1"/>
      <c r="T155" s="1"/>
    </row>
    <row r="156" customFormat="false" ht="15" hidden="false" customHeight="false" outlineLevel="0" collapsed="false">
      <c r="A156" s="1"/>
      <c r="B156" s="202" t="s">
        <v>292</v>
      </c>
      <c r="C156" s="213" t="s">
        <v>179</v>
      </c>
      <c r="D156" s="202" t="s">
        <v>12</v>
      </c>
      <c r="E156" s="205" t="n">
        <f aca="false">IFERROR(_xlfn.MINIFS(tblCompras[Preço Unit.],tblCompras[Produto],$B156,tblCompras[Unid.],$C156),"")</f>
        <v>14.9</v>
      </c>
      <c r="F156" s="213" t="str">
        <f aca="false">IFERROR(LOOKUP(2,1/((tblCompras[Produto]=$B156)*(tblCompras[Unid.]=$C156)*(tblCompras[Preço Unit.]=$E156)),tblCompras[Mercado]),"")</f>
        <v>Supermercado Canesin</v>
      </c>
      <c r="G156" s="214" t="n">
        <f aca="false">IFERROR(LOOKUP(2,1/((tblCompras[Produto]=$B156)*(tblCompras[Unid.]=$C156)*(tblCompras[Preço Unit.]=$E156)),tblCompras[Data]),"")</f>
        <v>46151</v>
      </c>
      <c r="H156" s="205" t="n">
        <f aca="false">IFERROR(_xlfn.MAXIFS(tblCompras[Preço Unit.],tblCompras[Produto],$B156,tblCompras[Unid.],$C156),"")</f>
        <v>14.9</v>
      </c>
      <c r="I156" s="213" t="str">
        <f aca="false">IFERROR(LOOKUP(2,1/((tblCompras[Produto]=$B156)*(tblCompras[Unid.]=$C156)*(tblCompras[Preço Unit.]=$H156)),tblCompras[Mercado]),"")</f>
        <v>Supermercado Canesin</v>
      </c>
      <c r="J156" s="214" t="n">
        <f aca="false">IFERROR(LOOKUP(2,1/((tblCompras[Produto]=$B156)*(tblCompras[Unid.]=$C156)*(tblCompras[Preço Unit.]=$H156)),tblCompras[Data]),"")</f>
        <v>46151</v>
      </c>
      <c r="K156" s="215" t="n">
        <f aca="false">IF(OR($E156="",$H156=""),"",MAX(0,$H156-$E156))</f>
        <v>0</v>
      </c>
      <c r="L156" s="216" t="n">
        <f aca="false">IF(OR($E156="",$H156="",$E156=0),"",($H156-$E156)/$E156)</f>
        <v>0</v>
      </c>
      <c r="M156" s="205" t="n">
        <f aca="false">IFERROR(LOOKUP(2,1/((tblCompras[Produto]=$B156)*(tblCompras[Unid.]=$C156)*(tblCompras[Data]=_xlfn.MAXIFS(tblCompras[Data],tblCompras[Produto],$B156,tblCompras[Unid.],$C156))),tblCompras[Preço Unit.]),"")</f>
        <v>14.9</v>
      </c>
      <c r="N156" s="213" t="str">
        <f aca="false">IFERROR(LOOKUP(2,1/((tblCompras[Produto]=$B156)*(tblCompras[Unid.]=$C156)*(tblCompras[Data]=_xlfn.MAXIFS(tblCompras[Data],tblCompras[Produto],$B156,tblCompras[Unid.],$C156))),tblCompras[Mercado])&amp;" · "&amp;TEXT(DAY(_xlfn.MAXIFS(tblCompras[Data],tblCompras[Produto],$B156,tblCompras[Unid.],$C156)),"00")&amp;"/"&amp;TEXT(MONTH(_xlfn.MAXIFS(tblCompras[Data],tblCompras[Produto],$B156,tblCompras[Unid.],$C156)),"00")&amp;"/"&amp;TEXT(MOD(YEAR(_xlfn.MAXIFS(tblCompras[Data],tblCompras[Produto],$B156,tblCompras[Unid.],$C156)),100),"00"),"")</f>
        <v>Supermercado Canesin · 09/05/26</v>
      </c>
      <c r="O156" s="1"/>
      <c r="P156" s="1" t="str">
        <f aca="false">IF(AND(ISNUMBER($K156),$K156&gt;0,OR($B$6="Todas",$D156=$B$6)),$K156+ROW()/100000,"")</f>
        <v/>
      </c>
      <c r="Q156" s="1"/>
      <c r="R156" s="1"/>
      <c r="S156" s="1"/>
      <c r="T156" s="1"/>
    </row>
    <row r="157" customFormat="false" ht="15" hidden="false" customHeight="false" outlineLevel="0" collapsed="false">
      <c r="A157" s="1"/>
      <c r="B157" s="197" t="s">
        <v>195</v>
      </c>
      <c r="C157" s="209" t="s">
        <v>179</v>
      </c>
      <c r="D157" s="197" t="s">
        <v>12</v>
      </c>
      <c r="E157" s="200" t="n">
        <f aca="false">IFERROR(_xlfn.MINIFS(tblCompras[Preço Unit.],tblCompras[Produto],$B157,tblCompras[Unid.],$C157),"")</f>
        <v>11.99</v>
      </c>
      <c r="F157" s="209" t="str">
        <f aca="false">IFERROR(LOOKUP(2,1/((tblCompras[Produto]=$B157)*(tblCompras[Unid.]=$C157)*(tblCompras[Preço Unit.]=$E157)),tblCompras[Mercado]),"")</f>
        <v>Supermercados Nori</v>
      </c>
      <c r="G157" s="210" t="n">
        <f aca="false">IFERROR(LOOKUP(2,1/((tblCompras[Produto]=$B157)*(tblCompras[Unid.]=$C157)*(tblCompras[Preço Unit.]=$E157)),tblCompras[Data]),"")</f>
        <v>46146</v>
      </c>
      <c r="H157" s="200" t="n">
        <f aca="false">IFERROR(_xlfn.MAXIFS(tblCompras[Preço Unit.],tblCompras[Produto],$B157,tblCompras[Unid.],$C157),"")</f>
        <v>11.99</v>
      </c>
      <c r="I157" s="209" t="str">
        <f aca="false">IFERROR(LOOKUP(2,1/((tblCompras[Produto]=$B157)*(tblCompras[Unid.]=$C157)*(tblCompras[Preço Unit.]=$H157)),tblCompras[Mercado]),"")</f>
        <v>Supermercados Nori</v>
      </c>
      <c r="J157" s="210" t="n">
        <f aca="false">IFERROR(LOOKUP(2,1/((tblCompras[Produto]=$B157)*(tblCompras[Unid.]=$C157)*(tblCompras[Preço Unit.]=$H157)),tblCompras[Data]),"")</f>
        <v>46146</v>
      </c>
      <c r="K157" s="211" t="n">
        <f aca="false">IF(OR($E157="",$H157=""),"",MAX(0,$H157-$E157))</f>
        <v>0</v>
      </c>
      <c r="L157" s="212" t="n">
        <f aca="false">IF(OR($E157="",$H157="",$E157=0),"",($H157-$E157)/$E157)</f>
        <v>0</v>
      </c>
      <c r="M157" s="200" t="n">
        <f aca="false">IFERROR(LOOKUP(2,1/((tblCompras[Produto]=$B157)*(tblCompras[Unid.]=$C157)*(tblCompras[Data]=_xlfn.MAXIFS(tblCompras[Data],tblCompras[Produto],$B157,tblCompras[Unid.],$C157))),tblCompras[Preço Unit.]),"")</f>
        <v>11.99</v>
      </c>
      <c r="N157" s="209" t="str">
        <f aca="false">IFERROR(LOOKUP(2,1/((tblCompras[Produto]=$B157)*(tblCompras[Unid.]=$C157)*(tblCompras[Data]=_xlfn.MAXIFS(tblCompras[Data],tblCompras[Produto],$B157,tblCompras[Unid.],$C157))),tblCompras[Mercado])&amp;" · "&amp;TEXT(DAY(_xlfn.MAXIFS(tblCompras[Data],tblCompras[Produto],$B157,tblCompras[Unid.],$C157)),"00")&amp;"/"&amp;TEXT(MONTH(_xlfn.MAXIFS(tblCompras[Data],tblCompras[Produto],$B157,tblCompras[Unid.],$C157)),"00")&amp;"/"&amp;TEXT(MOD(YEAR(_xlfn.MAXIFS(tblCompras[Data],tblCompras[Produto],$B157,tblCompras[Unid.],$C157)),100),"00"),"")</f>
        <v>Supermercados Nori · 15/05/26</v>
      </c>
      <c r="O157" s="1"/>
      <c r="P157" s="1" t="str">
        <f aca="false">IF(AND(ISNUMBER($K157),$K157&gt;0,OR($B$6="Todas",$D157=$B$6)),$K157+ROW()/100000,"")</f>
        <v/>
      </c>
      <c r="Q157" s="1"/>
      <c r="R157" s="1"/>
      <c r="S157" s="1"/>
      <c r="T157" s="1"/>
    </row>
    <row r="158" customFormat="false" ht="15" hidden="false" customHeight="false" outlineLevel="0" collapsed="false">
      <c r="A158" s="1"/>
      <c r="B158" s="202" t="s">
        <v>403</v>
      </c>
      <c r="C158" s="213" t="s">
        <v>179</v>
      </c>
      <c r="D158" s="202" t="s">
        <v>12</v>
      </c>
      <c r="E158" s="205" t="n">
        <f aca="false">IFERROR(_xlfn.MINIFS(tblCompras[Preço Unit.],tblCompras[Produto],$B158,tblCompras[Unid.],$C158),"")</f>
        <v>5.9</v>
      </c>
      <c r="F158" s="213" t="str">
        <f aca="false">IFERROR(LOOKUP(2,1/((tblCompras[Produto]=$B158)*(tblCompras[Unid.]=$C158)*(tblCompras[Preço Unit.]=$E158)),tblCompras[Mercado]),"")</f>
        <v>Supermercados Nori</v>
      </c>
      <c r="G158" s="214" t="n">
        <f aca="false">IFERROR(LOOKUP(2,1/((tblCompras[Produto]=$B158)*(tblCompras[Unid.]=$C158)*(tblCompras[Preço Unit.]=$E158)),tblCompras[Data]),"")</f>
        <v>46173</v>
      </c>
      <c r="H158" s="205" t="n">
        <f aca="false">IFERROR(_xlfn.MAXIFS(tblCompras[Preço Unit.],tblCompras[Produto],$B158,tblCompras[Unid.],$C158),"")</f>
        <v>11.9</v>
      </c>
      <c r="I158" s="213" t="str">
        <f aca="false">IFERROR(LOOKUP(2,1/((tblCompras[Produto]=$B158)*(tblCompras[Unid.]=$C158)*(tblCompras[Preço Unit.]=$H158)),tblCompras[Mercado]),"")</f>
        <v>Supermercados Nori</v>
      </c>
      <c r="J158" s="214" t="n">
        <f aca="false">IFERROR(LOOKUP(2,1/((tblCompras[Produto]=$B158)*(tblCompras[Unid.]=$C158)*(tblCompras[Preço Unit.]=$H158)),tblCompras[Data]),"")</f>
        <v>46157</v>
      </c>
      <c r="K158" s="215" t="n">
        <f aca="false">IF(OR($E158="",$H158=""),"",MAX(0,$H158-$E158))</f>
        <v>6</v>
      </c>
      <c r="L158" s="216" t="n">
        <f aca="false">IF(OR($E158="",$H158="",$E158=0),"",($H158-$E158)/$E158)</f>
        <v>1.01694915254237</v>
      </c>
      <c r="M158" s="205" t="n">
        <f aca="false">IFERROR(LOOKUP(2,1/((tblCompras[Produto]=$B158)*(tblCompras[Unid.]=$C158)*(tblCompras[Data]=_xlfn.MAXIFS(tblCompras[Data],tblCompras[Produto],$B158,tblCompras[Unid.],$C158))),tblCompras[Preço Unit.]),"")</f>
        <v>5.9</v>
      </c>
      <c r="N158" s="213" t="str">
        <f aca="false">IFERROR(LOOKUP(2,1/((tblCompras[Produto]=$B158)*(tblCompras[Unid.]=$C158)*(tblCompras[Data]=_xlfn.MAXIFS(tblCompras[Data],tblCompras[Produto],$B158,tblCompras[Unid.],$C158))),tblCompras[Mercado])&amp;" · "&amp;TEXT(DAY(_xlfn.MAXIFS(tblCompras[Data],tblCompras[Produto],$B158,tblCompras[Unid.],$C158)),"00")&amp;"/"&amp;TEXT(MONTH(_xlfn.MAXIFS(tblCompras[Data],tblCompras[Produto],$B158,tblCompras[Unid.],$C158)),"00")&amp;"/"&amp;TEXT(MOD(YEAR(_xlfn.MAXIFS(tblCompras[Data],tblCompras[Produto],$B158,tblCompras[Unid.],$C158)),100),"00"),"")</f>
        <v>Supermercados Nori · 31/05/26</v>
      </c>
      <c r="O158" s="1"/>
      <c r="P158" s="1" t="n">
        <f aca="false">IF(AND(ISNUMBER($K158),$K158&gt;0,OR($B$6="Todas",$D158=$B$6)),$K158+ROW()/100000,"")</f>
        <v>6.00158</v>
      </c>
      <c r="Q158" s="1"/>
      <c r="R158" s="1"/>
      <c r="S158" s="1"/>
      <c r="T158" s="1"/>
    </row>
    <row r="159" customFormat="false" ht="15" hidden="false" customHeight="false" outlineLevel="0" collapsed="false">
      <c r="A159" s="1"/>
      <c r="B159" s="197" t="s">
        <v>1100</v>
      </c>
      <c r="C159" s="209" t="s">
        <v>179</v>
      </c>
      <c r="D159" s="197" t="s">
        <v>12</v>
      </c>
      <c r="E159" s="200" t="n">
        <f aca="false">IFERROR(_xlfn.MINIFS(tblCompras[Preço Unit.],tblCompras[Produto],$B159,tblCompras[Unid.],$C159),"")</f>
        <v>5.9</v>
      </c>
      <c r="F159" s="209" t="str">
        <f aca="false">IFERROR(LOOKUP(2,1/((tblCompras[Produto]=$B159)*(tblCompras[Unid.]=$C159)*(tblCompras[Preço Unit.]=$E159)),tblCompras[Mercado]),"")</f>
        <v>Supermercados Nori</v>
      </c>
      <c r="G159" s="210" t="n">
        <f aca="false">IFERROR(LOOKUP(2,1/((tblCompras[Produto]=$B159)*(tblCompras[Unid.]=$C159)*(tblCompras[Preço Unit.]=$E159)),tblCompras[Data]),"")</f>
        <v>46173</v>
      </c>
      <c r="H159" s="200" t="n">
        <f aca="false">IFERROR(_xlfn.MAXIFS(tblCompras[Preço Unit.],tblCompras[Produto],$B159,tblCompras[Unid.],$C159),"")</f>
        <v>11.9</v>
      </c>
      <c r="I159" s="209" t="str">
        <f aca="false">IFERROR(LOOKUP(2,1/((tblCompras[Produto]=$B159)*(tblCompras[Unid.]=$C159)*(tblCompras[Preço Unit.]=$H159)),tblCompras[Mercado]),"")</f>
        <v>Supermercados Nori</v>
      </c>
      <c r="J159" s="210" t="n">
        <f aca="false">IFERROR(LOOKUP(2,1/((tblCompras[Produto]=$B159)*(tblCompras[Unid.]=$C159)*(tblCompras[Preço Unit.]=$H159)),tblCompras[Data]),"")</f>
        <v>46157</v>
      </c>
      <c r="K159" s="211" t="n">
        <f aca="false">IF(OR($E159="",$H159=""),"",MAX(0,$H159-$E159))</f>
        <v>6</v>
      </c>
      <c r="L159" s="212" t="n">
        <f aca="false">IF(OR($E159="",$H159="",$E159=0),"",($H159-$E159)/$E159)</f>
        <v>1.01694915254237</v>
      </c>
      <c r="M159" s="200" t="n">
        <f aca="false">IFERROR(LOOKUP(2,1/((tblCompras[Produto]=$B159)*(tblCompras[Unid.]=$C159)*(tblCompras[Data]=_xlfn.MAXIFS(tblCompras[Data],tblCompras[Produto],$B159,tblCompras[Unid.],$C159))),tblCompras[Preço Unit.]),"")</f>
        <v>5.9</v>
      </c>
      <c r="N159" s="209" t="str">
        <f aca="false">IFERROR(LOOKUP(2,1/((tblCompras[Produto]=$B159)*(tblCompras[Unid.]=$C159)*(tblCompras[Data]=_xlfn.MAXIFS(tblCompras[Data],tblCompras[Produto],$B159,tblCompras[Unid.],$C159))),tblCompras[Mercado])&amp;" · "&amp;TEXT(DAY(_xlfn.MAXIFS(tblCompras[Data],tblCompras[Produto],$B159,tblCompras[Unid.],$C159)),"00")&amp;"/"&amp;TEXT(MONTH(_xlfn.MAXIFS(tblCompras[Data],tblCompras[Produto],$B159,tblCompras[Unid.],$C159)),"00")&amp;"/"&amp;TEXT(MOD(YEAR(_xlfn.MAXIFS(tblCompras[Data],tblCompras[Produto],$B159,tblCompras[Unid.],$C159)),100),"00"),"")</f>
        <v>Supermercados Nori · 31/05/26</v>
      </c>
      <c r="O159" s="1"/>
      <c r="P159" s="1" t="n">
        <f aca="false">IF(AND(ISNUMBER($K159),$K159&gt;0,OR($B$6="Todas",$D159=$B$6)),$K159+ROW()/100000,"")</f>
        <v>6.00159</v>
      </c>
      <c r="Q159" s="1"/>
      <c r="R159" s="1"/>
      <c r="S159" s="1"/>
      <c r="T159" s="1"/>
    </row>
    <row r="160" customFormat="false" ht="15" hidden="false" customHeight="false" outlineLevel="0" collapsed="false">
      <c r="A160" s="1"/>
      <c r="B160" s="202" t="s">
        <v>764</v>
      </c>
      <c r="C160" s="213" t="s">
        <v>179</v>
      </c>
      <c r="D160" s="202" t="s">
        <v>12</v>
      </c>
      <c r="E160" s="205" t="n">
        <f aca="false">IFERROR(_xlfn.MINIFS(tblCompras[Preço Unit.],tblCompras[Produto],$B160,tblCompras[Unid.],$C160),"")</f>
        <v>15.9</v>
      </c>
      <c r="F160" s="213" t="str">
        <f aca="false">IFERROR(LOOKUP(2,1/((tblCompras[Produto]=$B160)*(tblCompras[Unid.]=$C160)*(tblCompras[Preço Unit.]=$E160)),tblCompras[Mercado]),"")</f>
        <v>Supermercado Canesin</v>
      </c>
      <c r="G160" s="214" t="n">
        <f aca="false">IFERROR(LOOKUP(2,1/((tblCompras[Produto]=$B160)*(tblCompras[Unid.]=$C160)*(tblCompras[Preço Unit.]=$E160)),tblCompras[Data]),"")</f>
        <v>46239</v>
      </c>
      <c r="H160" s="205" t="n">
        <f aca="false">IFERROR(_xlfn.MAXIFS(tblCompras[Preço Unit.],tblCompras[Produto],$B160,tblCompras[Unid.],$C160),"")</f>
        <v>15.9</v>
      </c>
      <c r="I160" s="213" t="str">
        <f aca="false">IFERROR(LOOKUP(2,1/((tblCompras[Produto]=$B160)*(tblCompras[Unid.]=$C160)*(tblCompras[Preço Unit.]=$H160)),tblCompras[Mercado]),"")</f>
        <v>Supermercado Canesin</v>
      </c>
      <c r="J160" s="214" t="n">
        <f aca="false">IFERROR(LOOKUP(2,1/((tblCompras[Produto]=$B160)*(tblCompras[Unid.]=$C160)*(tblCompras[Preço Unit.]=$H160)),tblCompras[Data]),"")</f>
        <v>46239</v>
      </c>
      <c r="K160" s="215" t="n">
        <f aca="false">IF(OR($E160="",$H160=""),"",MAX(0,$H160-$E160))</f>
        <v>0</v>
      </c>
      <c r="L160" s="216" t="n">
        <f aca="false">IF(OR($E160="",$H160="",$E160=0),"",($H160-$E160)/$E160)</f>
        <v>0</v>
      </c>
      <c r="M160" s="205" t="n">
        <f aca="false">IFERROR(LOOKUP(2,1/((tblCompras[Produto]=$B160)*(tblCompras[Unid.]=$C160)*(tblCompras[Data]=_xlfn.MAXIFS(tblCompras[Data],tblCompras[Produto],$B160,tblCompras[Unid.],$C160))),tblCompras[Preço Unit.]),"")</f>
        <v>15.9</v>
      </c>
      <c r="N160" s="213" t="str">
        <f aca="false">IFERROR(LOOKUP(2,1/((tblCompras[Produto]=$B160)*(tblCompras[Unid.]=$C160)*(tblCompras[Data]=_xlfn.MAXIFS(tblCompras[Data],tblCompras[Produto],$B160,tblCompras[Unid.],$C160))),tblCompras[Mercado])&amp;" · "&amp;TEXT(DAY(_xlfn.MAXIFS(tblCompras[Data],tblCompras[Produto],$B160,tblCompras[Unid.],$C160)),"00")&amp;"/"&amp;TEXT(MONTH(_xlfn.MAXIFS(tblCompras[Data],tblCompras[Produto],$B160,tblCompras[Unid.],$C160)),"00")&amp;"/"&amp;TEXT(MOD(YEAR(_xlfn.MAXIFS(tblCompras[Data],tblCompras[Produto],$B160,tblCompras[Unid.],$C160)),100),"00"),"")</f>
        <v>Supermercado Canesin · 05/08/26</v>
      </c>
      <c r="O160" s="1"/>
      <c r="P160" s="1" t="str">
        <f aca="false">IF(AND(ISNUMBER($K160),$K160&gt;0,OR($B$6="Todas",$D160=$B$6)),$K160+ROW()/100000,"")</f>
        <v/>
      </c>
      <c r="Q160" s="1"/>
      <c r="R160" s="1"/>
      <c r="S160" s="1"/>
      <c r="T160" s="1"/>
    </row>
    <row r="161" customFormat="false" ht="15" hidden="false" customHeight="false" outlineLevel="0" collapsed="false">
      <c r="A161" s="1"/>
      <c r="B161" s="197" t="s">
        <v>405</v>
      </c>
      <c r="C161" s="209" t="s">
        <v>179</v>
      </c>
      <c r="D161" s="197" t="s">
        <v>12</v>
      </c>
      <c r="E161" s="200" t="n">
        <f aca="false">IFERROR(_xlfn.MINIFS(tblCompras[Preço Unit.],tblCompras[Produto],$B161,tblCompras[Unid.],$C161),"")</f>
        <v>3.9</v>
      </c>
      <c r="F161" s="209" t="str">
        <f aca="false">IFERROR(LOOKUP(2,1/((tblCompras[Produto]=$B161)*(tblCompras[Unid.]=$C161)*(tblCompras[Preço Unit.]=$E161)),tblCompras[Mercado]),"")</f>
        <v>Supermercados Nori</v>
      </c>
      <c r="G161" s="210" t="n">
        <f aca="false">IFERROR(LOOKUP(2,1/((tblCompras[Produto]=$B161)*(tblCompras[Unid.]=$C161)*(tblCompras[Preço Unit.]=$E161)),tblCompras[Data]),"")</f>
        <v>46185</v>
      </c>
      <c r="H161" s="200" t="n">
        <f aca="false">IFERROR(_xlfn.MAXIFS(tblCompras[Preço Unit.],tblCompras[Produto],$B161,tblCompras[Unid.],$C161),"")</f>
        <v>4.45</v>
      </c>
      <c r="I161" s="209" t="str">
        <f aca="false">IFERROR(LOOKUP(2,1/((tblCompras[Produto]=$B161)*(tblCompras[Unid.]=$C161)*(tblCompras[Preço Unit.]=$H161)),tblCompras[Mercado]),"")</f>
        <v>Supermercados Nori</v>
      </c>
      <c r="J161" s="210" t="n">
        <f aca="false">IFERROR(LOOKUP(2,1/((tblCompras[Produto]=$B161)*(tblCompras[Unid.]=$C161)*(tblCompras[Preço Unit.]=$H161)),tblCompras[Data]),"")</f>
        <v>46157</v>
      </c>
      <c r="K161" s="211" t="n">
        <f aca="false">IF(OR($E161="",$H161=""),"",MAX(0,$H161-$E161))</f>
        <v>0.55</v>
      </c>
      <c r="L161" s="212" t="n">
        <f aca="false">IF(OR($E161="",$H161="",$E161=0),"",($H161-$E161)/$E161)</f>
        <v>0.141025641025641</v>
      </c>
      <c r="M161" s="200" t="n">
        <f aca="false">IFERROR(LOOKUP(2,1/((tblCompras[Produto]=$B161)*(tblCompras[Unid.]=$C161)*(tblCompras[Data]=_xlfn.MAXIFS(tblCompras[Data],tblCompras[Produto],$B161,tblCompras[Unid.],$C161))),tblCompras[Preço Unit.]),"")</f>
        <v>3.9</v>
      </c>
      <c r="N161" s="209" t="str">
        <f aca="false">IFERROR(LOOKUP(2,1/((tblCompras[Produto]=$B161)*(tblCompras[Unid.]=$C161)*(tblCompras[Data]=_xlfn.MAXIFS(tblCompras[Data],tblCompras[Produto],$B161,tblCompras[Unid.],$C161))),tblCompras[Mercado])&amp;" · "&amp;TEXT(DAY(_xlfn.MAXIFS(tblCompras[Data],tblCompras[Produto],$B161,tblCompras[Unid.],$C161)),"00")&amp;"/"&amp;TEXT(MONTH(_xlfn.MAXIFS(tblCompras[Data],tblCompras[Produto],$B161,tblCompras[Unid.],$C161)),"00")&amp;"/"&amp;TEXT(MOD(YEAR(_xlfn.MAXIFS(tblCompras[Data],tblCompras[Produto],$B161,tblCompras[Unid.],$C161)),100),"00"),"")</f>
        <v>Supermercados Nori · 12/06/26</v>
      </c>
      <c r="O161" s="1"/>
      <c r="P161" s="1" t="n">
        <f aca="false">IF(AND(ISNUMBER($K161),$K161&gt;0,OR($B$6="Todas",$D161=$B$6)),$K161+ROW()/100000,"")</f>
        <v>0.55161</v>
      </c>
      <c r="Q161" s="1"/>
      <c r="R161" s="1"/>
      <c r="S161" s="1"/>
      <c r="T161" s="1"/>
    </row>
    <row r="162" customFormat="false" ht="15" hidden="false" customHeight="false" outlineLevel="0" collapsed="false">
      <c r="A162" s="1"/>
      <c r="B162" s="202" t="s">
        <v>1101</v>
      </c>
      <c r="C162" s="213" t="s">
        <v>179</v>
      </c>
      <c r="D162" s="202" t="s">
        <v>12</v>
      </c>
      <c r="E162" s="205" t="n">
        <f aca="false">IFERROR(_xlfn.MINIFS(tblCompras[Preço Unit.],tblCompras[Produto],$B162,tblCompras[Unid.],$C162),"")</f>
        <v>3.9</v>
      </c>
      <c r="F162" s="213" t="str">
        <f aca="false">IFERROR(LOOKUP(2,1/((tblCompras[Produto]=$B162)*(tblCompras[Unid.]=$C162)*(tblCompras[Preço Unit.]=$E162)),tblCompras[Mercado]),"")</f>
        <v>Supermercados Nori</v>
      </c>
      <c r="G162" s="214" t="n">
        <f aca="false">IFERROR(LOOKUP(2,1/((tblCompras[Produto]=$B162)*(tblCompras[Unid.]=$C162)*(tblCompras[Preço Unit.]=$E162)),tblCompras[Data]),"")</f>
        <v>46185</v>
      </c>
      <c r="H162" s="205" t="n">
        <f aca="false">IFERROR(_xlfn.MAXIFS(tblCompras[Preço Unit.],tblCompras[Produto],$B162,tblCompras[Unid.],$C162),"")</f>
        <v>4.45</v>
      </c>
      <c r="I162" s="213" t="str">
        <f aca="false">IFERROR(LOOKUP(2,1/((tblCompras[Produto]=$B162)*(tblCompras[Unid.]=$C162)*(tblCompras[Preço Unit.]=$H162)),tblCompras[Mercado]),"")</f>
        <v>Supermercados Nori</v>
      </c>
      <c r="J162" s="214" t="n">
        <f aca="false">IFERROR(LOOKUP(2,1/((tblCompras[Produto]=$B162)*(tblCompras[Unid.]=$C162)*(tblCompras[Preço Unit.]=$H162)),tblCompras[Data]),"")</f>
        <v>46157</v>
      </c>
      <c r="K162" s="215" t="n">
        <f aca="false">IF(OR($E162="",$H162=""),"",MAX(0,$H162-$E162))</f>
        <v>0.55</v>
      </c>
      <c r="L162" s="216" t="n">
        <f aca="false">IF(OR($E162="",$H162="",$E162=0),"",($H162-$E162)/$E162)</f>
        <v>0.141025641025641</v>
      </c>
      <c r="M162" s="205" t="n">
        <f aca="false">IFERROR(LOOKUP(2,1/((tblCompras[Produto]=$B162)*(tblCompras[Unid.]=$C162)*(tblCompras[Data]=_xlfn.MAXIFS(tblCompras[Data],tblCompras[Produto],$B162,tblCompras[Unid.],$C162))),tblCompras[Preço Unit.]),"")</f>
        <v>3.9</v>
      </c>
      <c r="N162" s="213" t="str">
        <f aca="false">IFERROR(LOOKUP(2,1/((tblCompras[Produto]=$B162)*(tblCompras[Unid.]=$C162)*(tblCompras[Data]=_xlfn.MAXIFS(tblCompras[Data],tblCompras[Produto],$B162,tblCompras[Unid.],$C162))),tblCompras[Mercado])&amp;" · "&amp;TEXT(DAY(_xlfn.MAXIFS(tblCompras[Data],tblCompras[Produto],$B162,tblCompras[Unid.],$C162)),"00")&amp;"/"&amp;TEXT(MONTH(_xlfn.MAXIFS(tblCompras[Data],tblCompras[Produto],$B162,tblCompras[Unid.],$C162)),"00")&amp;"/"&amp;TEXT(MOD(YEAR(_xlfn.MAXIFS(tblCompras[Data],tblCompras[Produto],$B162,tblCompras[Unid.],$C162)),100),"00"),"")</f>
        <v>Supermercados Nori · 12/06/26</v>
      </c>
      <c r="O162" s="1"/>
      <c r="P162" s="1" t="n">
        <f aca="false">IF(AND(ISNUMBER($K162),$K162&gt;0,OR($B$6="Todas",$D162=$B$6)),$K162+ROW()/100000,"")</f>
        <v>0.55162</v>
      </c>
      <c r="Q162" s="1"/>
      <c r="R162" s="1"/>
      <c r="S162" s="1"/>
      <c r="T162" s="1"/>
    </row>
    <row r="163" customFormat="false" ht="15" hidden="false" customHeight="false" outlineLevel="0" collapsed="false">
      <c r="A163" s="1"/>
      <c r="B163" s="197" t="s">
        <v>1070</v>
      </c>
      <c r="C163" s="209" t="s">
        <v>179</v>
      </c>
      <c r="D163" s="197" t="s">
        <v>12</v>
      </c>
      <c r="E163" s="200" t="n">
        <f aca="false">IFERROR(_xlfn.MINIFS(tblCompras[Preço Unit.],tblCompras[Produto],$B163,tblCompras[Unid.],$C163),"")</f>
        <v>3.85</v>
      </c>
      <c r="F163" s="209" t="str">
        <f aca="false">IFERROR(LOOKUP(2,1/((tblCompras[Produto]=$B163)*(tblCompras[Unid.]=$C163)*(tblCompras[Preço Unit.]=$E163)),tblCompras[Mercado]),"")</f>
        <v>Supermercados Nori</v>
      </c>
      <c r="G163" s="210" t="n">
        <f aca="false">IFERROR(LOOKUP(2,1/((tblCompras[Produto]=$B163)*(tblCompras[Unid.]=$C163)*(tblCompras[Preço Unit.]=$E163)),tblCompras[Data]),"")</f>
        <v>46157</v>
      </c>
      <c r="H163" s="200" t="n">
        <f aca="false">IFERROR(_xlfn.MAXIFS(tblCompras[Preço Unit.],tblCompras[Produto],$B163,tblCompras[Unid.],$C163),"")</f>
        <v>4.85</v>
      </c>
      <c r="I163" s="209" t="str">
        <f aca="false">IFERROR(LOOKUP(2,1/((tblCompras[Produto]=$B163)*(tblCompras[Unid.]=$C163)*(tblCompras[Preço Unit.]=$H163)),tblCompras[Mercado]),"")</f>
        <v>Supermercados Nori</v>
      </c>
      <c r="J163" s="210" t="n">
        <f aca="false">IFERROR(LOOKUP(2,1/((tblCompras[Produto]=$B163)*(tblCompras[Unid.]=$C163)*(tblCompras[Preço Unit.]=$H163)),tblCompras[Data]),"")</f>
        <v>46185</v>
      </c>
      <c r="K163" s="211" t="n">
        <f aca="false">IF(OR($E163="",$H163=""),"",MAX(0,$H163-$E163))</f>
        <v>1</v>
      </c>
      <c r="L163" s="212" t="n">
        <f aca="false">IF(OR($E163="",$H163="",$E163=0),"",($H163-$E163)/$E163)</f>
        <v>0.25974025974026</v>
      </c>
      <c r="M163" s="200" t="n">
        <f aca="false">IFERROR(LOOKUP(2,1/((tblCompras[Produto]=$B163)*(tblCompras[Unid.]=$C163)*(tblCompras[Data]=_xlfn.MAXIFS(tblCompras[Data],tblCompras[Produto],$B163,tblCompras[Unid.],$C163))),tblCompras[Preço Unit.]),"")</f>
        <v>4.85</v>
      </c>
      <c r="N163" s="209" t="str">
        <f aca="false">IFERROR(LOOKUP(2,1/((tblCompras[Produto]=$B163)*(tblCompras[Unid.]=$C163)*(tblCompras[Data]=_xlfn.MAXIFS(tblCompras[Data],tblCompras[Produto],$B163,tblCompras[Unid.],$C163))),tblCompras[Mercado])&amp;" · "&amp;TEXT(DAY(_xlfn.MAXIFS(tblCompras[Data],tblCompras[Produto],$B163,tblCompras[Unid.],$C163)),"00")&amp;"/"&amp;TEXT(MONTH(_xlfn.MAXIFS(tblCompras[Data],tblCompras[Produto],$B163,tblCompras[Unid.],$C163)),"00")&amp;"/"&amp;TEXT(MOD(YEAR(_xlfn.MAXIFS(tblCompras[Data],tblCompras[Produto],$B163,tblCompras[Unid.],$C163)),100),"00"),"")</f>
        <v>Supermercados Nori · 12/06/26</v>
      </c>
      <c r="O163" s="1"/>
      <c r="P163" s="1" t="n">
        <f aca="false">IF(AND(ISNUMBER($K163),$K163&gt;0,OR($B$6="Todas",$D163=$B$6)),$K163+ROW()/100000,"")</f>
        <v>1.00163</v>
      </c>
      <c r="Q163" s="1"/>
      <c r="R163" s="1"/>
      <c r="S163" s="1"/>
      <c r="T163" s="1"/>
    </row>
    <row r="164" customFormat="false" ht="15" hidden="false" customHeight="false" outlineLevel="0" collapsed="false">
      <c r="A164" s="1"/>
      <c r="B164" s="202" t="s">
        <v>1064</v>
      </c>
      <c r="C164" s="213" t="s">
        <v>179</v>
      </c>
      <c r="D164" s="202" t="s">
        <v>12</v>
      </c>
      <c r="E164" s="205" t="n">
        <f aca="false">IFERROR(_xlfn.MINIFS(tblCompras[Preço Unit.],tblCompras[Produto],$B164,tblCompras[Unid.],$C164),"")</f>
        <v>10.7</v>
      </c>
      <c r="F164" s="213" t="str">
        <f aca="false">IFERROR(LOOKUP(2,1/((tblCompras[Produto]=$B164)*(tblCompras[Unid.]=$C164)*(tblCompras[Preço Unit.]=$E164)),tblCompras[Mercado]),"")</f>
        <v>Supermercados Nori</v>
      </c>
      <c r="G164" s="214" t="n">
        <f aca="false">IFERROR(LOOKUP(2,1/((tblCompras[Produto]=$B164)*(tblCompras[Unid.]=$C164)*(tblCompras[Preço Unit.]=$E164)),tblCompras[Data]),"")</f>
        <v>46157</v>
      </c>
      <c r="H164" s="205" t="n">
        <f aca="false">IFERROR(_xlfn.MAXIFS(tblCompras[Preço Unit.],tblCompras[Produto],$B164,tblCompras[Unid.],$C164),"")</f>
        <v>10.7</v>
      </c>
      <c r="I164" s="213" t="str">
        <f aca="false">IFERROR(LOOKUP(2,1/((tblCompras[Produto]=$B164)*(tblCompras[Unid.]=$C164)*(tblCompras[Preço Unit.]=$H164)),tblCompras[Mercado]),"")</f>
        <v>Supermercados Nori</v>
      </c>
      <c r="J164" s="214" t="n">
        <f aca="false">IFERROR(LOOKUP(2,1/((tblCompras[Produto]=$B164)*(tblCompras[Unid.]=$C164)*(tblCompras[Preço Unit.]=$H164)),tblCompras[Data]),"")</f>
        <v>46157</v>
      </c>
      <c r="K164" s="215" t="n">
        <f aca="false">IF(OR($E164="",$H164=""),"",MAX(0,$H164-$E164))</f>
        <v>0</v>
      </c>
      <c r="L164" s="216" t="n">
        <f aca="false">IF(OR($E164="",$H164="",$E164=0),"",($H164-$E164)/$E164)</f>
        <v>0</v>
      </c>
      <c r="M164" s="205" t="n">
        <f aca="false">IFERROR(LOOKUP(2,1/((tblCompras[Produto]=$B164)*(tblCompras[Unid.]=$C164)*(tblCompras[Data]=_xlfn.MAXIFS(tblCompras[Data],tblCompras[Produto],$B164,tblCompras[Unid.],$C164))),tblCompras[Preço Unit.]),"")</f>
        <v>10.7</v>
      </c>
      <c r="N164" s="213" t="str">
        <f aca="false">IFERROR(LOOKUP(2,1/((tblCompras[Produto]=$B164)*(tblCompras[Unid.]=$C164)*(tblCompras[Data]=_xlfn.MAXIFS(tblCompras[Data],tblCompras[Produto],$B164,tblCompras[Unid.],$C164))),tblCompras[Mercado])&amp;" · "&amp;TEXT(DAY(_xlfn.MAXIFS(tblCompras[Data],tblCompras[Produto],$B164,tblCompras[Unid.],$C164)),"00")&amp;"/"&amp;TEXT(MONTH(_xlfn.MAXIFS(tblCompras[Data],tblCompras[Produto],$B164,tblCompras[Unid.],$C164)),"00")&amp;"/"&amp;TEXT(MOD(YEAR(_xlfn.MAXIFS(tblCompras[Data],tblCompras[Produto],$B164,tblCompras[Unid.],$C164)),100),"00"),"")</f>
        <v>Supermercados Nori · 15/05/26</v>
      </c>
      <c r="O164" s="1"/>
      <c r="P164" s="1" t="str">
        <f aca="false">IF(AND(ISNUMBER($K164),$K164&gt;0,OR($B$6="Todas",$D164=$B$6)),$K164+ROW()/100000,"")</f>
        <v/>
      </c>
      <c r="Q164" s="1"/>
      <c r="R164" s="1"/>
      <c r="S164" s="1"/>
      <c r="T164" s="1"/>
    </row>
    <row r="165" customFormat="false" ht="15" hidden="false" customHeight="false" outlineLevel="0" collapsed="false">
      <c r="A165" s="1"/>
      <c r="B165" s="197" t="s">
        <v>558</v>
      </c>
      <c r="C165" s="209" t="s">
        <v>179</v>
      </c>
      <c r="D165" s="197" t="s">
        <v>12</v>
      </c>
      <c r="E165" s="200" t="n">
        <f aca="false">IFERROR(_xlfn.MINIFS(tblCompras[Preço Unit.],tblCompras[Produto],$B165,tblCompras[Unid.],$C165),"")</f>
        <v>11.7</v>
      </c>
      <c r="F165" s="209" t="str">
        <f aca="false">IFERROR(LOOKUP(2,1/((tblCompras[Produto]=$B165)*(tblCompras[Unid.]=$C165)*(tblCompras[Preço Unit.]=$E165)),tblCompras[Mercado]),"")</f>
        <v>Supermercados Nori</v>
      </c>
      <c r="G165" s="210" t="n">
        <f aca="false">IFERROR(LOOKUP(2,1/((tblCompras[Produto]=$B165)*(tblCompras[Unid.]=$C165)*(tblCompras[Preço Unit.]=$E165)),tblCompras[Data]),"")</f>
        <v>46185</v>
      </c>
      <c r="H165" s="200" t="n">
        <f aca="false">IFERROR(_xlfn.MAXIFS(tblCompras[Preço Unit.],tblCompras[Produto],$B165,tblCompras[Unid.],$C165),"")</f>
        <v>11.7</v>
      </c>
      <c r="I165" s="209" t="str">
        <f aca="false">IFERROR(LOOKUP(2,1/((tblCompras[Produto]=$B165)*(tblCompras[Unid.]=$C165)*(tblCompras[Preço Unit.]=$H165)),tblCompras[Mercado]),"")</f>
        <v>Supermercados Nori</v>
      </c>
      <c r="J165" s="210" t="n">
        <f aca="false">IFERROR(LOOKUP(2,1/((tblCompras[Produto]=$B165)*(tblCompras[Unid.]=$C165)*(tblCompras[Preço Unit.]=$H165)),tblCompras[Data]),"")</f>
        <v>46185</v>
      </c>
      <c r="K165" s="211" t="n">
        <f aca="false">IF(OR($E165="",$H165=""),"",MAX(0,$H165-$E165))</f>
        <v>0</v>
      </c>
      <c r="L165" s="212" t="n">
        <f aca="false">IF(OR($E165="",$H165="",$E165=0),"",($H165-$E165)/$E165)</f>
        <v>0</v>
      </c>
      <c r="M165" s="200" t="n">
        <f aca="false">IFERROR(LOOKUP(2,1/((tblCompras[Produto]=$B165)*(tblCompras[Unid.]=$C165)*(tblCompras[Data]=_xlfn.MAXIFS(tblCompras[Data],tblCompras[Produto],$B165,tblCompras[Unid.],$C165))),tblCompras[Preço Unit.]),"")</f>
        <v>11.7</v>
      </c>
      <c r="N165" s="209" t="str">
        <f aca="false">IFERROR(LOOKUP(2,1/((tblCompras[Produto]=$B165)*(tblCompras[Unid.]=$C165)*(tblCompras[Data]=_xlfn.MAXIFS(tblCompras[Data],tblCompras[Produto],$B165,tblCompras[Unid.],$C165))),tblCompras[Mercado])&amp;" · "&amp;TEXT(DAY(_xlfn.MAXIFS(tblCompras[Data],tblCompras[Produto],$B165,tblCompras[Unid.],$C165)),"00")&amp;"/"&amp;TEXT(MONTH(_xlfn.MAXIFS(tblCompras[Data],tblCompras[Produto],$B165,tblCompras[Unid.],$C165)),"00")&amp;"/"&amp;TEXT(MOD(YEAR(_xlfn.MAXIFS(tblCompras[Data],tblCompras[Produto],$B165,tblCompras[Unid.],$C165)),100),"00"),"")</f>
        <v>Supermercados Nori · 12/06/26</v>
      </c>
      <c r="O165" s="1"/>
      <c r="P165" s="1" t="str">
        <f aca="false">IF(AND(ISNUMBER($K165),$K165&gt;0,OR($B$6="Todas",$D165=$B$6)),$K165+ROW()/100000,"")</f>
        <v/>
      </c>
      <c r="Q165" s="1"/>
      <c r="R165" s="1"/>
      <c r="S165" s="1"/>
      <c r="T165" s="1"/>
    </row>
    <row r="166" customFormat="false" ht="15" hidden="false" customHeight="false" outlineLevel="0" collapsed="false">
      <c r="A166" s="1"/>
      <c r="B166" s="202" t="s">
        <v>356</v>
      </c>
      <c r="C166" s="213" t="s">
        <v>179</v>
      </c>
      <c r="D166" s="202" t="s">
        <v>12</v>
      </c>
      <c r="E166" s="205" t="n">
        <f aca="false">IFERROR(_xlfn.MINIFS(tblCompras[Preço Unit.],tblCompras[Produto],$B166,tblCompras[Unid.],$C166),"")</f>
        <v>2.95</v>
      </c>
      <c r="F166" s="213" t="str">
        <f aca="false">IFERROR(LOOKUP(2,1/((tblCompras[Produto]=$B166)*(tblCompras[Unid.]=$C166)*(tblCompras[Preço Unit.]=$E166)),tblCompras[Mercado]),"")</f>
        <v>Supermercados Nori</v>
      </c>
      <c r="G166" s="214" t="n">
        <f aca="false">IFERROR(LOOKUP(2,1/((tblCompras[Produto]=$B166)*(tblCompras[Unid.]=$C166)*(tblCompras[Preço Unit.]=$E166)),tblCompras[Data]),"")</f>
        <v>46173</v>
      </c>
      <c r="H166" s="205" t="n">
        <f aca="false">IFERROR(_xlfn.MAXIFS(tblCompras[Preço Unit.],tblCompras[Produto],$B166,tblCompras[Unid.],$C166),"")</f>
        <v>2.99</v>
      </c>
      <c r="I166" s="213" t="str">
        <f aca="false">IFERROR(LOOKUP(2,1/((tblCompras[Produto]=$B166)*(tblCompras[Unid.]=$C166)*(tblCompras[Preço Unit.]=$H166)),tblCompras[Mercado]),"")</f>
        <v>Supermercados Nori</v>
      </c>
      <c r="J166" s="214" t="n">
        <f aca="false">IFERROR(LOOKUP(2,1/((tblCompras[Produto]=$B166)*(tblCompras[Unid.]=$C166)*(tblCompras[Preço Unit.]=$H166)),tblCompras[Data]),"")</f>
        <v>46185</v>
      </c>
      <c r="K166" s="215" t="n">
        <f aca="false">IF(OR($E166="",$H166=""),"",MAX(0,$H166-$E166))</f>
        <v>0.04</v>
      </c>
      <c r="L166" s="216" t="n">
        <f aca="false">IF(OR($E166="",$H166="",$E166=0),"",($H166-$E166)/$E166)</f>
        <v>0.0135593220338983</v>
      </c>
      <c r="M166" s="205" t="n">
        <f aca="false">IFERROR(LOOKUP(2,1/((tblCompras[Produto]=$B166)*(tblCompras[Unid.]=$C166)*(tblCompras[Data]=_xlfn.MAXIFS(tblCompras[Data],tblCompras[Produto],$B166,tblCompras[Unid.],$C166))),tblCompras[Preço Unit.]),"")</f>
        <v>2.99</v>
      </c>
      <c r="N166" s="213" t="str">
        <f aca="false">IFERROR(LOOKUP(2,1/((tblCompras[Produto]=$B166)*(tblCompras[Unid.]=$C166)*(tblCompras[Data]=_xlfn.MAXIFS(tblCompras[Data],tblCompras[Produto],$B166,tblCompras[Unid.],$C166))),tblCompras[Mercado])&amp;" · "&amp;TEXT(DAY(_xlfn.MAXIFS(tblCompras[Data],tblCompras[Produto],$B166,tblCompras[Unid.],$C166)),"00")&amp;"/"&amp;TEXT(MONTH(_xlfn.MAXIFS(tblCompras[Data],tblCompras[Produto],$B166,tblCompras[Unid.],$C166)),"00")&amp;"/"&amp;TEXT(MOD(YEAR(_xlfn.MAXIFS(tblCompras[Data],tblCompras[Produto],$B166,tblCompras[Unid.],$C166)),100),"00"),"")</f>
        <v>Supermercados Nori · 12/06/26</v>
      </c>
      <c r="O166" s="1"/>
      <c r="P166" s="1" t="n">
        <f aca="false">IF(AND(ISNUMBER($K166),$K166&gt;0,OR($B$6="Todas",$D166=$B$6)),$K166+ROW()/100000,"")</f>
        <v>0.04166</v>
      </c>
      <c r="Q166" s="1"/>
      <c r="R166" s="1"/>
      <c r="S166" s="1"/>
      <c r="T166" s="1"/>
    </row>
    <row r="167" customFormat="false" ht="15" hidden="false" customHeight="false" outlineLevel="0" collapsed="false">
      <c r="A167" s="1"/>
      <c r="B167" s="197" t="s">
        <v>1067</v>
      </c>
      <c r="C167" s="209" t="s">
        <v>179</v>
      </c>
      <c r="D167" s="197" t="s">
        <v>12</v>
      </c>
      <c r="E167" s="200" t="n">
        <f aca="false">IFERROR(_xlfn.MINIFS(tblCompras[Preço Unit.],tblCompras[Produto],$B167,tblCompras[Unid.],$C167),"")</f>
        <v>2.95</v>
      </c>
      <c r="F167" s="209" t="str">
        <f aca="false">IFERROR(LOOKUP(2,1/((tblCompras[Produto]=$B167)*(tblCompras[Unid.]=$C167)*(tblCompras[Preço Unit.]=$E167)),tblCompras[Mercado]),"")</f>
        <v>Supermercados Nori</v>
      </c>
      <c r="G167" s="210" t="n">
        <f aca="false">IFERROR(LOOKUP(2,1/((tblCompras[Produto]=$B167)*(tblCompras[Unid.]=$C167)*(tblCompras[Preço Unit.]=$E167)),tblCompras[Data]),"")</f>
        <v>46157</v>
      </c>
      <c r="H167" s="200" t="n">
        <f aca="false">IFERROR(_xlfn.MAXIFS(tblCompras[Preço Unit.],tblCompras[Produto],$B167,tblCompras[Unid.],$C167),"")</f>
        <v>2.95</v>
      </c>
      <c r="I167" s="209" t="str">
        <f aca="false">IFERROR(LOOKUP(2,1/((tblCompras[Produto]=$B167)*(tblCompras[Unid.]=$C167)*(tblCompras[Preço Unit.]=$H167)),tblCompras[Mercado]),"")</f>
        <v>Supermercados Nori</v>
      </c>
      <c r="J167" s="210" t="n">
        <f aca="false">IFERROR(LOOKUP(2,1/((tblCompras[Produto]=$B167)*(tblCompras[Unid.]=$C167)*(tblCompras[Preço Unit.]=$H167)),tblCompras[Data]),"")</f>
        <v>46157</v>
      </c>
      <c r="K167" s="211" t="n">
        <f aca="false">IF(OR($E167="",$H167=""),"",MAX(0,$H167-$E167))</f>
        <v>0</v>
      </c>
      <c r="L167" s="212" t="n">
        <f aca="false">IF(OR($E167="",$H167="",$E167=0),"",($H167-$E167)/$E167)</f>
        <v>0</v>
      </c>
      <c r="M167" s="200" t="n">
        <f aca="false">IFERROR(LOOKUP(2,1/((tblCompras[Produto]=$B167)*(tblCompras[Unid.]=$C167)*(tblCompras[Data]=_xlfn.MAXIFS(tblCompras[Data],tblCompras[Produto],$B167,tblCompras[Unid.],$C167))),tblCompras[Preço Unit.]),"")</f>
        <v>2.95</v>
      </c>
      <c r="N167" s="209" t="str">
        <f aca="false">IFERROR(LOOKUP(2,1/((tblCompras[Produto]=$B167)*(tblCompras[Unid.]=$C167)*(tblCompras[Data]=_xlfn.MAXIFS(tblCompras[Data],tblCompras[Produto],$B167,tblCompras[Unid.],$C167))),tblCompras[Mercado])&amp;" · "&amp;TEXT(DAY(_xlfn.MAXIFS(tblCompras[Data],tblCompras[Produto],$B167,tblCompras[Unid.],$C167)),"00")&amp;"/"&amp;TEXT(MONTH(_xlfn.MAXIFS(tblCompras[Data],tblCompras[Produto],$B167,tblCompras[Unid.],$C167)),"00")&amp;"/"&amp;TEXT(MOD(YEAR(_xlfn.MAXIFS(tblCompras[Data],tblCompras[Produto],$B167,tblCompras[Unid.],$C167)),100),"00"),"")</f>
        <v>Supermercados Nori · 15/05/26</v>
      </c>
      <c r="O167" s="1"/>
      <c r="P167" s="1" t="str">
        <f aca="false">IF(AND(ISNUMBER($K167),$K167&gt;0,OR($B$6="Todas",$D167=$B$6)),$K167+ROW()/100000,"")</f>
        <v/>
      </c>
      <c r="Q167" s="1"/>
      <c r="R167" s="1"/>
      <c r="S167" s="1"/>
      <c r="T167" s="1"/>
    </row>
    <row r="168" customFormat="false" ht="15" hidden="false" customHeight="false" outlineLevel="0" collapsed="false">
      <c r="A168" s="1"/>
      <c r="B168" s="202" t="s">
        <v>1008</v>
      </c>
      <c r="C168" s="213" t="s">
        <v>179</v>
      </c>
      <c r="D168" s="202" t="s">
        <v>12</v>
      </c>
      <c r="E168" s="205" t="n">
        <f aca="false">IFERROR(_xlfn.MINIFS(tblCompras[Preço Unit.],tblCompras[Produto],$B168,tblCompras[Unid.],$C168),"")</f>
        <v>11.9</v>
      </c>
      <c r="F168" s="213" t="str">
        <f aca="false">IFERROR(LOOKUP(2,1/((tblCompras[Produto]=$B168)*(tblCompras[Unid.]=$C168)*(tblCompras[Preço Unit.]=$E168)),tblCompras[Mercado]),"")</f>
        <v>Supermercado Canesin</v>
      </c>
      <c r="G168" s="214" t="n">
        <f aca="false">IFERROR(LOOKUP(2,1/((tblCompras[Produto]=$B168)*(tblCompras[Unid.]=$C168)*(tblCompras[Preço Unit.]=$E168)),tblCompras[Data]),"")</f>
        <v>46239</v>
      </c>
      <c r="H168" s="205" t="n">
        <f aca="false">IFERROR(_xlfn.MAXIFS(tblCompras[Preço Unit.],tblCompras[Produto],$B168,tblCompras[Unid.],$C168),"")</f>
        <v>11.9</v>
      </c>
      <c r="I168" s="213" t="str">
        <f aca="false">IFERROR(LOOKUP(2,1/((tblCompras[Produto]=$B168)*(tblCompras[Unid.]=$C168)*(tblCompras[Preço Unit.]=$H168)),tblCompras[Mercado]),"")</f>
        <v>Supermercado Canesin</v>
      </c>
      <c r="J168" s="214" t="n">
        <f aca="false">IFERROR(LOOKUP(2,1/((tblCompras[Produto]=$B168)*(tblCompras[Unid.]=$C168)*(tblCompras[Preço Unit.]=$H168)),tblCompras[Data]),"")</f>
        <v>46239</v>
      </c>
      <c r="K168" s="215" t="n">
        <f aca="false">IF(OR($E168="",$H168=""),"",MAX(0,$H168-$E168))</f>
        <v>0</v>
      </c>
      <c r="L168" s="216" t="n">
        <f aca="false">IF(OR($E168="",$H168="",$E168=0),"",($H168-$E168)/$E168)</f>
        <v>0</v>
      </c>
      <c r="M168" s="205" t="n">
        <f aca="false">IFERROR(LOOKUP(2,1/((tblCompras[Produto]=$B168)*(tblCompras[Unid.]=$C168)*(tblCompras[Data]=_xlfn.MAXIFS(tblCompras[Data],tblCompras[Produto],$B168,tblCompras[Unid.],$C168))),tblCompras[Preço Unit.]),"")</f>
        <v>11.9</v>
      </c>
      <c r="N168" s="213" t="str">
        <f aca="false">IFERROR(LOOKUP(2,1/((tblCompras[Produto]=$B168)*(tblCompras[Unid.]=$C168)*(tblCompras[Data]=_xlfn.MAXIFS(tblCompras[Data],tblCompras[Produto],$B168,tblCompras[Unid.],$C168))),tblCompras[Mercado])&amp;" · "&amp;TEXT(DAY(_xlfn.MAXIFS(tblCompras[Data],tblCompras[Produto],$B168,tblCompras[Unid.],$C168)),"00")&amp;"/"&amp;TEXT(MONTH(_xlfn.MAXIFS(tblCompras[Data],tblCompras[Produto],$B168,tblCompras[Unid.],$C168)),"00")&amp;"/"&amp;TEXT(MOD(YEAR(_xlfn.MAXIFS(tblCompras[Data],tblCompras[Produto],$B168,tblCompras[Unid.],$C168)),100),"00"),"")</f>
        <v>Supermercado Canesin · 05/08/26</v>
      </c>
      <c r="O168" s="1"/>
      <c r="P168" s="1" t="str">
        <f aca="false">IF(AND(ISNUMBER($K168),$K168&gt;0,OR($B$6="Todas",$D168=$B$6)),$K168+ROW()/100000,"")</f>
        <v/>
      </c>
      <c r="Q168" s="1"/>
      <c r="R168" s="1"/>
      <c r="S168" s="1"/>
      <c r="T168" s="1"/>
    </row>
    <row r="169" customFormat="false" ht="15" hidden="false" customHeight="false" outlineLevel="0" collapsed="false">
      <c r="A169" s="1"/>
      <c r="B169" s="197" t="s">
        <v>323</v>
      </c>
      <c r="C169" s="209" t="s">
        <v>179</v>
      </c>
      <c r="D169" s="197" t="s">
        <v>12</v>
      </c>
      <c r="E169" s="200" t="n">
        <f aca="false">IFERROR(_xlfn.MINIFS(tblCompras[Preço Unit.],tblCompras[Produto],$B169,tblCompras[Unid.],$C169),"")</f>
        <v>33.9953810623557</v>
      </c>
      <c r="F169" s="209" t="str">
        <f aca="false">IFERROR(LOOKUP(2,1/((tblCompras[Produto]=$B169)*(tblCompras[Unid.]=$C169)*(tblCompras[Preço Unit.]=$E169)),tblCompras[Mercado]),"")</f>
        <v>Supermercados Nori</v>
      </c>
      <c r="G169" s="210" t="n">
        <f aca="false">IFERROR(LOOKUP(2,1/((tblCompras[Produto]=$B169)*(tblCompras[Unid.]=$C169)*(tblCompras[Preço Unit.]=$E169)),tblCompras[Data]),"")</f>
        <v>46152</v>
      </c>
      <c r="H169" s="200" t="n">
        <f aca="false">IFERROR(_xlfn.MAXIFS(tblCompras[Preço Unit.],tblCompras[Produto],$B169,tblCompras[Unid.],$C169),"")</f>
        <v>34.0080971659919</v>
      </c>
      <c r="I169" s="209" t="str">
        <f aca="false">IFERROR(LOOKUP(2,1/((tblCompras[Produto]=$B169)*(tblCompras[Unid.]=$C169)*(tblCompras[Preço Unit.]=$H169)),tblCompras[Mercado]),"")</f>
        <v>Supermercados Nori</v>
      </c>
      <c r="J169" s="210" t="n">
        <f aca="false">IFERROR(LOOKUP(2,1/((tblCompras[Produto]=$B169)*(tblCompras[Unid.]=$C169)*(tblCompras[Preço Unit.]=$H169)),tblCompras[Data]),"")</f>
        <v>46166</v>
      </c>
      <c r="K169" s="211" t="n">
        <f aca="false">IF(OR($E169="",$H169=""),"",MAX(0,$H169-$E169))</f>
        <v>0.0127161036362438</v>
      </c>
      <c r="L169" s="212" t="n">
        <f aca="false">IF(OR($E169="",$H169="",$E169=0),"",($H169-$E169)/$E169)</f>
        <v>0.000374053863756355</v>
      </c>
      <c r="M169" s="200" t="n">
        <f aca="false">IFERROR(LOOKUP(2,1/((tblCompras[Produto]=$B169)*(tblCompras[Unid.]=$C169)*(tblCompras[Data]=_xlfn.MAXIFS(tblCompras[Data],tblCompras[Produto],$B169,tblCompras[Unid.],$C169))),tblCompras[Preço Unit.]),"")</f>
        <v>34.0026954177898</v>
      </c>
      <c r="N169" s="209" t="str">
        <f aca="false">IFERROR(LOOKUP(2,1/((tblCompras[Produto]=$B169)*(tblCompras[Unid.]=$C169)*(tblCompras[Data]=_xlfn.MAXIFS(tblCompras[Data],tblCompras[Produto],$B169,tblCompras[Unid.],$C169))),tblCompras[Mercado])&amp;" · "&amp;TEXT(DAY(_xlfn.MAXIFS(tblCompras[Data],tblCompras[Produto],$B169,tblCompras[Unid.],$C169)),"00")&amp;"/"&amp;TEXT(MONTH(_xlfn.MAXIFS(tblCompras[Data],tblCompras[Produto],$B169,tblCompras[Unid.],$C169)),"00")&amp;"/"&amp;TEXT(MOD(YEAR(_xlfn.MAXIFS(tblCompras[Data],tblCompras[Produto],$B169,tblCompras[Unid.],$C169)),100),"00"),"")</f>
        <v>Supermercados Nori · 09/08/26</v>
      </c>
      <c r="O169" s="1"/>
      <c r="P169" s="1" t="n">
        <f aca="false">IF(AND(ISNUMBER($K169),$K169&gt;0,OR($B$6="Todas",$D169=$B$6)),$K169+ROW()/100000,"")</f>
        <v>0.0144061036362438</v>
      </c>
      <c r="Q169" s="1"/>
      <c r="R169" s="1"/>
      <c r="S169" s="1"/>
      <c r="T169" s="1"/>
    </row>
    <row r="170" customFormat="false" ht="15" hidden="false" customHeight="false" outlineLevel="0" collapsed="false">
      <c r="A170" s="1"/>
      <c r="B170" s="202" t="s">
        <v>560</v>
      </c>
      <c r="C170" s="213" t="s">
        <v>179</v>
      </c>
      <c r="D170" s="202" t="s">
        <v>12</v>
      </c>
      <c r="E170" s="205" t="n">
        <f aca="false">IFERROR(_xlfn.MINIFS(tblCompras[Preço Unit.],tblCompras[Produto],$B170,tblCompras[Unid.],$C170),"")</f>
        <v>5.8</v>
      </c>
      <c r="F170" s="213" t="str">
        <f aca="false">IFERROR(LOOKUP(2,1/((tblCompras[Produto]=$B170)*(tblCompras[Unid.]=$C170)*(tblCompras[Preço Unit.]=$E170)),tblCompras[Mercado]),"")</f>
        <v>Supermercados Nori</v>
      </c>
      <c r="G170" s="214" t="n">
        <f aca="false">IFERROR(LOOKUP(2,1/((tblCompras[Produto]=$B170)*(tblCompras[Unid.]=$C170)*(tblCompras[Preço Unit.]=$E170)),tblCompras[Data]),"")</f>
        <v>46173</v>
      </c>
      <c r="H170" s="205" t="n">
        <f aca="false">IFERROR(_xlfn.MAXIFS(tblCompras[Preço Unit.],tblCompras[Produto],$B170,tblCompras[Unid.],$C170),"")</f>
        <v>5.8</v>
      </c>
      <c r="I170" s="213" t="str">
        <f aca="false">IFERROR(LOOKUP(2,1/((tblCompras[Produto]=$B170)*(tblCompras[Unid.]=$C170)*(tblCompras[Preço Unit.]=$H170)),tblCompras[Mercado]),"")</f>
        <v>Supermercados Nori</v>
      </c>
      <c r="J170" s="214" t="n">
        <f aca="false">IFERROR(LOOKUP(2,1/((tblCompras[Produto]=$B170)*(tblCompras[Unid.]=$C170)*(tblCompras[Preço Unit.]=$H170)),tblCompras[Data]),"")</f>
        <v>46173</v>
      </c>
      <c r="K170" s="215" t="n">
        <f aca="false">IF(OR($E170="",$H170=""),"",MAX(0,$H170-$E170))</f>
        <v>0</v>
      </c>
      <c r="L170" s="216" t="n">
        <f aca="false">IF(OR($E170="",$H170="",$E170=0),"",($H170-$E170)/$E170)</f>
        <v>0</v>
      </c>
      <c r="M170" s="205" t="n">
        <f aca="false">IFERROR(LOOKUP(2,1/((tblCompras[Produto]=$B170)*(tblCompras[Unid.]=$C170)*(tblCompras[Data]=_xlfn.MAXIFS(tblCompras[Data],tblCompras[Produto],$B170,tblCompras[Unid.],$C170))),tblCompras[Preço Unit.]),"")</f>
        <v>5.8</v>
      </c>
      <c r="N170" s="213" t="str">
        <f aca="false">IFERROR(LOOKUP(2,1/((tblCompras[Produto]=$B170)*(tblCompras[Unid.]=$C170)*(tblCompras[Data]=_xlfn.MAXIFS(tblCompras[Data],tblCompras[Produto],$B170,tblCompras[Unid.],$C170))),tblCompras[Mercado])&amp;" · "&amp;TEXT(DAY(_xlfn.MAXIFS(tblCompras[Data],tblCompras[Produto],$B170,tblCompras[Unid.],$C170)),"00")&amp;"/"&amp;TEXT(MONTH(_xlfn.MAXIFS(tblCompras[Data],tblCompras[Produto],$B170,tblCompras[Unid.],$C170)),"00")&amp;"/"&amp;TEXT(MOD(YEAR(_xlfn.MAXIFS(tblCompras[Data],tblCompras[Produto],$B170,tblCompras[Unid.],$C170)),100),"00"),"")</f>
        <v>Supermercados Nori · 31/05/26</v>
      </c>
      <c r="O170" s="1"/>
      <c r="P170" s="1" t="str">
        <f aca="false">IF(AND(ISNUMBER($K170),$K170&gt;0,OR($B$6="Todas",$D170=$B$6)),$K170+ROW()/100000,"")</f>
        <v/>
      </c>
      <c r="Q170" s="1"/>
      <c r="R170" s="1"/>
      <c r="S170" s="1"/>
      <c r="T170" s="1"/>
    </row>
    <row r="171" customFormat="false" ht="15" hidden="false" customHeight="false" outlineLevel="0" collapsed="false">
      <c r="A171" s="1"/>
      <c r="B171" s="197" t="s">
        <v>257</v>
      </c>
      <c r="C171" s="209" t="s">
        <v>179</v>
      </c>
      <c r="D171" s="197" t="s">
        <v>12</v>
      </c>
      <c r="E171" s="200" t="n">
        <f aca="false">IFERROR(_xlfn.MINIFS(tblCompras[Preço Unit.],tblCompras[Produto],$B171,tblCompras[Unid.],$C171),"")</f>
        <v>4.25</v>
      </c>
      <c r="F171" s="209" t="str">
        <f aca="false">IFERROR(LOOKUP(2,1/((tblCompras[Produto]=$B171)*(tblCompras[Unid.]=$C171)*(tblCompras[Preço Unit.]=$E171)),tblCompras[Mercado]),"")</f>
        <v>Supermercados Nori</v>
      </c>
      <c r="G171" s="210" t="n">
        <f aca="false">IFERROR(LOOKUP(2,1/((tblCompras[Produto]=$B171)*(tblCompras[Unid.]=$C171)*(tblCompras[Preço Unit.]=$E171)),tblCompras[Data]),"")</f>
        <v>46147</v>
      </c>
      <c r="H171" s="200" t="n">
        <f aca="false">IFERROR(_xlfn.MAXIFS(tblCompras[Preço Unit.],tblCompras[Produto],$B171,tblCompras[Unid.],$C171),"")</f>
        <v>4.25</v>
      </c>
      <c r="I171" s="209" t="str">
        <f aca="false">IFERROR(LOOKUP(2,1/((tblCompras[Produto]=$B171)*(tblCompras[Unid.]=$C171)*(tblCompras[Preço Unit.]=$H171)),tblCompras[Mercado]),"")</f>
        <v>Supermercados Nori</v>
      </c>
      <c r="J171" s="210" t="n">
        <f aca="false">IFERROR(LOOKUP(2,1/((tblCompras[Produto]=$B171)*(tblCompras[Unid.]=$C171)*(tblCompras[Preço Unit.]=$H171)),tblCompras[Data]),"")</f>
        <v>46147</v>
      </c>
      <c r="K171" s="211" t="n">
        <f aca="false">IF(OR($E171="",$H171=""),"",MAX(0,$H171-$E171))</f>
        <v>0</v>
      </c>
      <c r="L171" s="212" t="n">
        <f aca="false">IF(OR($E171="",$H171="",$E171=0),"",($H171-$E171)/$E171)</f>
        <v>0</v>
      </c>
      <c r="M171" s="200" t="n">
        <f aca="false">IFERROR(LOOKUP(2,1/((tblCompras[Produto]=$B171)*(tblCompras[Unid.]=$C171)*(tblCompras[Data]=_xlfn.MAXIFS(tblCompras[Data],tblCompras[Produto],$B171,tblCompras[Unid.],$C171))),tblCompras[Preço Unit.]),"")</f>
        <v>4.25</v>
      </c>
      <c r="N171" s="209" t="str">
        <f aca="false">IFERROR(LOOKUP(2,1/((tblCompras[Produto]=$B171)*(tblCompras[Unid.]=$C171)*(tblCompras[Data]=_xlfn.MAXIFS(tblCompras[Data],tblCompras[Produto],$B171,tblCompras[Unid.],$C171))),tblCompras[Mercado])&amp;" · "&amp;TEXT(DAY(_xlfn.MAXIFS(tblCompras[Data],tblCompras[Produto],$B171,tblCompras[Unid.],$C171)),"00")&amp;"/"&amp;TEXT(MONTH(_xlfn.MAXIFS(tblCompras[Data],tblCompras[Produto],$B171,tblCompras[Unid.],$C171)),"00")&amp;"/"&amp;TEXT(MOD(YEAR(_xlfn.MAXIFS(tblCompras[Data],tblCompras[Produto],$B171,tblCompras[Unid.],$C171)),100),"00"),"")</f>
        <v>Supermercados Nori · 05/05/26</v>
      </c>
      <c r="O171" s="1"/>
      <c r="P171" s="1" t="str">
        <f aca="false">IF(AND(ISNUMBER($K171),$K171&gt;0,OR($B$6="Todas",$D171=$B$6)),$K171+ROW()/100000,"")</f>
        <v/>
      </c>
      <c r="Q171" s="1"/>
      <c r="R171" s="1"/>
      <c r="S171" s="1"/>
      <c r="T171" s="1"/>
    </row>
    <row r="172" customFormat="false" ht="15" hidden="false" customHeight="false" outlineLevel="0" collapsed="false">
      <c r="A172" s="1"/>
      <c r="B172" s="202" t="s">
        <v>1065</v>
      </c>
      <c r="C172" s="213" t="s">
        <v>179</v>
      </c>
      <c r="D172" s="202" t="s">
        <v>12</v>
      </c>
      <c r="E172" s="205" t="n">
        <f aca="false">IFERROR(_xlfn.MINIFS(tblCompras[Preço Unit.],tblCompras[Produto],$B172,tblCompras[Unid.],$C172),"")</f>
        <v>3.89</v>
      </c>
      <c r="F172" s="213" t="str">
        <f aca="false">IFERROR(LOOKUP(2,1/((tblCompras[Produto]=$B172)*(tblCompras[Unid.]=$C172)*(tblCompras[Preço Unit.]=$E172)),tblCompras[Mercado]),"")</f>
        <v>Supermercados Nori</v>
      </c>
      <c r="G172" s="214" t="n">
        <f aca="false">IFERROR(LOOKUP(2,1/((tblCompras[Produto]=$B172)*(tblCompras[Unid.]=$C172)*(tblCompras[Preço Unit.]=$E172)),tblCompras[Data]),"")</f>
        <v>46157</v>
      </c>
      <c r="H172" s="205" t="n">
        <f aca="false">IFERROR(_xlfn.MAXIFS(tblCompras[Preço Unit.],tblCompras[Produto],$B172,tblCompras[Unid.],$C172),"")</f>
        <v>4.15</v>
      </c>
      <c r="I172" s="213" t="str">
        <f aca="false">IFERROR(LOOKUP(2,1/((tblCompras[Produto]=$B172)*(tblCompras[Unid.]=$C172)*(tblCompras[Preço Unit.]=$H172)),tblCompras[Mercado]),"")</f>
        <v>Supermercados Nori</v>
      </c>
      <c r="J172" s="214" t="n">
        <f aca="false">IFERROR(LOOKUP(2,1/((tblCompras[Produto]=$B172)*(tblCompras[Unid.]=$C172)*(tblCompras[Preço Unit.]=$H172)),tblCompras[Data]),"")</f>
        <v>46185</v>
      </c>
      <c r="K172" s="215" t="n">
        <f aca="false">IF(OR($E172="",$H172=""),"",MAX(0,$H172-$E172))</f>
        <v>0.26</v>
      </c>
      <c r="L172" s="216" t="n">
        <f aca="false">IF(OR($E172="",$H172="",$E172=0),"",($H172-$E172)/$E172)</f>
        <v>0.0668380462724936</v>
      </c>
      <c r="M172" s="205" t="n">
        <f aca="false">IFERROR(LOOKUP(2,1/((tblCompras[Produto]=$B172)*(tblCompras[Unid.]=$C172)*(tblCompras[Data]=_xlfn.MAXIFS(tblCompras[Data],tblCompras[Produto],$B172,tblCompras[Unid.],$C172))),tblCompras[Preço Unit.]),"")</f>
        <v>4.15</v>
      </c>
      <c r="N172" s="213" t="str">
        <f aca="false">IFERROR(LOOKUP(2,1/((tblCompras[Produto]=$B172)*(tblCompras[Unid.]=$C172)*(tblCompras[Data]=_xlfn.MAXIFS(tblCompras[Data],tblCompras[Produto],$B172,tblCompras[Unid.],$C172))),tblCompras[Mercado])&amp;" · "&amp;TEXT(DAY(_xlfn.MAXIFS(tblCompras[Data],tblCompras[Produto],$B172,tblCompras[Unid.],$C172)),"00")&amp;"/"&amp;TEXT(MONTH(_xlfn.MAXIFS(tblCompras[Data],tblCompras[Produto],$B172,tblCompras[Unid.],$C172)),"00")&amp;"/"&amp;TEXT(MOD(YEAR(_xlfn.MAXIFS(tblCompras[Data],tblCompras[Produto],$B172,tblCompras[Unid.],$C172)),100),"00"),"")</f>
        <v>Supermercados Nori · 12/06/26</v>
      </c>
      <c r="O172" s="1"/>
      <c r="P172" s="1" t="n">
        <f aca="false">IF(AND(ISNUMBER($K172),$K172&gt;0,OR($B$6="Todas",$D172=$B$6)),$K172+ROW()/100000,"")</f>
        <v>0.26172</v>
      </c>
      <c r="Q172" s="1"/>
      <c r="R172" s="1"/>
      <c r="S172" s="1"/>
      <c r="T172" s="1"/>
    </row>
    <row r="173" customFormat="false" ht="15" hidden="false" customHeight="false" outlineLevel="0" collapsed="false">
      <c r="A173" s="1"/>
      <c r="B173" s="197" t="s">
        <v>549</v>
      </c>
      <c r="C173" s="209" t="s">
        <v>179</v>
      </c>
      <c r="D173" s="197" t="s">
        <v>12</v>
      </c>
      <c r="E173" s="200" t="n">
        <f aca="false">IFERROR(_xlfn.MINIFS(tblCompras[Preço Unit.],tblCompras[Produto],$B173,tblCompras[Unid.],$C173),"")</f>
        <v>3.79</v>
      </c>
      <c r="F173" s="209" t="str">
        <f aca="false">IFERROR(LOOKUP(2,1/((tblCompras[Produto]=$B173)*(tblCompras[Unid.]=$C173)*(tblCompras[Preço Unit.]=$E173)),tblCompras[Mercado]),"")</f>
        <v>Supermercados Nori</v>
      </c>
      <c r="G173" s="210" t="n">
        <f aca="false">IFERROR(LOOKUP(2,1/((tblCompras[Produto]=$B173)*(tblCompras[Unid.]=$C173)*(tblCompras[Preço Unit.]=$E173)),tblCompras[Data]),"")</f>
        <v>46173</v>
      </c>
      <c r="H173" s="200" t="n">
        <f aca="false">IFERROR(_xlfn.MAXIFS(tblCompras[Preço Unit.],tblCompras[Produto],$B173,tblCompras[Unid.],$C173),"")</f>
        <v>4.25</v>
      </c>
      <c r="I173" s="209" t="str">
        <f aca="false">IFERROR(LOOKUP(2,1/((tblCompras[Produto]=$B173)*(tblCompras[Unid.]=$C173)*(tblCompras[Preço Unit.]=$H173)),tblCompras[Mercado]),"")</f>
        <v>Supermercados Nori</v>
      </c>
      <c r="J173" s="210" t="n">
        <f aca="false">IFERROR(LOOKUP(2,1/((tblCompras[Produto]=$B173)*(tblCompras[Unid.]=$C173)*(tblCompras[Preço Unit.]=$H173)),tblCompras[Data]),"")</f>
        <v>46207</v>
      </c>
      <c r="K173" s="211" t="n">
        <f aca="false">IF(OR($E173="",$H173=""),"",MAX(0,$H173-$E173))</f>
        <v>0.46</v>
      </c>
      <c r="L173" s="212" t="n">
        <f aca="false">IF(OR($E173="",$H173="",$E173=0),"",($H173-$E173)/$E173)</f>
        <v>0.121372031662269</v>
      </c>
      <c r="M173" s="200" t="n">
        <f aca="false">IFERROR(LOOKUP(2,1/((tblCompras[Produto]=$B173)*(tblCompras[Unid.]=$C173)*(tblCompras[Data]=_xlfn.MAXIFS(tblCompras[Data],tblCompras[Produto],$B173,tblCompras[Unid.],$C173))),tblCompras[Preço Unit.]),"")</f>
        <v>4.25</v>
      </c>
      <c r="N173" s="209" t="str">
        <f aca="false">IFERROR(LOOKUP(2,1/((tblCompras[Produto]=$B173)*(tblCompras[Unid.]=$C173)*(tblCompras[Data]=_xlfn.MAXIFS(tblCompras[Data],tblCompras[Produto],$B173,tblCompras[Unid.],$C173))),tblCompras[Mercado])&amp;" · "&amp;TEXT(DAY(_xlfn.MAXIFS(tblCompras[Data],tblCompras[Produto],$B173,tblCompras[Unid.],$C173)),"00")&amp;"/"&amp;TEXT(MONTH(_xlfn.MAXIFS(tblCompras[Data],tblCompras[Produto],$B173,tblCompras[Unid.],$C173)),"00")&amp;"/"&amp;TEXT(MOD(YEAR(_xlfn.MAXIFS(tblCompras[Data],tblCompras[Produto],$B173,tblCompras[Unid.],$C173)),100),"00"),"")</f>
        <v>Supermercados Nori · 04/07/26</v>
      </c>
      <c r="O173" s="1"/>
      <c r="P173" s="1" t="n">
        <f aca="false">IF(AND(ISNUMBER($K173),$K173&gt;0,OR($B$6="Todas",$D173=$B$6)),$K173+ROW()/100000,"")</f>
        <v>0.46173</v>
      </c>
      <c r="Q173" s="1"/>
      <c r="R173" s="1"/>
      <c r="S173" s="1"/>
      <c r="T173" s="1"/>
    </row>
    <row r="174" customFormat="false" ht="15" hidden="false" customHeight="false" outlineLevel="0" collapsed="false">
      <c r="A174" s="1"/>
      <c r="B174" s="202" t="s">
        <v>187</v>
      </c>
      <c r="C174" s="213" t="s">
        <v>179</v>
      </c>
      <c r="D174" s="202" t="s">
        <v>12</v>
      </c>
      <c r="E174" s="205" t="n">
        <f aca="false">IFERROR(_xlfn.MINIFS(tblCompras[Preço Unit.],tblCompras[Produto],$B174,tblCompras[Unid.],$C174),"")</f>
        <v>4.25</v>
      </c>
      <c r="F174" s="213" t="str">
        <f aca="false">IFERROR(LOOKUP(2,1/((tblCompras[Produto]=$B174)*(tblCompras[Unid.]=$C174)*(tblCompras[Preço Unit.]=$E174)),tblCompras[Mercado]),"")</f>
        <v>Supermercados Nori</v>
      </c>
      <c r="G174" s="214" t="n">
        <f aca="false">IFERROR(LOOKUP(2,1/((tblCompras[Produto]=$B174)*(tblCompras[Unid.]=$C174)*(tblCompras[Preço Unit.]=$E174)),tblCompras[Data]),"")</f>
        <v>46146</v>
      </c>
      <c r="H174" s="205" t="n">
        <f aca="false">IFERROR(_xlfn.MAXIFS(tblCompras[Preço Unit.],tblCompras[Produto],$B174,tblCompras[Unid.],$C174),"")</f>
        <v>4.25</v>
      </c>
      <c r="I174" s="213" t="str">
        <f aca="false">IFERROR(LOOKUP(2,1/((tblCompras[Produto]=$B174)*(tblCompras[Unid.]=$C174)*(tblCompras[Preço Unit.]=$H174)),tblCompras[Mercado]),"")</f>
        <v>Supermercados Nori</v>
      </c>
      <c r="J174" s="214" t="n">
        <f aca="false">IFERROR(LOOKUP(2,1/((tblCompras[Produto]=$B174)*(tblCompras[Unid.]=$C174)*(tblCompras[Preço Unit.]=$H174)),tblCompras[Data]),"")</f>
        <v>46146</v>
      </c>
      <c r="K174" s="215" t="n">
        <f aca="false">IF(OR($E174="",$H174=""),"",MAX(0,$H174-$E174))</f>
        <v>0</v>
      </c>
      <c r="L174" s="216" t="n">
        <f aca="false">IF(OR($E174="",$H174="",$E174=0),"",($H174-$E174)/$E174)</f>
        <v>0</v>
      </c>
      <c r="M174" s="205" t="n">
        <f aca="false">IFERROR(LOOKUP(2,1/((tblCompras[Produto]=$B174)*(tblCompras[Unid.]=$C174)*(tblCompras[Data]=_xlfn.MAXIFS(tblCompras[Data],tblCompras[Produto],$B174,tblCompras[Unid.],$C174))),tblCompras[Preço Unit.]),"")</f>
        <v>4.25</v>
      </c>
      <c r="N174" s="213" t="str">
        <f aca="false">IFERROR(LOOKUP(2,1/((tblCompras[Produto]=$B174)*(tblCompras[Unid.]=$C174)*(tblCompras[Data]=_xlfn.MAXIFS(tblCompras[Data],tblCompras[Produto],$B174,tblCompras[Unid.],$C174))),tblCompras[Mercado])&amp;" · "&amp;TEXT(DAY(_xlfn.MAXIFS(tblCompras[Data],tblCompras[Produto],$B174,tblCompras[Unid.],$C174)),"00")&amp;"/"&amp;TEXT(MONTH(_xlfn.MAXIFS(tblCompras[Data],tblCompras[Produto],$B174,tblCompras[Unid.],$C174)),"00")&amp;"/"&amp;TEXT(MOD(YEAR(_xlfn.MAXIFS(tblCompras[Data],tblCompras[Produto],$B174,tblCompras[Unid.],$C174)),100),"00"),"")</f>
        <v>Supermercados Nori · 04/05/26</v>
      </c>
      <c r="O174" s="1"/>
      <c r="P174" s="1" t="str">
        <f aca="false">IF(AND(ISNUMBER($K174),$K174&gt;0,OR($B$6="Todas",$D174=$B$6)),$K174+ROW()/100000,"")</f>
        <v/>
      </c>
      <c r="Q174" s="1"/>
      <c r="R174" s="1"/>
      <c r="S174" s="1"/>
      <c r="T174" s="1"/>
    </row>
    <row r="175" customFormat="false" ht="15" hidden="false" customHeight="false" outlineLevel="0" collapsed="false">
      <c r="A175" s="1"/>
      <c r="B175" s="197" t="s">
        <v>246</v>
      </c>
      <c r="C175" s="209" t="s">
        <v>179</v>
      </c>
      <c r="D175" s="197" t="s">
        <v>12</v>
      </c>
      <c r="E175" s="200" t="n">
        <f aca="false">IFERROR(_xlfn.MINIFS(tblCompras[Preço Unit.],tblCompras[Produto],$B175,tblCompras[Unid.],$C175),"")</f>
        <v>2.9</v>
      </c>
      <c r="F175" s="209" t="str">
        <f aca="false">IFERROR(LOOKUP(2,1/((tblCompras[Produto]=$B175)*(tblCompras[Unid.]=$C175)*(tblCompras[Preço Unit.]=$E175)),tblCompras[Mercado]),"")</f>
        <v>Supermercados Nori</v>
      </c>
      <c r="G175" s="210" t="n">
        <f aca="false">IFERROR(LOOKUP(2,1/((tblCompras[Produto]=$B175)*(tblCompras[Unid.]=$C175)*(tblCompras[Preço Unit.]=$E175)),tblCompras[Data]),"")</f>
        <v>46173</v>
      </c>
      <c r="H175" s="200" t="n">
        <f aca="false">IFERROR(_xlfn.MAXIFS(tblCompras[Preço Unit.],tblCompras[Produto],$B175,tblCompras[Unid.],$C175),"")</f>
        <v>3.1</v>
      </c>
      <c r="I175" s="209" t="str">
        <f aca="false">IFERROR(LOOKUP(2,1/((tblCompras[Produto]=$B175)*(tblCompras[Unid.]=$C175)*(tblCompras[Preço Unit.]=$H175)),tblCompras[Mercado]),"")</f>
        <v>Supermercados Nori</v>
      </c>
      <c r="J175" s="210" t="n">
        <f aca="false">IFERROR(LOOKUP(2,1/((tblCompras[Produto]=$B175)*(tblCompras[Unid.]=$C175)*(tblCompras[Preço Unit.]=$H175)),tblCompras[Data]),"")</f>
        <v>46157</v>
      </c>
      <c r="K175" s="211" t="n">
        <f aca="false">IF(OR($E175="",$H175=""),"",MAX(0,$H175-$E175))</f>
        <v>0.2</v>
      </c>
      <c r="L175" s="212" t="n">
        <f aca="false">IF(OR($E175="",$H175="",$E175=0),"",($H175-$E175)/$E175)</f>
        <v>0.0689655172413794</v>
      </c>
      <c r="M175" s="200" t="n">
        <f aca="false">IFERROR(LOOKUP(2,1/((tblCompras[Produto]=$B175)*(tblCompras[Unid.]=$C175)*(tblCompras[Data]=_xlfn.MAXIFS(tblCompras[Data],tblCompras[Produto],$B175,tblCompras[Unid.],$C175))),tblCompras[Preço Unit.]),"")</f>
        <v>2.9</v>
      </c>
      <c r="N175" s="209" t="str">
        <f aca="false">IFERROR(LOOKUP(2,1/((tblCompras[Produto]=$B175)*(tblCompras[Unid.]=$C175)*(tblCompras[Data]=_xlfn.MAXIFS(tblCompras[Data],tblCompras[Produto],$B175,tblCompras[Unid.],$C175))),tblCompras[Mercado])&amp;" · "&amp;TEXT(DAY(_xlfn.MAXIFS(tblCompras[Data],tblCompras[Produto],$B175,tblCompras[Unid.],$C175)),"00")&amp;"/"&amp;TEXT(MONTH(_xlfn.MAXIFS(tblCompras[Data],tblCompras[Produto],$B175,tblCompras[Unid.],$C175)),"00")&amp;"/"&amp;TEXT(MOD(YEAR(_xlfn.MAXIFS(tblCompras[Data],tblCompras[Produto],$B175,tblCompras[Unid.],$C175)),100),"00"),"")</f>
        <v>Supermercados Nori · 31/05/26</v>
      </c>
      <c r="O175" s="1"/>
      <c r="P175" s="1" t="n">
        <f aca="false">IF(AND(ISNUMBER($K175),$K175&gt;0,OR($B$6="Todas",$D175=$B$6)),$K175+ROW()/100000,"")</f>
        <v>0.20175</v>
      </c>
      <c r="Q175" s="1"/>
      <c r="R175" s="1"/>
      <c r="S175" s="1"/>
      <c r="T175" s="1"/>
    </row>
    <row r="176" customFormat="false" ht="15" hidden="false" customHeight="false" outlineLevel="0" collapsed="false">
      <c r="A176" s="1"/>
      <c r="B176" s="202" t="s">
        <v>1088</v>
      </c>
      <c r="C176" s="213" t="s">
        <v>179</v>
      </c>
      <c r="D176" s="202" t="s">
        <v>12</v>
      </c>
      <c r="E176" s="205" t="n">
        <f aca="false">IFERROR(_xlfn.MINIFS(tblCompras[Preço Unit.],tblCompras[Produto],$B176,tblCompras[Unid.],$C176),"")</f>
        <v>2.9</v>
      </c>
      <c r="F176" s="213" t="str">
        <f aca="false">IFERROR(LOOKUP(2,1/((tblCompras[Produto]=$B176)*(tblCompras[Unid.]=$C176)*(tblCompras[Preço Unit.]=$E176)),tblCompras[Mercado]),"")</f>
        <v>Supermercados Nori</v>
      </c>
      <c r="G176" s="214" t="n">
        <f aca="false">IFERROR(LOOKUP(2,1/((tblCompras[Produto]=$B176)*(tblCompras[Unid.]=$C176)*(tblCompras[Preço Unit.]=$E176)),tblCompras[Data]),"")</f>
        <v>46173</v>
      </c>
      <c r="H176" s="205" t="n">
        <f aca="false">IFERROR(_xlfn.MAXIFS(tblCompras[Preço Unit.],tblCompras[Produto],$B176,tblCompras[Unid.],$C176),"")</f>
        <v>3.1</v>
      </c>
      <c r="I176" s="213" t="str">
        <f aca="false">IFERROR(LOOKUP(2,1/((tblCompras[Produto]=$B176)*(tblCompras[Unid.]=$C176)*(tblCompras[Preço Unit.]=$H176)),tblCompras[Mercado]),"")</f>
        <v>Supermercados Nori</v>
      </c>
      <c r="J176" s="214" t="n">
        <f aca="false">IFERROR(LOOKUP(2,1/((tblCompras[Produto]=$B176)*(tblCompras[Unid.]=$C176)*(tblCompras[Preço Unit.]=$H176)),tblCompras[Data]),"")</f>
        <v>46157</v>
      </c>
      <c r="K176" s="215" t="n">
        <f aca="false">IF(OR($E176="",$H176=""),"",MAX(0,$H176-$E176))</f>
        <v>0.2</v>
      </c>
      <c r="L176" s="216" t="n">
        <f aca="false">IF(OR($E176="",$H176="",$E176=0),"",($H176-$E176)/$E176)</f>
        <v>0.0689655172413794</v>
      </c>
      <c r="M176" s="205" t="n">
        <f aca="false">IFERROR(LOOKUP(2,1/((tblCompras[Produto]=$B176)*(tblCompras[Unid.]=$C176)*(tblCompras[Data]=_xlfn.MAXIFS(tblCompras[Data],tblCompras[Produto],$B176,tblCompras[Unid.],$C176))),tblCompras[Preço Unit.]),"")</f>
        <v>2.9</v>
      </c>
      <c r="N176" s="213" t="str">
        <f aca="false">IFERROR(LOOKUP(2,1/((tblCompras[Produto]=$B176)*(tblCompras[Unid.]=$C176)*(tblCompras[Data]=_xlfn.MAXIFS(tblCompras[Data],tblCompras[Produto],$B176,tblCompras[Unid.],$C176))),tblCompras[Mercado])&amp;" · "&amp;TEXT(DAY(_xlfn.MAXIFS(tblCompras[Data],tblCompras[Produto],$B176,tblCompras[Unid.],$C176)),"00")&amp;"/"&amp;TEXT(MONTH(_xlfn.MAXIFS(tblCompras[Data],tblCompras[Produto],$B176,tblCompras[Unid.],$C176)),"00")&amp;"/"&amp;TEXT(MOD(YEAR(_xlfn.MAXIFS(tblCompras[Data],tblCompras[Produto],$B176,tblCompras[Unid.],$C176)),100),"00"),"")</f>
        <v>Supermercados Nori · 31/05/26</v>
      </c>
      <c r="O176" s="1"/>
      <c r="P176" s="1" t="n">
        <f aca="false">IF(AND(ISNUMBER($K176),$K176&gt;0,OR($B$6="Todas",$D176=$B$6)),$K176+ROW()/100000,"")</f>
        <v>0.20176</v>
      </c>
      <c r="Q176" s="1"/>
      <c r="R176" s="1"/>
      <c r="S176" s="1"/>
      <c r="T176" s="1"/>
    </row>
    <row r="177" customFormat="false" ht="15" hidden="false" customHeight="false" outlineLevel="0" collapsed="false">
      <c r="A177" s="1"/>
      <c r="B177" s="197" t="s">
        <v>272</v>
      </c>
      <c r="C177" s="209" t="s">
        <v>179</v>
      </c>
      <c r="D177" s="197" t="s">
        <v>12</v>
      </c>
      <c r="E177" s="200" t="n">
        <f aca="false">IFERROR(_xlfn.MINIFS(tblCompras[Preço Unit.],tblCompras[Produto],$B177,tblCompras[Unid.],$C177),"")</f>
        <v>14.9</v>
      </c>
      <c r="F177" s="209" t="str">
        <f aca="false">IFERROR(LOOKUP(2,1/((tblCompras[Produto]=$B177)*(tblCompras[Unid.]=$C177)*(tblCompras[Preço Unit.]=$E177)),tblCompras[Mercado]),"")</f>
        <v>Supermercados Nori</v>
      </c>
      <c r="G177" s="210" t="n">
        <f aca="false">IFERROR(LOOKUP(2,1/((tblCompras[Produto]=$B177)*(tblCompras[Unid.]=$C177)*(tblCompras[Preço Unit.]=$E177)),tblCompras[Data]),"")</f>
        <v>46147</v>
      </c>
      <c r="H177" s="200" t="n">
        <f aca="false">IFERROR(_xlfn.MAXIFS(tblCompras[Preço Unit.],tblCompras[Produto],$B177,tblCompras[Unid.],$C177),"")</f>
        <v>14.9</v>
      </c>
      <c r="I177" s="209" t="str">
        <f aca="false">IFERROR(LOOKUP(2,1/((tblCompras[Produto]=$B177)*(tblCompras[Unid.]=$C177)*(tblCompras[Preço Unit.]=$H177)),tblCompras[Mercado]),"")</f>
        <v>Supermercados Nori</v>
      </c>
      <c r="J177" s="210" t="n">
        <f aca="false">IFERROR(LOOKUP(2,1/((tblCompras[Produto]=$B177)*(tblCompras[Unid.]=$C177)*(tblCompras[Preço Unit.]=$H177)),tblCompras[Data]),"")</f>
        <v>46147</v>
      </c>
      <c r="K177" s="211" t="n">
        <f aca="false">IF(OR($E177="",$H177=""),"",MAX(0,$H177-$E177))</f>
        <v>0</v>
      </c>
      <c r="L177" s="212" t="n">
        <f aca="false">IF(OR($E177="",$H177="",$E177=0),"",($H177-$E177)/$E177)</f>
        <v>0</v>
      </c>
      <c r="M177" s="200" t="n">
        <f aca="false">IFERROR(LOOKUP(2,1/((tblCompras[Produto]=$B177)*(tblCompras[Unid.]=$C177)*(tblCompras[Data]=_xlfn.MAXIFS(tblCompras[Data],tblCompras[Produto],$B177,tblCompras[Unid.],$C177))),tblCompras[Preço Unit.]),"")</f>
        <v>14.9</v>
      </c>
      <c r="N177" s="209" t="str">
        <f aca="false">IFERROR(LOOKUP(2,1/((tblCompras[Produto]=$B177)*(tblCompras[Unid.]=$C177)*(tblCompras[Data]=_xlfn.MAXIFS(tblCompras[Data],tblCompras[Produto],$B177,tblCompras[Unid.],$C177))),tblCompras[Mercado])&amp;" · "&amp;TEXT(DAY(_xlfn.MAXIFS(tblCompras[Data],tblCompras[Produto],$B177,tblCompras[Unid.],$C177)),"00")&amp;"/"&amp;TEXT(MONTH(_xlfn.MAXIFS(tblCompras[Data],tblCompras[Produto],$B177,tblCompras[Unid.],$C177)),"00")&amp;"/"&amp;TEXT(MOD(YEAR(_xlfn.MAXIFS(tblCompras[Data],tblCompras[Produto],$B177,tblCompras[Unid.],$C177)),100),"00"),"")</f>
        <v>Supermercados Nori · 05/05/26</v>
      </c>
      <c r="O177" s="1"/>
      <c r="P177" s="1" t="str">
        <f aca="false">IF(AND(ISNUMBER($K177),$K177&gt;0,OR($B$6="Todas",$D177=$B$6)),$K177+ROW()/100000,"")</f>
        <v/>
      </c>
      <c r="Q177" s="1"/>
      <c r="R177" s="1"/>
      <c r="S177" s="1"/>
      <c r="T177" s="1"/>
    </row>
    <row r="178" customFormat="false" ht="15" hidden="false" customHeight="false" outlineLevel="0" collapsed="false">
      <c r="A178" s="1"/>
      <c r="B178" s="202" t="s">
        <v>1051</v>
      </c>
      <c r="C178" s="213" t="s">
        <v>179</v>
      </c>
      <c r="D178" s="202" t="s">
        <v>12</v>
      </c>
      <c r="E178" s="205" t="n">
        <f aca="false">IFERROR(_xlfn.MINIFS(tblCompras[Preço Unit.],tblCompras[Produto],$B178,tblCompras[Unid.],$C178),"")</f>
        <v>16.9</v>
      </c>
      <c r="F178" s="213" t="str">
        <f aca="false">IFERROR(LOOKUP(2,1/((tblCompras[Produto]=$B178)*(tblCompras[Unid.]=$C178)*(tblCompras[Preço Unit.]=$E178)),tblCompras[Mercado]),"")</f>
        <v>Varejao Nova Brasil</v>
      </c>
      <c r="G178" s="214" t="n">
        <f aca="false">IFERROR(LOOKUP(2,1/((tblCompras[Produto]=$B178)*(tblCompras[Unid.]=$C178)*(tblCompras[Preço Unit.]=$E178)),tblCompras[Data]),"")</f>
        <v>46158</v>
      </c>
      <c r="H178" s="205" t="n">
        <f aca="false">IFERROR(_xlfn.MAXIFS(tblCompras[Preço Unit.],tblCompras[Produto],$B178,tblCompras[Unid.],$C178),"")</f>
        <v>16.9</v>
      </c>
      <c r="I178" s="213" t="str">
        <f aca="false">IFERROR(LOOKUP(2,1/((tblCompras[Produto]=$B178)*(tblCompras[Unid.]=$C178)*(tblCompras[Preço Unit.]=$H178)),tblCompras[Mercado]),"")</f>
        <v>Varejao Nova Brasil</v>
      </c>
      <c r="J178" s="214" t="n">
        <f aca="false">IFERROR(LOOKUP(2,1/((tblCompras[Produto]=$B178)*(tblCompras[Unid.]=$C178)*(tblCompras[Preço Unit.]=$H178)),tblCompras[Data]),"")</f>
        <v>46158</v>
      </c>
      <c r="K178" s="215" t="n">
        <f aca="false">IF(OR($E178="",$H178=""),"",MAX(0,$H178-$E178))</f>
        <v>0</v>
      </c>
      <c r="L178" s="216" t="n">
        <f aca="false">IF(OR($E178="",$H178="",$E178=0),"",($H178-$E178)/$E178)</f>
        <v>0</v>
      </c>
      <c r="M178" s="205" t="n">
        <f aca="false">IFERROR(LOOKUP(2,1/((tblCompras[Produto]=$B178)*(tblCompras[Unid.]=$C178)*(tblCompras[Data]=_xlfn.MAXIFS(tblCompras[Data],tblCompras[Produto],$B178,tblCompras[Unid.],$C178))),tblCompras[Preço Unit.]),"")</f>
        <v>16.9</v>
      </c>
      <c r="N178" s="213" t="str">
        <f aca="false">IFERROR(LOOKUP(2,1/((tblCompras[Produto]=$B178)*(tblCompras[Unid.]=$C178)*(tblCompras[Data]=_xlfn.MAXIFS(tblCompras[Data],tblCompras[Produto],$B178,tblCompras[Unid.],$C178))),tblCompras[Mercado])&amp;" · "&amp;TEXT(DAY(_xlfn.MAXIFS(tblCompras[Data],tblCompras[Produto],$B178,tblCompras[Unid.],$C178)),"00")&amp;"/"&amp;TEXT(MONTH(_xlfn.MAXIFS(tblCompras[Data],tblCompras[Produto],$B178,tblCompras[Unid.],$C178)),"00")&amp;"/"&amp;TEXT(MOD(YEAR(_xlfn.MAXIFS(tblCompras[Data],tblCompras[Produto],$B178,tblCompras[Unid.],$C178)),100),"00"),"")</f>
        <v>Varejao Nova Brasil · 16/05/26</v>
      </c>
      <c r="O178" s="1"/>
      <c r="P178" s="1" t="str">
        <f aca="false">IF(AND(ISNUMBER($K178),$K178&gt;0,OR($B$6="Todas",$D178=$B$6)),$K178+ROW()/100000,"")</f>
        <v/>
      </c>
      <c r="Q178" s="1"/>
      <c r="R178" s="1"/>
      <c r="S178" s="1"/>
      <c r="T178" s="1"/>
    </row>
    <row r="179" customFormat="false" ht="15" hidden="false" customHeight="false" outlineLevel="0" collapsed="false">
      <c r="A179" s="1"/>
      <c r="B179" s="197" t="s">
        <v>1155</v>
      </c>
      <c r="C179" s="209" t="s">
        <v>179</v>
      </c>
      <c r="D179" s="197" t="s">
        <v>12</v>
      </c>
      <c r="E179" s="200" t="n">
        <f aca="false">IFERROR(_xlfn.MINIFS(tblCompras[Preço Unit.],tblCompras[Produto],$B179,tblCompras[Unid.],$C179),"")</f>
        <v>16.8</v>
      </c>
      <c r="F179" s="209" t="str">
        <f aca="false">IFERROR(LOOKUP(2,1/((tblCompras[Produto]=$B179)*(tblCompras[Unid.]=$C179)*(tblCompras[Preço Unit.]=$E179)),tblCompras[Mercado]),"")</f>
        <v>Varejao Monteverde</v>
      </c>
      <c r="G179" s="210" t="n">
        <f aca="false">IFERROR(LOOKUP(2,1/((tblCompras[Produto]=$B179)*(tblCompras[Unid.]=$C179)*(tblCompras[Preço Unit.]=$E179)),tblCompras[Data]),"")</f>
        <v>46171</v>
      </c>
      <c r="H179" s="200" t="n">
        <f aca="false">IFERROR(_xlfn.MAXIFS(tblCompras[Preço Unit.],tblCompras[Produto],$B179,tblCompras[Unid.],$C179),"")</f>
        <v>16.8</v>
      </c>
      <c r="I179" s="209" t="str">
        <f aca="false">IFERROR(LOOKUP(2,1/((tblCompras[Produto]=$B179)*(tblCompras[Unid.]=$C179)*(tblCompras[Preço Unit.]=$H179)),tblCompras[Mercado]),"")</f>
        <v>Varejao Monteverde</v>
      </c>
      <c r="J179" s="210" t="n">
        <f aca="false">IFERROR(LOOKUP(2,1/((tblCompras[Produto]=$B179)*(tblCompras[Unid.]=$C179)*(tblCompras[Preço Unit.]=$H179)),tblCompras[Data]),"")</f>
        <v>46171</v>
      </c>
      <c r="K179" s="211" t="n">
        <f aca="false">IF(OR($E179="",$H179=""),"",MAX(0,$H179-$E179))</f>
        <v>0</v>
      </c>
      <c r="L179" s="212" t="n">
        <f aca="false">IF(OR($E179="",$H179="",$E179=0),"",($H179-$E179)/$E179)</f>
        <v>0</v>
      </c>
      <c r="M179" s="200" t="n">
        <f aca="false">IFERROR(LOOKUP(2,1/((tblCompras[Produto]=$B179)*(tblCompras[Unid.]=$C179)*(tblCompras[Data]=_xlfn.MAXIFS(tblCompras[Data],tblCompras[Produto],$B179,tblCompras[Unid.],$C179))),tblCompras[Preço Unit.]),"")</f>
        <v>16.8</v>
      </c>
      <c r="N179" s="209" t="str">
        <f aca="false">IFERROR(LOOKUP(2,1/((tblCompras[Produto]=$B179)*(tblCompras[Unid.]=$C179)*(tblCompras[Data]=_xlfn.MAXIFS(tblCompras[Data],tblCompras[Produto],$B179,tblCompras[Unid.],$C179))),tblCompras[Mercado])&amp;" · "&amp;TEXT(DAY(_xlfn.MAXIFS(tblCompras[Data],tblCompras[Produto],$B179,tblCompras[Unid.],$C179)),"00")&amp;"/"&amp;TEXT(MONTH(_xlfn.MAXIFS(tblCompras[Data],tblCompras[Produto],$B179,tblCompras[Unid.],$C179)),"00")&amp;"/"&amp;TEXT(MOD(YEAR(_xlfn.MAXIFS(tblCompras[Data],tblCompras[Produto],$B179,tblCompras[Unid.],$C179)),100),"00"),"")</f>
        <v>Varejao Monteverde · 29/05/26</v>
      </c>
      <c r="O179" s="1"/>
      <c r="P179" s="1" t="str">
        <f aca="false">IF(AND(ISNUMBER($K179),$K179&gt;0,OR($B$6="Todas",$D179=$B$6)),$K179+ROW()/100000,"")</f>
        <v/>
      </c>
      <c r="Q179" s="1"/>
      <c r="R179" s="1"/>
      <c r="S179" s="1"/>
      <c r="T179" s="1"/>
    </row>
    <row r="180" customFormat="false" ht="15" hidden="false" customHeight="false" outlineLevel="0" collapsed="false">
      <c r="A180" s="1"/>
      <c r="B180" s="202" t="s">
        <v>1012</v>
      </c>
      <c r="C180" s="213" t="s">
        <v>179</v>
      </c>
      <c r="D180" s="202" t="s">
        <v>12</v>
      </c>
      <c r="E180" s="205" t="n">
        <f aca="false">IFERROR(_xlfn.MINIFS(tblCompras[Preço Unit.],tblCompras[Produto],$B180,tblCompras[Unid.],$C180),"")</f>
        <v>11.99</v>
      </c>
      <c r="F180" s="213" t="str">
        <f aca="false">IFERROR(LOOKUP(2,1/((tblCompras[Produto]=$B180)*(tblCompras[Unid.]=$C180)*(tblCompras[Preço Unit.]=$E180)),tblCompras[Mercado]),"")</f>
        <v>Supermercado Canesin</v>
      </c>
      <c r="G180" s="214" t="n">
        <f aca="false">IFERROR(LOOKUP(2,1/((tblCompras[Produto]=$B180)*(tblCompras[Unid.]=$C180)*(tblCompras[Preço Unit.]=$E180)),tblCompras[Data]),"")</f>
        <v>46240</v>
      </c>
      <c r="H180" s="205" t="n">
        <f aca="false">IFERROR(_xlfn.MAXIFS(tblCompras[Preço Unit.],tblCompras[Produto],$B180,tblCompras[Unid.],$C180),"")</f>
        <v>11.99</v>
      </c>
      <c r="I180" s="213" t="str">
        <f aca="false">IFERROR(LOOKUP(2,1/((tblCompras[Produto]=$B180)*(tblCompras[Unid.]=$C180)*(tblCompras[Preço Unit.]=$H180)),tblCompras[Mercado]),"")</f>
        <v>Supermercado Canesin</v>
      </c>
      <c r="J180" s="214" t="n">
        <f aca="false">IFERROR(LOOKUP(2,1/((tblCompras[Produto]=$B180)*(tblCompras[Unid.]=$C180)*(tblCompras[Preço Unit.]=$H180)),tblCompras[Data]),"")</f>
        <v>46240</v>
      </c>
      <c r="K180" s="215" t="n">
        <f aca="false">IF(OR($E180="",$H180=""),"",MAX(0,$H180-$E180))</f>
        <v>0</v>
      </c>
      <c r="L180" s="216" t="n">
        <f aca="false">IF(OR($E180="",$H180="",$E180=0),"",($H180-$E180)/$E180)</f>
        <v>0</v>
      </c>
      <c r="M180" s="205" t="n">
        <f aca="false">IFERROR(LOOKUP(2,1/((tblCompras[Produto]=$B180)*(tblCompras[Unid.]=$C180)*(tblCompras[Data]=_xlfn.MAXIFS(tblCompras[Data],tblCompras[Produto],$B180,tblCompras[Unid.],$C180))),tblCompras[Preço Unit.]),"")</f>
        <v>11.99</v>
      </c>
      <c r="N180" s="213" t="str">
        <f aca="false">IFERROR(LOOKUP(2,1/((tblCompras[Produto]=$B180)*(tblCompras[Unid.]=$C180)*(tblCompras[Data]=_xlfn.MAXIFS(tblCompras[Data],tblCompras[Produto],$B180,tblCompras[Unid.],$C180))),tblCompras[Mercado])&amp;" · "&amp;TEXT(DAY(_xlfn.MAXIFS(tblCompras[Data],tblCompras[Produto],$B180,tblCompras[Unid.],$C180)),"00")&amp;"/"&amp;TEXT(MONTH(_xlfn.MAXIFS(tblCompras[Data],tblCompras[Produto],$B180,tblCompras[Unid.],$C180)),"00")&amp;"/"&amp;TEXT(MOD(YEAR(_xlfn.MAXIFS(tblCompras[Data],tblCompras[Produto],$B180,tblCompras[Unid.],$C180)),100),"00"),"")</f>
        <v>Supermercado Canesin · 06/08/26</v>
      </c>
      <c r="O180" s="1"/>
      <c r="P180" s="1" t="str">
        <f aca="false">IF(AND(ISNUMBER($K180),$K180&gt;0,OR($B$6="Todas",$D180=$B$6)),$K180+ROW()/100000,"")</f>
        <v/>
      </c>
      <c r="Q180" s="1"/>
      <c r="R180" s="1"/>
      <c r="S180" s="1"/>
      <c r="T180" s="1"/>
    </row>
    <row r="181" customFormat="false" ht="15" hidden="false" customHeight="false" outlineLevel="0" collapsed="false">
      <c r="A181" s="1"/>
      <c r="B181" s="197" t="s">
        <v>301</v>
      </c>
      <c r="C181" s="209" t="s">
        <v>179</v>
      </c>
      <c r="D181" s="197" t="s">
        <v>12</v>
      </c>
      <c r="E181" s="200" t="n">
        <f aca="false">IFERROR(_xlfn.MINIFS(tblCompras[Preço Unit.],tblCompras[Produto],$B181,tblCompras[Unid.],$C181),"")</f>
        <v>1.2</v>
      </c>
      <c r="F181" s="209" t="str">
        <f aca="false">IFERROR(LOOKUP(2,1/((tblCompras[Produto]=$B181)*(tblCompras[Unid.]=$C181)*(tblCompras[Preço Unit.]=$E181)),tblCompras[Mercado]),"")</f>
        <v>Varejao Monteverde</v>
      </c>
      <c r="G181" s="210" t="n">
        <f aca="false">IFERROR(LOOKUP(2,1/((tblCompras[Produto]=$B181)*(tblCompras[Unid.]=$C181)*(tblCompras[Preço Unit.]=$E181)),tblCompras[Data]),"")</f>
        <v>46156</v>
      </c>
      <c r="H181" s="200" t="n">
        <f aca="false">IFERROR(_xlfn.MAXIFS(tblCompras[Preço Unit.],tblCompras[Produto],$B181,tblCompras[Unid.],$C181),"")</f>
        <v>1.2</v>
      </c>
      <c r="I181" s="209" t="str">
        <f aca="false">IFERROR(LOOKUP(2,1/((tblCompras[Produto]=$B181)*(tblCompras[Unid.]=$C181)*(tblCompras[Preço Unit.]=$H181)),tblCompras[Mercado]),"")</f>
        <v>Varejao Monteverde</v>
      </c>
      <c r="J181" s="210" t="n">
        <f aca="false">IFERROR(LOOKUP(2,1/((tblCompras[Produto]=$B181)*(tblCompras[Unid.]=$C181)*(tblCompras[Preço Unit.]=$H181)),tblCompras[Data]),"")</f>
        <v>46156</v>
      </c>
      <c r="K181" s="211" t="n">
        <f aca="false">IF(OR($E181="",$H181=""),"",MAX(0,$H181-$E181))</f>
        <v>0</v>
      </c>
      <c r="L181" s="212" t="n">
        <f aca="false">IF(OR($E181="",$H181="",$E181=0),"",($H181-$E181)/$E181)</f>
        <v>0</v>
      </c>
      <c r="M181" s="200" t="n">
        <f aca="false">IFERROR(LOOKUP(2,1/((tblCompras[Produto]=$B181)*(tblCompras[Unid.]=$C181)*(tblCompras[Data]=_xlfn.MAXIFS(tblCompras[Data],tblCompras[Produto],$B181,tblCompras[Unid.],$C181))),tblCompras[Preço Unit.]),"")</f>
        <v>1.2</v>
      </c>
      <c r="N181" s="209" t="str">
        <f aca="false">IFERROR(LOOKUP(2,1/((tblCompras[Produto]=$B181)*(tblCompras[Unid.]=$C181)*(tblCompras[Data]=_xlfn.MAXIFS(tblCompras[Data],tblCompras[Produto],$B181,tblCompras[Unid.],$C181))),tblCompras[Mercado])&amp;" · "&amp;TEXT(DAY(_xlfn.MAXIFS(tblCompras[Data],tblCompras[Produto],$B181,tblCompras[Unid.],$C181)),"00")&amp;"/"&amp;TEXT(MONTH(_xlfn.MAXIFS(tblCompras[Data],tblCompras[Produto],$B181,tblCompras[Unid.],$C181)),"00")&amp;"/"&amp;TEXT(MOD(YEAR(_xlfn.MAXIFS(tblCompras[Data],tblCompras[Produto],$B181,tblCompras[Unid.],$C181)),100),"00"),"")</f>
        <v>Varejao Monteverde · 14/05/26</v>
      </c>
      <c r="O181" s="1"/>
      <c r="P181" s="1" t="str">
        <f aca="false">IF(AND(ISNUMBER($K181),$K181&gt;0,OR($B$6="Todas",$D181=$B$6)),$K181+ROW()/100000,"")</f>
        <v/>
      </c>
      <c r="Q181" s="1"/>
      <c r="R181" s="1"/>
      <c r="S181" s="1"/>
      <c r="T181" s="1"/>
    </row>
    <row r="182" customFormat="false" ht="15" hidden="false" customHeight="false" outlineLevel="0" collapsed="false">
      <c r="A182" s="1"/>
      <c r="B182" s="202" t="s">
        <v>1118</v>
      </c>
      <c r="C182" s="213" t="s">
        <v>179</v>
      </c>
      <c r="D182" s="202" t="s">
        <v>12</v>
      </c>
      <c r="E182" s="205" t="n">
        <f aca="false">IFERROR(_xlfn.MINIFS(tblCompras[Preço Unit.],tblCompras[Produto],$B182,tblCompras[Unid.],$C182),"")</f>
        <v>1.2</v>
      </c>
      <c r="F182" s="213" t="str">
        <f aca="false">IFERROR(LOOKUP(2,1/((tblCompras[Produto]=$B182)*(tblCompras[Unid.]=$C182)*(tblCompras[Preço Unit.]=$E182)),tblCompras[Mercado]),"")</f>
        <v>Varejao Monteverde</v>
      </c>
      <c r="G182" s="214" t="n">
        <f aca="false">IFERROR(LOOKUP(2,1/((tblCompras[Produto]=$B182)*(tblCompras[Unid.]=$C182)*(tblCompras[Preço Unit.]=$E182)),tblCompras[Data]),"")</f>
        <v>46156</v>
      </c>
      <c r="H182" s="205" t="n">
        <f aca="false">IFERROR(_xlfn.MAXIFS(tblCompras[Preço Unit.],tblCompras[Produto],$B182,tblCompras[Unid.],$C182),"")</f>
        <v>1.2</v>
      </c>
      <c r="I182" s="213" t="str">
        <f aca="false">IFERROR(LOOKUP(2,1/((tblCompras[Produto]=$B182)*(tblCompras[Unid.]=$C182)*(tblCompras[Preço Unit.]=$H182)),tblCompras[Mercado]),"")</f>
        <v>Varejao Monteverde</v>
      </c>
      <c r="J182" s="214" t="n">
        <f aca="false">IFERROR(LOOKUP(2,1/((tblCompras[Produto]=$B182)*(tblCompras[Unid.]=$C182)*(tblCompras[Preço Unit.]=$H182)),tblCompras[Data]),"")</f>
        <v>46156</v>
      </c>
      <c r="K182" s="215" t="n">
        <f aca="false">IF(OR($E182="",$H182=""),"",MAX(0,$H182-$E182))</f>
        <v>0</v>
      </c>
      <c r="L182" s="216" t="n">
        <f aca="false">IF(OR($E182="",$H182="",$E182=0),"",($H182-$E182)/$E182)</f>
        <v>0</v>
      </c>
      <c r="M182" s="205" t="n">
        <f aca="false">IFERROR(LOOKUP(2,1/((tblCompras[Produto]=$B182)*(tblCompras[Unid.]=$C182)*(tblCompras[Data]=_xlfn.MAXIFS(tblCompras[Data],tblCompras[Produto],$B182,tblCompras[Unid.],$C182))),tblCompras[Preço Unit.]),"")</f>
        <v>1.2</v>
      </c>
      <c r="N182" s="213" t="str">
        <f aca="false">IFERROR(LOOKUP(2,1/((tblCompras[Produto]=$B182)*(tblCompras[Unid.]=$C182)*(tblCompras[Data]=_xlfn.MAXIFS(tblCompras[Data],tblCompras[Produto],$B182,tblCompras[Unid.],$C182))),tblCompras[Mercado])&amp;" · "&amp;TEXT(DAY(_xlfn.MAXIFS(tblCompras[Data],tblCompras[Produto],$B182,tblCompras[Unid.],$C182)),"00")&amp;"/"&amp;TEXT(MONTH(_xlfn.MAXIFS(tblCompras[Data],tblCompras[Produto],$B182,tblCompras[Unid.],$C182)),"00")&amp;"/"&amp;TEXT(MOD(YEAR(_xlfn.MAXIFS(tblCompras[Data],tblCompras[Produto],$B182,tblCompras[Unid.],$C182)),100),"00"),"")</f>
        <v>Varejao Monteverde · 14/05/26</v>
      </c>
      <c r="O182" s="1"/>
      <c r="P182" s="1" t="str">
        <f aca="false">IF(AND(ISNUMBER($K182),$K182&gt;0,OR($B$6="Todas",$D182=$B$6)),$K182+ROW()/100000,"")</f>
        <v/>
      </c>
      <c r="Q182" s="1"/>
      <c r="R182" s="1"/>
      <c r="S182" s="1"/>
      <c r="T182" s="1"/>
    </row>
    <row r="183" customFormat="false" ht="15" hidden="false" customHeight="false" outlineLevel="0" collapsed="false">
      <c r="A183" s="1"/>
      <c r="B183" s="197" t="s">
        <v>239</v>
      </c>
      <c r="C183" s="209" t="s">
        <v>179</v>
      </c>
      <c r="D183" s="197" t="s">
        <v>12</v>
      </c>
      <c r="E183" s="200" t="n">
        <f aca="false">IFERROR(_xlfn.MINIFS(tblCompras[Preço Unit.],tblCompras[Produto],$B183,tblCompras[Unid.],$C183),"")</f>
        <v>2.49</v>
      </c>
      <c r="F183" s="209" t="str">
        <f aca="false">IFERROR(LOOKUP(2,1/((tblCompras[Produto]=$B183)*(tblCompras[Unid.]=$C183)*(tblCompras[Preço Unit.]=$E183)),tblCompras[Mercado]),"")</f>
        <v>Supermercados Nori</v>
      </c>
      <c r="G183" s="210" t="n">
        <f aca="false">IFERROR(LOOKUP(2,1/((tblCompras[Produto]=$B183)*(tblCompras[Unid.]=$C183)*(tblCompras[Preço Unit.]=$E183)),tblCompras[Data]),"")</f>
        <v>46147</v>
      </c>
      <c r="H183" s="200" t="n">
        <f aca="false">IFERROR(_xlfn.MAXIFS(tblCompras[Preço Unit.],tblCompras[Produto],$B183,tblCompras[Unid.],$C183),"")</f>
        <v>2.9</v>
      </c>
      <c r="I183" s="209" t="str">
        <f aca="false">IFERROR(LOOKUP(2,1/((tblCompras[Produto]=$B183)*(tblCompras[Unid.]=$C183)*(tblCompras[Preço Unit.]=$H183)),tblCompras[Mercado]),"")</f>
        <v>Supermercados Nori</v>
      </c>
      <c r="J183" s="210" t="n">
        <f aca="false">IFERROR(LOOKUP(2,1/((tblCompras[Produto]=$B183)*(tblCompras[Unid.]=$C183)*(tblCompras[Preço Unit.]=$H183)),tblCompras[Data]),"")</f>
        <v>46193</v>
      </c>
      <c r="K183" s="211" t="n">
        <f aca="false">IF(OR($E183="",$H183=""),"",MAX(0,$H183-$E183))</f>
        <v>0.41</v>
      </c>
      <c r="L183" s="212" t="n">
        <f aca="false">IF(OR($E183="",$H183="",$E183=0),"",($H183-$E183)/$E183)</f>
        <v>0.164658634538152</v>
      </c>
      <c r="M183" s="200" t="n">
        <f aca="false">IFERROR(LOOKUP(2,1/((tblCompras[Produto]=$B183)*(tblCompras[Unid.]=$C183)*(tblCompras[Data]=_xlfn.MAXIFS(tblCompras[Data],tblCompras[Produto],$B183,tblCompras[Unid.],$C183))),tblCompras[Preço Unit.]),"")</f>
        <v>2.9</v>
      </c>
      <c r="N183" s="209" t="str">
        <f aca="false">IFERROR(LOOKUP(2,1/((tblCompras[Produto]=$B183)*(tblCompras[Unid.]=$C183)*(tblCompras[Data]=_xlfn.MAXIFS(tblCompras[Data],tblCompras[Produto],$B183,tblCompras[Unid.],$C183))),tblCompras[Mercado])&amp;" · "&amp;TEXT(DAY(_xlfn.MAXIFS(tblCompras[Data],tblCompras[Produto],$B183,tblCompras[Unid.],$C183)),"00")&amp;"/"&amp;TEXT(MONTH(_xlfn.MAXIFS(tblCompras[Data],tblCompras[Produto],$B183,tblCompras[Unid.],$C183)),"00")&amp;"/"&amp;TEXT(MOD(YEAR(_xlfn.MAXIFS(tblCompras[Data],tblCompras[Produto],$B183,tblCompras[Unid.],$C183)),100),"00"),"")</f>
        <v>Supermercados Nori · 20/06/26</v>
      </c>
      <c r="O183" s="1"/>
      <c r="P183" s="1" t="n">
        <f aca="false">IF(AND(ISNUMBER($K183),$K183&gt;0,OR($B$6="Todas",$D183=$B$6)),$K183+ROW()/100000,"")</f>
        <v>0.41183</v>
      </c>
      <c r="Q183" s="1"/>
      <c r="R183" s="1"/>
      <c r="S183" s="1"/>
      <c r="T183" s="1"/>
    </row>
    <row r="184" customFormat="false" ht="15" hidden="false" customHeight="false" outlineLevel="0" collapsed="false">
      <c r="A184" s="1"/>
      <c r="B184" s="202" t="s">
        <v>1066</v>
      </c>
      <c r="C184" s="213" t="s">
        <v>179</v>
      </c>
      <c r="D184" s="202" t="s">
        <v>12</v>
      </c>
      <c r="E184" s="205" t="n">
        <f aca="false">IFERROR(_xlfn.MINIFS(tblCompras[Preço Unit.],tblCompras[Produto],$B184,tblCompras[Unid.],$C184),"")</f>
        <v>9.2</v>
      </c>
      <c r="F184" s="213" t="str">
        <f aca="false">IFERROR(LOOKUP(2,1/((tblCompras[Produto]=$B184)*(tblCompras[Unid.]=$C184)*(tblCompras[Preço Unit.]=$E184)),tblCompras[Mercado]),"")</f>
        <v>Supermercados Nori</v>
      </c>
      <c r="G184" s="214" t="n">
        <f aca="false">IFERROR(LOOKUP(2,1/((tblCompras[Produto]=$B184)*(tblCompras[Unid.]=$C184)*(tblCompras[Preço Unit.]=$E184)),tblCompras[Data]),"")</f>
        <v>46179</v>
      </c>
      <c r="H184" s="205" t="n">
        <f aca="false">IFERROR(_xlfn.MAXIFS(tblCompras[Preço Unit.],tblCompras[Produto],$B184,tblCompras[Unid.],$C184),"")</f>
        <v>10.4</v>
      </c>
      <c r="I184" s="213" t="str">
        <f aca="false">IFERROR(LOOKUP(2,1/((tblCompras[Produto]=$B184)*(tblCompras[Unid.]=$C184)*(tblCompras[Preço Unit.]=$H184)),tblCompras[Mercado]),"")</f>
        <v>Supermercados Nori</v>
      </c>
      <c r="J184" s="214" t="n">
        <f aca="false">IFERROR(LOOKUP(2,1/((tblCompras[Produto]=$B184)*(tblCompras[Unid.]=$C184)*(tblCompras[Preço Unit.]=$H184)),tblCompras[Data]),"")</f>
        <v>46212</v>
      </c>
      <c r="K184" s="215" t="n">
        <f aca="false">IF(OR($E184="",$H184=""),"",MAX(0,$H184-$E184))</f>
        <v>1.2</v>
      </c>
      <c r="L184" s="216" t="n">
        <f aca="false">IF(OR($E184="",$H184="",$E184=0),"",($H184-$E184)/$E184)</f>
        <v>0.130434782608696</v>
      </c>
      <c r="M184" s="205" t="n">
        <f aca="false">IFERROR(LOOKUP(2,1/((tblCompras[Produto]=$B184)*(tblCompras[Unid.]=$C184)*(tblCompras[Data]=_xlfn.MAXIFS(tblCompras[Data],tblCompras[Produto],$B184,tblCompras[Unid.],$C184))),tblCompras[Preço Unit.]),"")</f>
        <v>10.4</v>
      </c>
      <c r="N184" s="213" t="str">
        <f aca="false">IFERROR(LOOKUP(2,1/((tblCompras[Produto]=$B184)*(tblCompras[Unid.]=$C184)*(tblCompras[Data]=_xlfn.MAXIFS(tblCompras[Data],tblCompras[Produto],$B184,tblCompras[Unid.],$C184))),tblCompras[Mercado])&amp;" · "&amp;TEXT(DAY(_xlfn.MAXIFS(tblCompras[Data],tblCompras[Produto],$B184,tblCompras[Unid.],$C184)),"00")&amp;"/"&amp;TEXT(MONTH(_xlfn.MAXIFS(tblCompras[Data],tblCompras[Produto],$B184,tblCompras[Unid.],$C184)),"00")&amp;"/"&amp;TEXT(MOD(YEAR(_xlfn.MAXIFS(tblCompras[Data],tblCompras[Produto],$B184,tblCompras[Unid.],$C184)),100),"00"),"")</f>
        <v>Supermercados Nori · 09/07/26</v>
      </c>
      <c r="O184" s="1"/>
      <c r="P184" s="1" t="n">
        <f aca="false">IF(AND(ISNUMBER($K184),$K184&gt;0,OR($B$6="Todas",$D184=$B$6)),$K184+ROW()/100000,"")</f>
        <v>1.20184</v>
      </c>
      <c r="Q184" s="1"/>
      <c r="R184" s="1"/>
      <c r="S184" s="1"/>
      <c r="T184" s="1"/>
    </row>
    <row r="185" customFormat="false" ht="15" hidden="false" customHeight="false" outlineLevel="0" collapsed="false">
      <c r="A185" s="1"/>
      <c r="B185" s="197" t="s">
        <v>388</v>
      </c>
      <c r="C185" s="209" t="s">
        <v>179</v>
      </c>
      <c r="D185" s="197" t="s">
        <v>12</v>
      </c>
      <c r="E185" s="200" t="n">
        <f aca="false">IFERROR(_xlfn.MINIFS(tblCompras[Preço Unit.],tblCompras[Produto],$B185,tblCompras[Unid.],$C185),"")</f>
        <v>3.49</v>
      </c>
      <c r="F185" s="209" t="str">
        <f aca="false">IFERROR(LOOKUP(2,1/((tblCompras[Produto]=$B185)*(tblCompras[Unid.]=$C185)*(tblCompras[Preço Unit.]=$E185)),tblCompras[Mercado]),"")</f>
        <v>Supermercados Nori</v>
      </c>
      <c r="G185" s="210" t="n">
        <f aca="false">IFERROR(LOOKUP(2,1/((tblCompras[Produto]=$B185)*(tblCompras[Unid.]=$C185)*(tblCompras[Preço Unit.]=$E185)),tblCompras[Data]),"")</f>
        <v>46173</v>
      </c>
      <c r="H185" s="200" t="n">
        <f aca="false">IFERROR(_xlfn.MAXIFS(tblCompras[Preço Unit.],tblCompras[Produto],$B185,tblCompras[Unid.],$C185),"")</f>
        <v>3.49</v>
      </c>
      <c r="I185" s="209" t="str">
        <f aca="false">IFERROR(LOOKUP(2,1/((tblCompras[Produto]=$B185)*(tblCompras[Unid.]=$C185)*(tblCompras[Preço Unit.]=$H185)),tblCompras[Mercado]),"")</f>
        <v>Supermercados Nori</v>
      </c>
      <c r="J185" s="210" t="n">
        <f aca="false">IFERROR(LOOKUP(2,1/((tblCompras[Produto]=$B185)*(tblCompras[Unid.]=$C185)*(tblCompras[Preço Unit.]=$H185)),tblCompras[Data]),"")</f>
        <v>46173</v>
      </c>
      <c r="K185" s="211" t="n">
        <f aca="false">IF(OR($E185="",$H185=""),"",MAX(0,$H185-$E185))</f>
        <v>0</v>
      </c>
      <c r="L185" s="212" t="n">
        <f aca="false">IF(OR($E185="",$H185="",$E185=0),"",($H185-$E185)/$E185)</f>
        <v>0</v>
      </c>
      <c r="M185" s="200" t="n">
        <f aca="false">IFERROR(LOOKUP(2,1/((tblCompras[Produto]=$B185)*(tblCompras[Unid.]=$C185)*(tblCompras[Data]=_xlfn.MAXIFS(tblCompras[Data],tblCompras[Produto],$B185,tblCompras[Unid.],$C185))),tblCompras[Preço Unit.]),"")</f>
        <v>3.49</v>
      </c>
      <c r="N185" s="209" t="str">
        <f aca="false">IFERROR(LOOKUP(2,1/((tblCompras[Produto]=$B185)*(tblCompras[Unid.]=$C185)*(tblCompras[Data]=_xlfn.MAXIFS(tblCompras[Data],tblCompras[Produto],$B185,tblCompras[Unid.],$C185))),tblCompras[Mercado])&amp;" · "&amp;TEXT(DAY(_xlfn.MAXIFS(tblCompras[Data],tblCompras[Produto],$B185,tblCompras[Unid.],$C185)),"00")&amp;"/"&amp;TEXT(MONTH(_xlfn.MAXIFS(tblCompras[Data],tblCompras[Produto],$B185,tblCompras[Unid.],$C185)),"00")&amp;"/"&amp;TEXT(MOD(YEAR(_xlfn.MAXIFS(tblCompras[Data],tblCompras[Produto],$B185,tblCompras[Unid.],$C185)),100),"00"),"")</f>
        <v>Supermercados Nori · 31/05/26</v>
      </c>
      <c r="O185" s="1"/>
      <c r="P185" s="1" t="str">
        <f aca="false">IF(AND(ISNUMBER($K185),$K185&gt;0,OR($B$6="Todas",$D185=$B$6)),$K185+ROW()/100000,"")</f>
        <v/>
      </c>
      <c r="Q185" s="1"/>
      <c r="R185" s="1"/>
      <c r="S185" s="1"/>
      <c r="T185" s="1"/>
    </row>
    <row r="186" customFormat="false" ht="15" hidden="false" customHeight="false" outlineLevel="0" collapsed="false">
      <c r="A186" s="1"/>
      <c r="B186" s="202" t="s">
        <v>1090</v>
      </c>
      <c r="C186" s="213" t="s">
        <v>179</v>
      </c>
      <c r="D186" s="202" t="s">
        <v>12</v>
      </c>
      <c r="E186" s="205" t="n">
        <f aca="false">IFERROR(_xlfn.MINIFS(tblCompras[Preço Unit.],tblCompras[Produto],$B186,tblCompras[Unid.],$C186),"")</f>
        <v>3.49</v>
      </c>
      <c r="F186" s="213" t="str">
        <f aca="false">IFERROR(LOOKUP(2,1/((tblCompras[Produto]=$B186)*(tblCompras[Unid.]=$C186)*(tblCompras[Preço Unit.]=$E186)),tblCompras[Mercado]),"")</f>
        <v>Supermercados Nori</v>
      </c>
      <c r="G186" s="214" t="n">
        <f aca="false">IFERROR(LOOKUP(2,1/((tblCompras[Produto]=$B186)*(tblCompras[Unid.]=$C186)*(tblCompras[Preço Unit.]=$E186)),tblCompras[Data]),"")</f>
        <v>46173</v>
      </c>
      <c r="H186" s="205" t="n">
        <f aca="false">IFERROR(_xlfn.MAXIFS(tblCompras[Preço Unit.],tblCompras[Produto],$B186,tblCompras[Unid.],$C186),"")</f>
        <v>3.49</v>
      </c>
      <c r="I186" s="213" t="str">
        <f aca="false">IFERROR(LOOKUP(2,1/((tblCompras[Produto]=$B186)*(tblCompras[Unid.]=$C186)*(tblCompras[Preço Unit.]=$H186)),tblCompras[Mercado]),"")</f>
        <v>Supermercados Nori</v>
      </c>
      <c r="J186" s="214" t="n">
        <f aca="false">IFERROR(LOOKUP(2,1/((tblCompras[Produto]=$B186)*(tblCompras[Unid.]=$C186)*(tblCompras[Preço Unit.]=$H186)),tblCompras[Data]),"")</f>
        <v>46173</v>
      </c>
      <c r="K186" s="215" t="n">
        <f aca="false">IF(OR($E186="",$H186=""),"",MAX(0,$H186-$E186))</f>
        <v>0</v>
      </c>
      <c r="L186" s="216" t="n">
        <f aca="false">IF(OR($E186="",$H186="",$E186=0),"",($H186-$E186)/$E186)</f>
        <v>0</v>
      </c>
      <c r="M186" s="205" t="n">
        <f aca="false">IFERROR(LOOKUP(2,1/((tblCompras[Produto]=$B186)*(tblCompras[Unid.]=$C186)*(tblCompras[Data]=_xlfn.MAXIFS(tblCompras[Data],tblCompras[Produto],$B186,tblCompras[Unid.],$C186))),tblCompras[Preço Unit.]),"")</f>
        <v>3.49</v>
      </c>
      <c r="N186" s="213" t="str">
        <f aca="false">IFERROR(LOOKUP(2,1/((tblCompras[Produto]=$B186)*(tblCompras[Unid.]=$C186)*(tblCompras[Data]=_xlfn.MAXIFS(tblCompras[Data],tblCompras[Produto],$B186,tblCompras[Unid.],$C186))),tblCompras[Mercado])&amp;" · "&amp;TEXT(DAY(_xlfn.MAXIFS(tblCompras[Data],tblCompras[Produto],$B186,tblCompras[Unid.],$C186)),"00")&amp;"/"&amp;TEXT(MONTH(_xlfn.MAXIFS(tblCompras[Data],tblCompras[Produto],$B186,tblCompras[Unid.],$C186)),"00")&amp;"/"&amp;TEXT(MOD(YEAR(_xlfn.MAXIFS(tblCompras[Data],tblCompras[Produto],$B186,tblCompras[Unid.],$C186)),100),"00"),"")</f>
        <v>Supermercados Nori · 31/05/26</v>
      </c>
      <c r="O186" s="1"/>
      <c r="P186" s="1" t="str">
        <f aca="false">IF(AND(ISNUMBER($K186),$K186&gt;0,OR($B$6="Todas",$D186=$B$6)),$K186+ROW()/100000,"")</f>
        <v/>
      </c>
      <c r="Q186" s="1"/>
      <c r="R186" s="1"/>
      <c r="S186" s="1"/>
      <c r="T186" s="1"/>
    </row>
    <row r="187" customFormat="false" ht="15" hidden="false" customHeight="false" outlineLevel="0" collapsed="false">
      <c r="A187" s="1"/>
      <c r="B187" s="197" t="s">
        <v>266</v>
      </c>
      <c r="C187" s="209" t="s">
        <v>179</v>
      </c>
      <c r="D187" s="197" t="s">
        <v>12</v>
      </c>
      <c r="E187" s="200" t="n">
        <f aca="false">IFERROR(_xlfn.MINIFS(tblCompras[Preço Unit.],tblCompras[Produto],$B187,tblCompras[Unid.],$C187),"")</f>
        <v>23.99</v>
      </c>
      <c r="F187" s="209" t="str">
        <f aca="false">IFERROR(LOOKUP(2,1/((tblCompras[Produto]=$B187)*(tblCompras[Unid.]=$C187)*(tblCompras[Preço Unit.]=$E187)),tblCompras[Mercado]),"")</f>
        <v>Supermercados Nori</v>
      </c>
      <c r="G187" s="210" t="n">
        <f aca="false">IFERROR(LOOKUP(2,1/((tblCompras[Produto]=$B187)*(tblCompras[Unid.]=$C187)*(tblCompras[Preço Unit.]=$E187)),tblCompras[Data]),"")</f>
        <v>46147</v>
      </c>
      <c r="H187" s="200" t="n">
        <f aca="false">IFERROR(_xlfn.MAXIFS(tblCompras[Preço Unit.],tblCompras[Produto],$B187,tblCompras[Unid.],$C187),"")</f>
        <v>23.99</v>
      </c>
      <c r="I187" s="209" t="str">
        <f aca="false">IFERROR(LOOKUP(2,1/((tblCompras[Produto]=$B187)*(tblCompras[Unid.]=$C187)*(tblCompras[Preço Unit.]=$H187)),tblCompras[Mercado]),"")</f>
        <v>Supermercados Nori</v>
      </c>
      <c r="J187" s="210" t="n">
        <f aca="false">IFERROR(LOOKUP(2,1/((tblCompras[Produto]=$B187)*(tblCompras[Unid.]=$C187)*(tblCompras[Preço Unit.]=$H187)),tblCompras[Data]),"")</f>
        <v>46147</v>
      </c>
      <c r="K187" s="211" t="n">
        <f aca="false">IF(OR($E187="",$H187=""),"",MAX(0,$H187-$E187))</f>
        <v>0</v>
      </c>
      <c r="L187" s="212" t="n">
        <f aca="false">IF(OR($E187="",$H187="",$E187=0),"",($H187-$E187)/$E187)</f>
        <v>0</v>
      </c>
      <c r="M187" s="200" t="n">
        <f aca="false">IFERROR(LOOKUP(2,1/((tblCompras[Produto]=$B187)*(tblCompras[Unid.]=$C187)*(tblCompras[Data]=_xlfn.MAXIFS(tblCompras[Data],tblCompras[Produto],$B187,tblCompras[Unid.],$C187))),tblCompras[Preço Unit.]),"")</f>
        <v>23.99</v>
      </c>
      <c r="N187" s="209" t="str">
        <f aca="false">IFERROR(LOOKUP(2,1/((tblCompras[Produto]=$B187)*(tblCompras[Unid.]=$C187)*(tblCompras[Data]=_xlfn.MAXIFS(tblCompras[Data],tblCompras[Produto],$B187,tblCompras[Unid.],$C187))),tblCompras[Mercado])&amp;" · "&amp;TEXT(DAY(_xlfn.MAXIFS(tblCompras[Data],tblCompras[Produto],$B187,tblCompras[Unid.],$C187)),"00")&amp;"/"&amp;TEXT(MONTH(_xlfn.MAXIFS(tblCompras[Data],tblCompras[Produto],$B187,tblCompras[Unid.],$C187)),"00")&amp;"/"&amp;TEXT(MOD(YEAR(_xlfn.MAXIFS(tblCompras[Data],tblCompras[Produto],$B187,tblCompras[Unid.],$C187)),100),"00"),"")</f>
        <v>Supermercados Nori · 05/05/26</v>
      </c>
      <c r="O187" s="1"/>
      <c r="P187" s="1" t="str">
        <f aca="false">IF(AND(ISNUMBER($K187),$K187&gt;0,OR($B$6="Todas",$D187=$B$6)),$K187+ROW()/100000,"")</f>
        <v/>
      </c>
      <c r="Q187" s="1"/>
      <c r="R187" s="1"/>
      <c r="S187" s="1"/>
      <c r="T187" s="1"/>
    </row>
    <row r="188" customFormat="false" ht="15" hidden="false" customHeight="false" outlineLevel="0" collapsed="false">
      <c r="A188" s="1"/>
      <c r="B188" s="202" t="s">
        <v>268</v>
      </c>
      <c r="C188" s="213" t="s">
        <v>179</v>
      </c>
      <c r="D188" s="202" t="s">
        <v>12</v>
      </c>
      <c r="E188" s="205" t="n">
        <f aca="false">IFERROR(_xlfn.MINIFS(tblCompras[Preço Unit.],tblCompras[Produto],$B188,tblCompras[Unid.],$C188),"")</f>
        <v>16.5</v>
      </c>
      <c r="F188" s="213" t="str">
        <f aca="false">IFERROR(LOOKUP(2,1/((tblCompras[Produto]=$B188)*(tblCompras[Unid.]=$C188)*(tblCompras[Preço Unit.]=$E188)),tblCompras[Mercado]),"")</f>
        <v>Supermercados Nori</v>
      </c>
      <c r="G188" s="214" t="n">
        <f aca="false">IFERROR(LOOKUP(2,1/((tblCompras[Produto]=$B188)*(tblCompras[Unid.]=$C188)*(tblCompras[Preço Unit.]=$E188)),tblCompras[Data]),"")</f>
        <v>46207</v>
      </c>
      <c r="H188" s="205" t="n">
        <f aca="false">IFERROR(_xlfn.MAXIFS(tblCompras[Preço Unit.],tblCompras[Produto],$B188,tblCompras[Unid.],$C188),"")</f>
        <v>16.5</v>
      </c>
      <c r="I188" s="213" t="str">
        <f aca="false">IFERROR(LOOKUP(2,1/((tblCompras[Produto]=$B188)*(tblCompras[Unid.]=$C188)*(tblCompras[Preço Unit.]=$H188)),tblCompras[Mercado]),"")</f>
        <v>Supermercados Nori</v>
      </c>
      <c r="J188" s="214" t="n">
        <f aca="false">IFERROR(LOOKUP(2,1/((tblCompras[Produto]=$B188)*(tblCompras[Unid.]=$C188)*(tblCompras[Preço Unit.]=$H188)),tblCompras[Data]),"")</f>
        <v>46207</v>
      </c>
      <c r="K188" s="215" t="n">
        <f aca="false">IF(OR($E188="",$H188=""),"",MAX(0,$H188-$E188))</f>
        <v>0</v>
      </c>
      <c r="L188" s="216" t="n">
        <f aca="false">IF(OR($E188="",$H188="",$E188=0),"",($H188-$E188)/$E188)</f>
        <v>0</v>
      </c>
      <c r="M188" s="205" t="n">
        <f aca="false">IFERROR(LOOKUP(2,1/((tblCompras[Produto]=$B188)*(tblCompras[Unid.]=$C188)*(tblCompras[Data]=_xlfn.MAXIFS(tblCompras[Data],tblCompras[Produto],$B188,tblCompras[Unid.],$C188))),tblCompras[Preço Unit.]),"")</f>
        <v>16.5</v>
      </c>
      <c r="N188" s="213" t="str">
        <f aca="false">IFERROR(LOOKUP(2,1/((tblCompras[Produto]=$B188)*(tblCompras[Unid.]=$C188)*(tblCompras[Data]=_xlfn.MAXIFS(tblCompras[Data],tblCompras[Produto],$B188,tblCompras[Unid.],$C188))),tblCompras[Mercado])&amp;" · "&amp;TEXT(DAY(_xlfn.MAXIFS(tblCompras[Data],tblCompras[Produto],$B188,tblCompras[Unid.],$C188)),"00")&amp;"/"&amp;TEXT(MONTH(_xlfn.MAXIFS(tblCompras[Data],tblCompras[Produto],$B188,tblCompras[Unid.],$C188)),"00")&amp;"/"&amp;TEXT(MOD(YEAR(_xlfn.MAXIFS(tblCompras[Data],tblCompras[Produto],$B188,tblCompras[Unid.],$C188)),100),"00"),"")</f>
        <v>Supermercados Nori · 04/07/26</v>
      </c>
      <c r="O188" s="1"/>
      <c r="P188" s="1" t="str">
        <f aca="false">IF(AND(ISNUMBER($K188),$K188&gt;0,OR($B$6="Todas",$D188=$B$6)),$K188+ROW()/100000,"")</f>
        <v/>
      </c>
      <c r="Q188" s="1"/>
      <c r="R188" s="1"/>
      <c r="S188" s="1"/>
      <c r="T188" s="1"/>
    </row>
    <row r="189" customFormat="false" ht="15" hidden="false" customHeight="false" outlineLevel="0" collapsed="false">
      <c r="A189" s="1"/>
      <c r="B189" s="197" t="s">
        <v>270</v>
      </c>
      <c r="C189" s="209" t="s">
        <v>179</v>
      </c>
      <c r="D189" s="197" t="s">
        <v>12</v>
      </c>
      <c r="E189" s="200" t="n">
        <f aca="false">IFERROR(_xlfn.MINIFS(tblCompras[Preço Unit.],tblCompras[Produto],$B189,tblCompras[Unid.],$C189),"")</f>
        <v>7.7</v>
      </c>
      <c r="F189" s="209" t="str">
        <f aca="false">IFERROR(LOOKUP(2,1/((tblCompras[Produto]=$B189)*(tblCompras[Unid.]=$C189)*(tblCompras[Preço Unit.]=$E189)),tblCompras[Mercado]),"")</f>
        <v>Supermercados Nori</v>
      </c>
      <c r="G189" s="210" t="n">
        <f aca="false">IFERROR(LOOKUP(2,1/((tblCompras[Produto]=$B189)*(tblCompras[Unid.]=$C189)*(tblCompras[Preço Unit.]=$E189)),tblCompras[Data]),"")</f>
        <v>46147</v>
      </c>
      <c r="H189" s="200" t="n">
        <f aca="false">IFERROR(_xlfn.MAXIFS(tblCompras[Preço Unit.],tblCompras[Produto],$B189,tblCompras[Unid.],$C189),"")</f>
        <v>7.7</v>
      </c>
      <c r="I189" s="209" t="str">
        <f aca="false">IFERROR(LOOKUP(2,1/((tblCompras[Produto]=$B189)*(tblCompras[Unid.]=$C189)*(tblCompras[Preço Unit.]=$H189)),tblCompras[Mercado]),"")</f>
        <v>Supermercados Nori</v>
      </c>
      <c r="J189" s="210" t="n">
        <f aca="false">IFERROR(LOOKUP(2,1/((tblCompras[Produto]=$B189)*(tblCompras[Unid.]=$C189)*(tblCompras[Preço Unit.]=$H189)),tblCompras[Data]),"")</f>
        <v>46147</v>
      </c>
      <c r="K189" s="211" t="n">
        <f aca="false">IF(OR($E189="",$H189=""),"",MAX(0,$H189-$E189))</f>
        <v>0</v>
      </c>
      <c r="L189" s="212" t="n">
        <f aca="false">IF(OR($E189="",$H189="",$E189=0),"",($H189-$E189)/$E189)</f>
        <v>0</v>
      </c>
      <c r="M189" s="200" t="n">
        <f aca="false">IFERROR(LOOKUP(2,1/((tblCompras[Produto]=$B189)*(tblCompras[Unid.]=$C189)*(tblCompras[Data]=_xlfn.MAXIFS(tblCompras[Data],tblCompras[Produto],$B189,tblCompras[Unid.],$C189))),tblCompras[Preço Unit.]),"")</f>
        <v>7.7</v>
      </c>
      <c r="N189" s="209" t="str">
        <f aca="false">IFERROR(LOOKUP(2,1/((tblCompras[Produto]=$B189)*(tblCompras[Unid.]=$C189)*(tblCompras[Data]=_xlfn.MAXIFS(tblCompras[Data],tblCompras[Produto],$B189,tblCompras[Unid.],$C189))),tblCompras[Mercado])&amp;" · "&amp;TEXT(DAY(_xlfn.MAXIFS(tblCompras[Data],tblCompras[Produto],$B189,tblCompras[Unid.],$C189)),"00")&amp;"/"&amp;TEXT(MONTH(_xlfn.MAXIFS(tblCompras[Data],tblCompras[Produto],$B189,tblCompras[Unid.],$C189)),"00")&amp;"/"&amp;TEXT(MOD(YEAR(_xlfn.MAXIFS(tblCompras[Data],tblCompras[Produto],$B189,tblCompras[Unid.],$C189)),100),"00"),"")</f>
        <v>Supermercados Nori · 05/05/26</v>
      </c>
      <c r="O189" s="1"/>
      <c r="P189" s="1" t="str">
        <f aca="false">IF(AND(ISNUMBER($K189),$K189&gt;0,OR($B$6="Todas",$D189=$B$6)),$K189+ROW()/100000,"")</f>
        <v/>
      </c>
      <c r="Q189" s="1"/>
      <c r="R189" s="1"/>
      <c r="S189" s="1"/>
      <c r="T189" s="1"/>
    </row>
    <row r="190" customFormat="false" ht="15" hidden="false" customHeight="false" outlineLevel="0" collapsed="false">
      <c r="A190" s="1"/>
      <c r="B190" s="202" t="s">
        <v>317</v>
      </c>
      <c r="C190" s="213" t="s">
        <v>179</v>
      </c>
      <c r="D190" s="202" t="s">
        <v>14</v>
      </c>
      <c r="E190" s="205" t="n">
        <f aca="false">IFERROR(_xlfn.MINIFS(tblCompras[Preço Unit.],tblCompras[Produto],$B190,tblCompras[Unid.],$C190),"")</f>
        <v>3.99</v>
      </c>
      <c r="F190" s="213" t="str">
        <f aca="false">IFERROR(LOOKUP(2,1/((tblCompras[Produto]=$B190)*(tblCompras[Unid.]=$C190)*(tblCompras[Preço Unit.]=$E190)),tblCompras[Mercado]),"")</f>
        <v>Andre Supermercado</v>
      </c>
      <c r="G190" s="214" t="n">
        <f aca="false">IFERROR(LOOKUP(2,1/((tblCompras[Produto]=$B190)*(tblCompras[Unid.]=$C190)*(tblCompras[Preço Unit.]=$E190)),tblCompras[Data]),"")</f>
        <v>46152</v>
      </c>
      <c r="H190" s="205" t="n">
        <f aca="false">IFERROR(_xlfn.MAXIFS(tblCompras[Preço Unit.],tblCompras[Produto],$B190,tblCompras[Unid.],$C190),"")</f>
        <v>3.99</v>
      </c>
      <c r="I190" s="213" t="str">
        <f aca="false">IFERROR(LOOKUP(2,1/((tblCompras[Produto]=$B190)*(tblCompras[Unid.]=$C190)*(tblCompras[Preço Unit.]=$H190)),tblCompras[Mercado]),"")</f>
        <v>Andre Supermercado</v>
      </c>
      <c r="J190" s="214" t="n">
        <f aca="false">IFERROR(LOOKUP(2,1/((tblCompras[Produto]=$B190)*(tblCompras[Unid.]=$C190)*(tblCompras[Preço Unit.]=$H190)),tblCompras[Data]),"")</f>
        <v>46152</v>
      </c>
      <c r="K190" s="215" t="n">
        <f aca="false">IF(OR($E190="",$H190=""),"",MAX(0,$H190-$E190))</f>
        <v>0</v>
      </c>
      <c r="L190" s="216" t="n">
        <f aca="false">IF(OR($E190="",$H190="",$E190=0),"",($H190-$E190)/$E190)</f>
        <v>0</v>
      </c>
      <c r="M190" s="205" t="n">
        <f aca="false">IFERROR(LOOKUP(2,1/((tblCompras[Produto]=$B190)*(tblCompras[Unid.]=$C190)*(tblCompras[Data]=_xlfn.MAXIFS(tblCompras[Data],tblCompras[Produto],$B190,tblCompras[Unid.],$C190))),tblCompras[Preço Unit.]),"")</f>
        <v>3.99</v>
      </c>
      <c r="N190" s="213" t="str">
        <f aca="false">IFERROR(LOOKUP(2,1/((tblCompras[Produto]=$B190)*(tblCompras[Unid.]=$C190)*(tblCompras[Data]=_xlfn.MAXIFS(tblCompras[Data],tblCompras[Produto],$B190,tblCompras[Unid.],$C190))),tblCompras[Mercado])&amp;" · "&amp;TEXT(DAY(_xlfn.MAXIFS(tblCompras[Data],tblCompras[Produto],$B190,tblCompras[Unid.],$C190)),"00")&amp;"/"&amp;TEXT(MONTH(_xlfn.MAXIFS(tblCompras[Data],tblCompras[Produto],$B190,tblCompras[Unid.],$C190)),"00")&amp;"/"&amp;TEXT(MOD(YEAR(_xlfn.MAXIFS(tblCompras[Data],tblCompras[Produto],$B190,tblCompras[Unid.],$C190)),100),"00"),"")</f>
        <v>Andre Supermercado · 10/05/26</v>
      </c>
      <c r="O190" s="1"/>
      <c r="P190" s="1" t="str">
        <f aca="false">IF(AND(ISNUMBER($K190),$K190&gt;0,OR($B$6="Todas",$D190=$B$6)),$K190+ROW()/100000,"")</f>
        <v/>
      </c>
      <c r="Q190" s="1"/>
      <c r="R190" s="1"/>
      <c r="S190" s="1"/>
      <c r="T190" s="1"/>
    </row>
    <row r="191" customFormat="false" ht="15" hidden="false" customHeight="false" outlineLevel="0" collapsed="false">
      <c r="A191" s="1"/>
      <c r="B191" s="197" t="s">
        <v>470</v>
      </c>
      <c r="C191" s="209" t="s">
        <v>176</v>
      </c>
      <c r="D191" s="197" t="s">
        <v>14</v>
      </c>
      <c r="E191" s="200" t="n">
        <f aca="false">IFERROR(_xlfn.MINIFS(tblCompras[Preço Unit.],tblCompras[Produto],$B191,tblCompras[Unid.],$C191),"")</f>
        <v>41.0240963855422</v>
      </c>
      <c r="F191" s="209" t="str">
        <f aca="false">IFERROR(LOOKUP(2,1/((tblCompras[Produto]=$B191)*(tblCompras[Unid.]=$C191)*(tblCompras[Preço Unit.]=$E191)),tblCompras[Mercado]),"")</f>
        <v>Andre Eduardo Hipolito</v>
      </c>
      <c r="G191" s="210" t="n">
        <f aca="false">IFERROR(LOOKUP(2,1/((tblCompras[Produto]=$B191)*(tblCompras[Unid.]=$C191)*(tblCompras[Preço Unit.]=$E191)),tblCompras[Data]),"")</f>
        <v>46162</v>
      </c>
      <c r="H191" s="200" t="n">
        <f aca="false">IFERROR(_xlfn.MAXIFS(tblCompras[Preço Unit.],tblCompras[Produto],$B191,tblCompras[Unid.],$C191),"")</f>
        <v>41.0240963855422</v>
      </c>
      <c r="I191" s="209" t="str">
        <f aca="false">IFERROR(LOOKUP(2,1/((tblCompras[Produto]=$B191)*(tblCompras[Unid.]=$C191)*(tblCompras[Preço Unit.]=$H191)),tblCompras[Mercado]),"")</f>
        <v>Andre Eduardo Hipolito</v>
      </c>
      <c r="J191" s="210" t="n">
        <f aca="false">IFERROR(LOOKUP(2,1/((tblCompras[Produto]=$B191)*(tblCompras[Unid.]=$C191)*(tblCompras[Preço Unit.]=$H191)),tblCompras[Data]),"")</f>
        <v>46162</v>
      </c>
      <c r="K191" s="211" t="n">
        <f aca="false">IF(OR($E191="",$H191=""),"",MAX(0,$H191-$E191))</f>
        <v>0</v>
      </c>
      <c r="L191" s="212" t="n">
        <f aca="false">IF(OR($E191="",$H191="",$E191=0),"",($H191-$E191)/$E191)</f>
        <v>0</v>
      </c>
      <c r="M191" s="200" t="n">
        <f aca="false">IFERROR(LOOKUP(2,1/((tblCompras[Produto]=$B191)*(tblCompras[Unid.]=$C191)*(tblCompras[Data]=_xlfn.MAXIFS(tblCompras[Data],tblCompras[Produto],$B191,tblCompras[Unid.],$C191))),tblCompras[Preço Unit.]),"")</f>
        <v>41.0240963855422</v>
      </c>
      <c r="N191" s="209" t="str">
        <f aca="false">IFERROR(LOOKUP(2,1/((tblCompras[Produto]=$B191)*(tblCompras[Unid.]=$C191)*(tblCompras[Data]=_xlfn.MAXIFS(tblCompras[Data],tblCompras[Produto],$B191,tblCompras[Unid.],$C191))),tblCompras[Mercado])&amp;" · "&amp;TEXT(DAY(_xlfn.MAXIFS(tblCompras[Data],tblCompras[Produto],$B191,tblCompras[Unid.],$C191)),"00")&amp;"/"&amp;TEXT(MONTH(_xlfn.MAXIFS(tblCompras[Data],tblCompras[Produto],$B191,tblCompras[Unid.],$C191)),"00")&amp;"/"&amp;TEXT(MOD(YEAR(_xlfn.MAXIFS(tblCompras[Data],tblCompras[Produto],$B191,tblCompras[Unid.],$C191)),100),"00"),"")</f>
        <v>Andre Eduardo Hipolito · 20/05/26</v>
      </c>
      <c r="O191" s="1"/>
      <c r="P191" s="1" t="str">
        <f aca="false">IF(AND(ISNUMBER($K191),$K191&gt;0,OR($B$6="Todas",$D191=$B$6)),$K191+ROW()/100000,"")</f>
        <v/>
      </c>
      <c r="Q191" s="1"/>
      <c r="R191" s="1"/>
      <c r="S191" s="1"/>
      <c r="T191" s="1"/>
    </row>
    <row r="192" customFormat="false" ht="15" hidden="false" customHeight="false" outlineLevel="0" collapsed="false">
      <c r="A192" s="1"/>
      <c r="B192" s="202" t="s">
        <v>175</v>
      </c>
      <c r="C192" s="213" t="s">
        <v>176</v>
      </c>
      <c r="D192" s="202" t="s">
        <v>14</v>
      </c>
      <c r="E192" s="205" t="n">
        <f aca="false">IFERROR(_xlfn.MINIFS(tblCompras[Preço Unit.],tblCompras[Produto],$B192,tblCompras[Unid.],$C192),"")</f>
        <v>65.98</v>
      </c>
      <c r="F192" s="213" t="str">
        <f aca="false">IFERROR(LOOKUP(2,1/((tblCompras[Produto]=$B192)*(tblCompras[Unid.]=$C192)*(tblCompras[Preço Unit.]=$E192)),tblCompras[Mercado]),"")</f>
        <v>Crystal</v>
      </c>
      <c r="G192" s="214" t="n">
        <f aca="false">IFERROR(LOOKUP(2,1/((tblCompras[Produto]=$B192)*(tblCompras[Unid.]=$C192)*(tblCompras[Preço Unit.]=$E192)),tblCompras[Data]),"")</f>
        <v>46144</v>
      </c>
      <c r="H192" s="205" t="n">
        <f aca="false">IFERROR(_xlfn.MAXIFS(tblCompras[Preço Unit.],tblCompras[Produto],$B192,tblCompras[Unid.],$C192),"")</f>
        <v>65.98</v>
      </c>
      <c r="I192" s="213" t="str">
        <f aca="false">IFERROR(LOOKUP(2,1/((tblCompras[Produto]=$B192)*(tblCompras[Unid.]=$C192)*(tblCompras[Preço Unit.]=$H192)),tblCompras[Mercado]),"")</f>
        <v>Crystal</v>
      </c>
      <c r="J192" s="214" t="n">
        <f aca="false">IFERROR(LOOKUP(2,1/((tblCompras[Produto]=$B192)*(tblCompras[Unid.]=$C192)*(tblCompras[Preço Unit.]=$H192)),tblCompras[Data]),"")</f>
        <v>46144</v>
      </c>
      <c r="K192" s="215" t="n">
        <f aca="false">IF(OR($E192="",$H192=""),"",MAX(0,$H192-$E192))</f>
        <v>0</v>
      </c>
      <c r="L192" s="216" t="n">
        <f aca="false">IF(OR($E192="",$H192="",$E192=0),"",($H192-$E192)/$E192)</f>
        <v>0</v>
      </c>
      <c r="M192" s="205" t="n">
        <f aca="false">IFERROR(LOOKUP(2,1/((tblCompras[Produto]=$B192)*(tblCompras[Unid.]=$C192)*(tblCompras[Data]=_xlfn.MAXIFS(tblCompras[Data],tblCompras[Produto],$B192,tblCompras[Unid.],$C192))),tblCompras[Preço Unit.]),"")</f>
        <v>65.98</v>
      </c>
      <c r="N192" s="213" t="str">
        <f aca="false">IFERROR(LOOKUP(2,1/((tblCompras[Produto]=$B192)*(tblCompras[Unid.]=$C192)*(tblCompras[Data]=_xlfn.MAXIFS(tblCompras[Data],tblCompras[Produto],$B192,tblCompras[Unid.],$C192))),tblCompras[Mercado])&amp;" · "&amp;TEXT(DAY(_xlfn.MAXIFS(tblCompras[Data],tblCompras[Produto],$B192,tblCompras[Unid.],$C192)),"00")&amp;"/"&amp;TEXT(MONTH(_xlfn.MAXIFS(tblCompras[Data],tblCompras[Produto],$B192,tblCompras[Unid.],$C192)),"00")&amp;"/"&amp;TEXT(MOD(YEAR(_xlfn.MAXIFS(tblCompras[Data],tblCompras[Produto],$B192,tblCompras[Unid.],$C192)),100),"00"),"")</f>
        <v>Crystal · 02/05/26</v>
      </c>
      <c r="O192" s="1"/>
      <c r="P192" s="1" t="str">
        <f aca="false">IF(AND(ISNUMBER($K192),$K192&gt;0,OR($B$6="Todas",$D192=$B$6)),$K192+ROW()/100000,"")</f>
        <v/>
      </c>
      <c r="Q192" s="1"/>
      <c r="R192" s="1"/>
      <c r="S192" s="1"/>
      <c r="T192" s="1"/>
    </row>
    <row r="193" customFormat="false" ht="15" hidden="false" customHeight="false" outlineLevel="0" collapsed="false">
      <c r="A193" s="1"/>
      <c r="B193" s="197" t="s">
        <v>322</v>
      </c>
      <c r="C193" s="209" t="s">
        <v>176</v>
      </c>
      <c r="D193" s="197" t="s">
        <v>14</v>
      </c>
      <c r="E193" s="200" t="n">
        <f aca="false">IFERROR(_xlfn.MINIFS(tblCompras[Preço Unit.],tblCompras[Produto],$B193,tblCompras[Unid.],$C193),"")</f>
        <v>78.9943342776204</v>
      </c>
      <c r="F193" s="209" t="str">
        <f aca="false">IFERROR(LOOKUP(2,1/((tblCompras[Produto]=$B193)*(tblCompras[Unid.]=$C193)*(tblCompras[Preço Unit.]=$E193)),tblCompras[Mercado]),"")</f>
        <v>Supermercados Nori</v>
      </c>
      <c r="G193" s="210" t="n">
        <f aca="false">IFERROR(LOOKUP(2,1/((tblCompras[Produto]=$B193)*(tblCompras[Unid.]=$C193)*(tblCompras[Preço Unit.]=$E193)),tblCompras[Data]),"")</f>
        <v>46152</v>
      </c>
      <c r="H193" s="200" t="n">
        <f aca="false">IFERROR(_xlfn.MAXIFS(tblCompras[Preço Unit.],tblCompras[Produto],$B193,tblCompras[Unid.],$C193),"")</f>
        <v>78.9943342776204</v>
      </c>
      <c r="I193" s="209" t="str">
        <f aca="false">IFERROR(LOOKUP(2,1/((tblCompras[Produto]=$B193)*(tblCompras[Unid.]=$C193)*(tblCompras[Preço Unit.]=$H193)),tblCompras[Mercado]),"")</f>
        <v>Supermercados Nori</v>
      </c>
      <c r="J193" s="210" t="n">
        <f aca="false">IFERROR(LOOKUP(2,1/((tblCompras[Produto]=$B193)*(tblCompras[Unid.]=$C193)*(tblCompras[Preço Unit.]=$H193)),tblCompras[Data]),"")</f>
        <v>46152</v>
      </c>
      <c r="K193" s="211" t="n">
        <f aca="false">IF(OR($E193="",$H193=""),"",MAX(0,$H193-$E193))</f>
        <v>0</v>
      </c>
      <c r="L193" s="212" t="n">
        <f aca="false">IF(OR($E193="",$H193="",$E193=0),"",($H193-$E193)/$E193)</f>
        <v>0</v>
      </c>
      <c r="M193" s="200" t="n">
        <f aca="false">IFERROR(LOOKUP(2,1/((tblCompras[Produto]=$B193)*(tblCompras[Unid.]=$C193)*(tblCompras[Data]=_xlfn.MAXIFS(tblCompras[Data],tblCompras[Produto],$B193,tblCompras[Unid.],$C193))),tblCompras[Preço Unit.]),"")</f>
        <v>78.9943342776204</v>
      </c>
      <c r="N193" s="209" t="str">
        <f aca="false">IFERROR(LOOKUP(2,1/((tblCompras[Produto]=$B193)*(tblCompras[Unid.]=$C193)*(tblCompras[Data]=_xlfn.MAXIFS(tblCompras[Data],tblCompras[Produto],$B193,tblCompras[Unid.],$C193))),tblCompras[Mercado])&amp;" · "&amp;TEXT(DAY(_xlfn.MAXIFS(tblCompras[Data],tblCompras[Produto],$B193,tblCompras[Unid.],$C193)),"00")&amp;"/"&amp;TEXT(MONTH(_xlfn.MAXIFS(tblCompras[Data],tblCompras[Produto],$B193,tblCompras[Unid.],$C193)),"00")&amp;"/"&amp;TEXT(MOD(YEAR(_xlfn.MAXIFS(tblCompras[Data],tblCompras[Produto],$B193,tblCompras[Unid.],$C193)),100),"00"),"")</f>
        <v>Supermercados Nori · 10/05/26</v>
      </c>
      <c r="O193" s="1"/>
      <c r="P193" s="1" t="str">
        <f aca="false">IF(AND(ISNUMBER($K193),$K193&gt;0,OR($B$6="Todas",$D193=$B$6)),$K193+ROW()/100000,"")</f>
        <v/>
      </c>
      <c r="Q193" s="1"/>
      <c r="R193" s="1"/>
      <c r="S193" s="1"/>
      <c r="T193" s="1"/>
    </row>
    <row r="194" customFormat="false" ht="15" hidden="false" customHeight="false" outlineLevel="0" collapsed="false">
      <c r="A194" s="1"/>
      <c r="B194" s="202" t="s">
        <v>398</v>
      </c>
      <c r="C194" s="213" t="s">
        <v>176</v>
      </c>
      <c r="D194" s="202" t="s">
        <v>14</v>
      </c>
      <c r="E194" s="205" t="n">
        <f aca="false">IFERROR(_xlfn.MINIFS(tblCompras[Preço Unit.],tblCompras[Produto],$B194,tblCompras[Unid.],$C194),"")</f>
        <v>14.8913043478261</v>
      </c>
      <c r="F194" s="213" t="str">
        <f aca="false">IFERROR(LOOKUP(2,1/((tblCompras[Produto]=$B194)*(tblCompras[Unid.]=$C194)*(tblCompras[Preço Unit.]=$E194)),tblCompras[Mercado]),"")</f>
        <v>Supermercados Nori</v>
      </c>
      <c r="G194" s="214" t="n">
        <f aca="false">IFERROR(LOOKUP(2,1/((tblCompras[Produto]=$B194)*(tblCompras[Unid.]=$C194)*(tblCompras[Preço Unit.]=$E194)),tblCompras[Data]),"")</f>
        <v>46173</v>
      </c>
      <c r="H194" s="205" t="n">
        <f aca="false">IFERROR(_xlfn.MAXIFS(tblCompras[Preço Unit.],tblCompras[Produto],$B194,tblCompras[Unid.],$C194),"")</f>
        <v>17.9074074074074</v>
      </c>
      <c r="I194" s="213" t="str">
        <f aca="false">IFERROR(LOOKUP(2,1/((tblCompras[Produto]=$B194)*(tblCompras[Unid.]=$C194)*(tblCompras[Preço Unit.]=$H194)),tblCompras[Mercado]),"")</f>
        <v>Supermercado Canesin</v>
      </c>
      <c r="J194" s="214" t="n">
        <f aca="false">IFERROR(LOOKUP(2,1/((tblCompras[Produto]=$B194)*(tblCompras[Unid.]=$C194)*(tblCompras[Preço Unit.]=$H194)),tblCompras[Data]),"")</f>
        <v>46177</v>
      </c>
      <c r="K194" s="215" t="n">
        <f aca="false">IF(OR($E194="",$H194=""),"",MAX(0,$H194-$E194))</f>
        <v>3.01610305958132</v>
      </c>
      <c r="L194" s="216" t="n">
        <f aca="false">IF(OR($E194="",$H194="",$E194=0),"",($H194-$E194)/$E194)</f>
        <v>0.202541227358746</v>
      </c>
      <c r="M194" s="205" t="n">
        <f aca="false">IFERROR(LOOKUP(2,1/((tblCompras[Produto]=$B194)*(tblCompras[Unid.]=$C194)*(tblCompras[Data]=_xlfn.MAXIFS(tblCompras[Data],tblCompras[Produto],$B194,tblCompras[Unid.],$C194))),tblCompras[Preço Unit.]),"")</f>
        <v>14.8979591836735</v>
      </c>
      <c r="N194" s="213" t="str">
        <f aca="false">IFERROR(LOOKUP(2,1/((tblCompras[Produto]=$B194)*(tblCompras[Unid.]=$C194)*(tblCompras[Data]=_xlfn.MAXIFS(tblCompras[Data],tblCompras[Produto],$B194,tblCompras[Unid.],$C194))),tblCompras[Mercado])&amp;" · "&amp;TEXT(DAY(_xlfn.MAXIFS(tblCompras[Data],tblCompras[Produto],$B194,tblCompras[Unid.],$C194)),"00")&amp;"/"&amp;TEXT(MONTH(_xlfn.MAXIFS(tblCompras[Data],tblCompras[Produto],$B194,tblCompras[Unid.],$C194)),"00")&amp;"/"&amp;TEXT(MOD(YEAR(_xlfn.MAXIFS(tblCompras[Data],tblCompras[Produto],$B194,tblCompras[Unid.],$C194)),100),"00"),"")</f>
        <v>Supermercados Nori · 12/07/26</v>
      </c>
      <c r="O194" s="1"/>
      <c r="P194" s="1" t="n">
        <f aca="false">IF(AND(ISNUMBER($K194),$K194&gt;0,OR($B$6="Todas",$D194=$B$6)),$K194+ROW()/100000,"")</f>
        <v>3.01804305958132</v>
      </c>
      <c r="Q194" s="1"/>
      <c r="R194" s="1"/>
      <c r="S194" s="1"/>
      <c r="T194" s="1"/>
    </row>
    <row r="195" customFormat="false" ht="15" hidden="false" customHeight="false" outlineLevel="0" collapsed="false">
      <c r="A195" s="1"/>
      <c r="B195" s="197" t="s">
        <v>1030</v>
      </c>
      <c r="C195" s="209" t="s">
        <v>176</v>
      </c>
      <c r="D195" s="197" t="s">
        <v>14</v>
      </c>
      <c r="E195" s="200" t="n">
        <f aca="false">IFERROR(_xlfn.MINIFS(tblCompras[Preço Unit.],tblCompras[Produto],$B195,tblCompras[Unid.],$C195),"")</f>
        <v>8.11</v>
      </c>
      <c r="F195" s="209" t="str">
        <f aca="false">IFERROR(LOOKUP(2,1/((tblCompras[Produto]=$B195)*(tblCompras[Unid.]=$C195)*(tblCompras[Preço Unit.]=$E195)),tblCompras[Mercado]),"")</f>
        <v>Supermercados Nori</v>
      </c>
      <c r="G195" s="210" t="n">
        <f aca="false">IFERROR(LOOKUP(2,1/((tblCompras[Produto]=$B195)*(tblCompras[Unid.]=$C195)*(tblCompras[Preço Unit.]=$E195)),tblCompras[Data]),"")</f>
        <v>46147</v>
      </c>
      <c r="H195" s="200" t="n">
        <f aca="false">IFERROR(_xlfn.MAXIFS(tblCompras[Preço Unit.],tblCompras[Produto],$B195,tblCompras[Unid.],$C195),"")</f>
        <v>8.11</v>
      </c>
      <c r="I195" s="209" t="str">
        <f aca="false">IFERROR(LOOKUP(2,1/((tblCompras[Produto]=$B195)*(tblCompras[Unid.]=$C195)*(tblCompras[Preço Unit.]=$H195)),tblCompras[Mercado]),"")</f>
        <v>Supermercados Nori</v>
      </c>
      <c r="J195" s="210" t="n">
        <f aca="false">IFERROR(LOOKUP(2,1/((tblCompras[Produto]=$B195)*(tblCompras[Unid.]=$C195)*(tblCompras[Preço Unit.]=$H195)),tblCompras[Data]),"")</f>
        <v>46147</v>
      </c>
      <c r="K195" s="211" t="n">
        <f aca="false">IF(OR($E195="",$H195=""),"",MAX(0,$H195-$E195))</f>
        <v>0</v>
      </c>
      <c r="L195" s="212" t="n">
        <f aca="false">IF(OR($E195="",$H195="",$E195=0),"",($H195-$E195)/$E195)</f>
        <v>0</v>
      </c>
      <c r="M195" s="200" t="n">
        <f aca="false">IFERROR(LOOKUP(2,1/((tblCompras[Produto]=$B195)*(tblCompras[Unid.]=$C195)*(tblCompras[Data]=_xlfn.MAXIFS(tblCompras[Data],tblCompras[Produto],$B195,tblCompras[Unid.],$C195))),tblCompras[Preço Unit.]),"")</f>
        <v>8.11</v>
      </c>
      <c r="N195" s="209" t="str">
        <f aca="false">IFERROR(LOOKUP(2,1/((tblCompras[Produto]=$B195)*(tblCompras[Unid.]=$C195)*(tblCompras[Data]=_xlfn.MAXIFS(tblCompras[Data],tblCompras[Produto],$B195,tblCompras[Unid.],$C195))),tblCompras[Mercado])&amp;" · "&amp;TEXT(DAY(_xlfn.MAXIFS(tblCompras[Data],tblCompras[Produto],$B195,tblCompras[Unid.],$C195)),"00")&amp;"/"&amp;TEXT(MONTH(_xlfn.MAXIFS(tblCompras[Data],tblCompras[Produto],$B195,tblCompras[Unid.],$C195)),"00")&amp;"/"&amp;TEXT(MOD(YEAR(_xlfn.MAXIFS(tblCompras[Data],tblCompras[Produto],$B195,tblCompras[Unid.],$C195)),100),"00"),"")</f>
        <v>Supermercados Nori · 05/05/26</v>
      </c>
      <c r="O195" s="1"/>
      <c r="P195" s="1" t="str">
        <f aca="false">IF(AND(ISNUMBER($K195),$K195&gt;0,OR($B$6="Todas",$D195=$B$6)),$K195+ROW()/100000,"")</f>
        <v/>
      </c>
      <c r="Q195" s="1"/>
      <c r="R195" s="1"/>
      <c r="S195" s="1"/>
      <c r="T195" s="1"/>
    </row>
    <row r="196" customFormat="false" ht="15" hidden="false" customHeight="false" outlineLevel="0" collapsed="false">
      <c r="A196" s="1"/>
      <c r="B196" s="202" t="s">
        <v>624</v>
      </c>
      <c r="C196" s="213" t="s">
        <v>176</v>
      </c>
      <c r="D196" s="202" t="s">
        <v>14</v>
      </c>
      <c r="E196" s="205" t="n">
        <f aca="false">IFERROR(_xlfn.MINIFS(tblCompras[Preço Unit.],tblCompras[Produto],$B196,tblCompras[Unid.],$C196),"")</f>
        <v>29.8888888888889</v>
      </c>
      <c r="F196" s="213" t="str">
        <f aca="false">IFERROR(LOOKUP(2,1/((tblCompras[Produto]=$B196)*(tblCompras[Unid.]=$C196)*(tblCompras[Preço Unit.]=$E196)),tblCompras[Mercado]),"")</f>
        <v>Supermercado Canesin</v>
      </c>
      <c r="G196" s="214" t="n">
        <f aca="false">IFERROR(LOOKUP(2,1/((tblCompras[Produto]=$B196)*(tblCompras[Unid.]=$C196)*(tblCompras[Preço Unit.]=$E196)),tblCompras[Data]),"")</f>
        <v>46230</v>
      </c>
      <c r="H196" s="205" t="n">
        <f aca="false">IFERROR(_xlfn.MAXIFS(tblCompras[Preço Unit.],tblCompras[Produto],$B196,tblCompras[Unid.],$C196),"")</f>
        <v>29.9285714285714</v>
      </c>
      <c r="I196" s="213" t="str">
        <f aca="false">IFERROR(LOOKUP(2,1/((tblCompras[Produto]=$B196)*(tblCompras[Unid.]=$C196)*(tblCompras[Preço Unit.]=$H196)),tblCompras[Mercado]),"")</f>
        <v>Supermercado Canesin</v>
      </c>
      <c r="J196" s="214" t="n">
        <f aca="false">IFERROR(LOOKUP(2,1/((tblCompras[Produto]=$B196)*(tblCompras[Unid.]=$C196)*(tblCompras[Preço Unit.]=$H196)),tblCompras[Data]),"")</f>
        <v>46177</v>
      </c>
      <c r="K196" s="215" t="n">
        <f aca="false">IF(OR($E196="",$H196=""),"",MAX(0,$H196-$E196))</f>
        <v>0.0396825396825378</v>
      </c>
      <c r="L196" s="216" t="n">
        <f aca="false">IF(OR($E196="",$H196="",$E196=0),"",($H196-$E196)/$E196)</f>
        <v>0.0013276686139139</v>
      </c>
      <c r="M196" s="205" t="n">
        <f aca="false">IFERROR(LOOKUP(2,1/((tblCompras[Produto]=$B196)*(tblCompras[Unid.]=$C196)*(tblCompras[Data]=_xlfn.MAXIFS(tblCompras[Data],tblCompras[Produto],$B196,tblCompras[Unid.],$C196))),tblCompras[Preço Unit.]),"")</f>
        <v>29.8985507246377</v>
      </c>
      <c r="N196" s="213" t="str">
        <f aca="false">IFERROR(LOOKUP(2,1/((tblCompras[Produto]=$B196)*(tblCompras[Unid.]=$C196)*(tblCompras[Data]=_xlfn.MAXIFS(tblCompras[Data],tblCompras[Produto],$B196,tblCompras[Unid.],$C196))),tblCompras[Mercado])&amp;" · "&amp;TEXT(DAY(_xlfn.MAXIFS(tblCompras[Data],tblCompras[Produto],$B196,tblCompras[Unid.],$C196)),"00")&amp;"/"&amp;TEXT(MONTH(_xlfn.MAXIFS(tblCompras[Data],tblCompras[Produto],$B196,tblCompras[Unid.],$C196)),"00")&amp;"/"&amp;TEXT(MOD(YEAR(_xlfn.MAXIFS(tblCompras[Data],tblCompras[Produto],$B196,tblCompras[Unid.],$C196)),100),"00"),"")</f>
        <v>Supermercado Canesin · 06/08/26</v>
      </c>
      <c r="O196" s="1"/>
      <c r="P196" s="1" t="n">
        <f aca="false">IF(AND(ISNUMBER($K196),$K196&gt;0,OR($B$6="Todas",$D196=$B$6)),$K196+ROW()/100000,"")</f>
        <v>0.0416425396825378</v>
      </c>
      <c r="Q196" s="1"/>
      <c r="R196" s="1"/>
      <c r="S196" s="1"/>
      <c r="T196" s="1"/>
    </row>
    <row r="197" customFormat="false" ht="15" hidden="false" customHeight="false" outlineLevel="0" collapsed="false">
      <c r="A197" s="1"/>
      <c r="B197" s="197" t="s">
        <v>181</v>
      </c>
      <c r="C197" s="209" t="s">
        <v>176</v>
      </c>
      <c r="D197" s="197" t="s">
        <v>14</v>
      </c>
      <c r="E197" s="200" t="n">
        <f aca="false">IFERROR(_xlfn.MINIFS(tblCompras[Preço Unit.],tblCompras[Produto],$B197,tblCompras[Unid.],$C197),"")</f>
        <v>16.9830508474576</v>
      </c>
      <c r="F197" s="209" t="str">
        <f aca="false">IFERROR(LOOKUP(2,1/((tblCompras[Produto]=$B197)*(tblCompras[Unid.]=$C197)*(tblCompras[Preço Unit.]=$E197)),tblCompras[Mercado]),"")</f>
        <v>Crystal</v>
      </c>
      <c r="G197" s="210" t="n">
        <f aca="false">IFERROR(LOOKUP(2,1/((tblCompras[Produto]=$B197)*(tblCompras[Unid.]=$C197)*(tblCompras[Preço Unit.]=$E197)),tblCompras[Data]),"")</f>
        <v>46144</v>
      </c>
      <c r="H197" s="200" t="n">
        <f aca="false">IFERROR(_xlfn.MAXIFS(tblCompras[Preço Unit.],tblCompras[Produto],$B197,tblCompras[Unid.],$C197),"")</f>
        <v>17.8979591836735</v>
      </c>
      <c r="I197" s="209" t="str">
        <f aca="false">IFERROR(LOOKUP(2,1/((tblCompras[Produto]=$B197)*(tblCompras[Unid.]=$C197)*(tblCompras[Preço Unit.]=$H197)),tblCompras[Mercado]),"")</f>
        <v>Supermercado Canesin</v>
      </c>
      <c r="J197" s="210" t="n">
        <f aca="false">IFERROR(LOOKUP(2,1/((tblCompras[Produto]=$B197)*(tblCompras[Unid.]=$C197)*(tblCompras[Preço Unit.]=$H197)),tblCompras[Data]),"")</f>
        <v>46183</v>
      </c>
      <c r="K197" s="211" t="n">
        <f aca="false">IF(OR($E197="",$H197=""),"",MAX(0,$H197-$E197))</f>
        <v>0.914908336215841</v>
      </c>
      <c r="L197" s="212" t="n">
        <f aca="false">IF(OR($E197="",$H197="",$E197=0),"",($H197-$E197)/$E197)</f>
        <v>0.0538718481404537</v>
      </c>
      <c r="M197" s="200" t="n">
        <f aca="false">IFERROR(LOOKUP(2,1/((tblCompras[Produto]=$B197)*(tblCompras[Unid.]=$C197)*(tblCompras[Data]=_xlfn.MAXIFS(tblCompras[Data],tblCompras[Produto],$B197,tblCompras[Unid.],$C197))),tblCompras[Preço Unit.]),"")</f>
        <v>17.8979591836735</v>
      </c>
      <c r="N197" s="209" t="str">
        <f aca="false">IFERROR(LOOKUP(2,1/((tblCompras[Produto]=$B197)*(tblCompras[Unid.]=$C197)*(tblCompras[Data]=_xlfn.MAXIFS(tblCompras[Data],tblCompras[Produto],$B197,tblCompras[Unid.],$C197))),tblCompras[Mercado])&amp;" · "&amp;TEXT(DAY(_xlfn.MAXIFS(tblCompras[Data],tblCompras[Produto],$B197,tblCompras[Unid.],$C197)),"00")&amp;"/"&amp;TEXT(MONTH(_xlfn.MAXIFS(tblCompras[Data],tblCompras[Produto],$B197,tblCompras[Unid.],$C197)),"00")&amp;"/"&amp;TEXT(MOD(YEAR(_xlfn.MAXIFS(tblCompras[Data],tblCompras[Produto],$B197,tblCompras[Unid.],$C197)),100),"00"),"")</f>
        <v>Supermercado Canesin · 10/06/26</v>
      </c>
      <c r="O197" s="1"/>
      <c r="P197" s="1" t="n">
        <f aca="false">IF(AND(ISNUMBER($K197),$K197&gt;0,OR($B$6="Todas",$D197=$B$6)),$K197+ROW()/100000,"")</f>
        <v>0.916878336215842</v>
      </c>
      <c r="Q197" s="1"/>
      <c r="R197" s="1"/>
      <c r="S197" s="1"/>
      <c r="T197" s="1"/>
    </row>
    <row r="198" customFormat="false" ht="15" hidden="false" customHeight="false" outlineLevel="0" collapsed="false">
      <c r="A198" s="1"/>
      <c r="B198" s="202" t="s">
        <v>740</v>
      </c>
      <c r="C198" s="213" t="s">
        <v>176</v>
      </c>
      <c r="D198" s="202" t="s">
        <v>14</v>
      </c>
      <c r="E198" s="205" t="n">
        <f aca="false">IFERROR(_xlfn.MINIFS(tblCompras[Preço Unit.],tblCompras[Produto],$B198,tblCompras[Unid.],$C198),"")</f>
        <v>17.887323943662</v>
      </c>
      <c r="F198" s="213" t="str">
        <f aca="false">IFERROR(LOOKUP(2,1/((tblCompras[Produto]=$B198)*(tblCompras[Unid.]=$C198)*(tblCompras[Preço Unit.]=$E198)),tblCompras[Mercado]),"")</f>
        <v>Supermercado Canesin</v>
      </c>
      <c r="G198" s="214" t="n">
        <f aca="false">IFERROR(LOOKUP(2,1/((tblCompras[Produto]=$B198)*(tblCompras[Unid.]=$C198)*(tblCompras[Preço Unit.]=$E198)),tblCompras[Data]),"")</f>
        <v>46204</v>
      </c>
      <c r="H198" s="205" t="n">
        <f aca="false">IFERROR(_xlfn.MAXIFS(tblCompras[Preço Unit.],tblCompras[Produto],$B198,tblCompras[Unid.],$C198),"")</f>
        <v>17.9142857142857</v>
      </c>
      <c r="I198" s="213" t="str">
        <f aca="false">IFERROR(LOOKUP(2,1/((tblCompras[Produto]=$B198)*(tblCompras[Unid.]=$C198)*(tblCompras[Preço Unit.]=$H198)),tblCompras[Mercado]),"")</f>
        <v>Supermercado Canesin</v>
      </c>
      <c r="J198" s="214" t="n">
        <f aca="false">IFERROR(LOOKUP(2,1/((tblCompras[Produto]=$B198)*(tblCompras[Unid.]=$C198)*(tblCompras[Preço Unit.]=$H198)),tblCompras[Data]),"")</f>
        <v>46232</v>
      </c>
      <c r="K198" s="215" t="n">
        <f aca="false">IF(OR($E198="",$H198=""),"",MAX(0,$H198-$E198))</f>
        <v>0.0269617706237426</v>
      </c>
      <c r="L198" s="216" t="n">
        <f aca="false">IF(OR($E198="",$H198="",$E198=0),"",($H198-$E198)/$E198)</f>
        <v>0.00150731158605175</v>
      </c>
      <c r="M198" s="205" t="n">
        <f aca="false">IFERROR(LOOKUP(2,1/((tblCompras[Produto]=$B198)*(tblCompras[Unid.]=$C198)*(tblCompras[Data]=_xlfn.MAXIFS(tblCompras[Data],tblCompras[Produto],$B198,tblCompras[Unid.],$C198))),tblCompras[Preço Unit.]),"")</f>
        <v>17.9019607843137</v>
      </c>
      <c r="N198" s="213" t="str">
        <f aca="false">IFERROR(LOOKUP(2,1/((tblCompras[Produto]=$B198)*(tblCompras[Unid.]=$C198)*(tblCompras[Data]=_xlfn.MAXIFS(tblCompras[Data],tblCompras[Produto],$B198,tblCompras[Unid.],$C198))),tblCompras[Mercado])&amp;" · "&amp;TEXT(DAY(_xlfn.MAXIFS(tblCompras[Data],tblCompras[Produto],$B198,tblCompras[Unid.],$C198)),"00")&amp;"/"&amp;TEXT(MONTH(_xlfn.MAXIFS(tblCompras[Data],tblCompras[Produto],$B198,tblCompras[Unid.],$C198)),"00")&amp;"/"&amp;TEXT(MOD(YEAR(_xlfn.MAXIFS(tblCompras[Data],tblCompras[Produto],$B198,tblCompras[Unid.],$C198)),100),"00"),"")</f>
        <v>Supermercado Canesin · 05/08/26</v>
      </c>
      <c r="O198" s="1"/>
      <c r="P198" s="1" t="n">
        <f aca="false">IF(AND(ISNUMBER($K198),$K198&gt;0,OR($B$6="Todas",$D198=$B$6)),$K198+ROW()/100000,"")</f>
        <v>0.0289417706237426</v>
      </c>
      <c r="Q198" s="1"/>
      <c r="R198" s="1"/>
      <c r="S198" s="1"/>
      <c r="T198" s="1"/>
    </row>
    <row r="199" customFormat="false" ht="15" hidden="false" customHeight="false" outlineLevel="0" collapsed="false">
      <c r="A199" s="1"/>
      <c r="B199" s="197" t="s">
        <v>996</v>
      </c>
      <c r="C199" s="209" t="s">
        <v>176</v>
      </c>
      <c r="D199" s="197" t="s">
        <v>14</v>
      </c>
      <c r="E199" s="200" t="n">
        <f aca="false">IFERROR(_xlfn.MINIFS(tblCompras[Preço Unit.],tblCompras[Produto],$B199,tblCompras[Unid.],$C199),"")</f>
        <v>42.8879310344828</v>
      </c>
      <c r="F199" s="209" t="str">
        <f aca="false">IFERROR(LOOKUP(2,1/((tblCompras[Produto]=$B199)*(tblCompras[Unid.]=$C199)*(tblCompras[Preço Unit.]=$E199)),tblCompras[Mercado]),"")</f>
        <v>Supermercado Canesin</v>
      </c>
      <c r="G199" s="210" t="n">
        <f aca="false">IFERROR(LOOKUP(2,1/((tblCompras[Produto]=$B199)*(tblCompras[Unid.]=$C199)*(tblCompras[Preço Unit.]=$E199)),tblCompras[Data]),"")</f>
        <v>46240</v>
      </c>
      <c r="H199" s="200" t="n">
        <f aca="false">IFERROR(_xlfn.MAXIFS(tblCompras[Preço Unit.],tblCompras[Produto],$B199,tblCompras[Unid.],$C199),"")</f>
        <v>42.9020979020979</v>
      </c>
      <c r="I199" s="209" t="str">
        <f aca="false">IFERROR(LOOKUP(2,1/((tblCompras[Produto]=$B199)*(tblCompras[Unid.]=$C199)*(tblCompras[Preço Unit.]=$H199)),tblCompras[Mercado]),"")</f>
        <v>Supermercado Canesin</v>
      </c>
      <c r="J199" s="210" t="n">
        <f aca="false">IFERROR(LOOKUP(2,1/((tblCompras[Produto]=$B199)*(tblCompras[Unid.]=$C199)*(tblCompras[Preço Unit.]=$H199)),tblCompras[Data]),"")</f>
        <v>46232</v>
      </c>
      <c r="K199" s="211" t="n">
        <f aca="false">IF(OR($E199="",$H199=""),"",MAX(0,$H199-$E199))</f>
        <v>0.0141668676151525</v>
      </c>
      <c r="L199" s="212" t="n">
        <f aca="false">IF(OR($E199="",$H199="",$E199=0),"",($H199-$E199)/$E199)</f>
        <v>0.000330322943388481</v>
      </c>
      <c r="M199" s="200" t="n">
        <f aca="false">IFERROR(LOOKUP(2,1/((tblCompras[Produto]=$B199)*(tblCompras[Unid.]=$C199)*(tblCompras[Data]=_xlfn.MAXIFS(tblCompras[Data],tblCompras[Produto],$B199,tblCompras[Unid.],$C199))),tblCompras[Preço Unit.]),"")</f>
        <v>42.8879310344828</v>
      </c>
      <c r="N199" s="209" t="str">
        <f aca="false">IFERROR(LOOKUP(2,1/((tblCompras[Produto]=$B199)*(tblCompras[Unid.]=$C199)*(tblCompras[Data]=_xlfn.MAXIFS(tblCompras[Data],tblCompras[Produto],$B199,tblCompras[Unid.],$C199))),tblCompras[Mercado])&amp;" · "&amp;TEXT(DAY(_xlfn.MAXIFS(tblCompras[Data],tblCompras[Produto],$B199,tblCompras[Unid.],$C199)),"00")&amp;"/"&amp;TEXT(MONTH(_xlfn.MAXIFS(tblCompras[Data],tblCompras[Produto],$B199,tblCompras[Unid.],$C199)),"00")&amp;"/"&amp;TEXT(MOD(YEAR(_xlfn.MAXIFS(tblCompras[Data],tblCompras[Produto],$B199,tblCompras[Unid.],$C199)),100),"00"),"")</f>
        <v>Supermercado Canesin · 06/08/26</v>
      </c>
      <c r="O199" s="1"/>
      <c r="P199" s="1" t="n">
        <f aca="false">IF(AND(ISNUMBER($K199),$K199&gt;0,OR($B$6="Todas",$D199=$B$6)),$K199+ROW()/100000,"")</f>
        <v>0.0161568676151525</v>
      </c>
      <c r="Q199" s="1"/>
      <c r="R199" s="1"/>
      <c r="S199" s="1"/>
      <c r="T199" s="1"/>
    </row>
    <row r="200" customFormat="false" ht="15" hidden="false" customHeight="false" outlineLevel="0" collapsed="false">
      <c r="A200" s="1"/>
      <c r="B200" s="202" t="s">
        <v>263</v>
      </c>
      <c r="C200" s="213" t="s">
        <v>179</v>
      </c>
      <c r="D200" s="202" t="s">
        <v>14</v>
      </c>
      <c r="E200" s="205" t="n">
        <f aca="false">IFERROR(_xlfn.MINIFS(tblCompras[Preço Unit.],tblCompras[Produto],$B200,tblCompras[Unid.],$C200),"")</f>
        <v>6.55</v>
      </c>
      <c r="F200" s="213" t="str">
        <f aca="false">IFERROR(LOOKUP(2,1/((tblCompras[Produto]=$B200)*(tblCompras[Unid.]=$C200)*(tblCompras[Preço Unit.]=$E200)),tblCompras[Mercado]),"")</f>
        <v>Supermercados Nori</v>
      </c>
      <c r="G200" s="214" t="n">
        <f aca="false">IFERROR(LOOKUP(2,1/((tblCompras[Produto]=$B200)*(tblCompras[Unid.]=$C200)*(tblCompras[Preço Unit.]=$E200)),tblCompras[Data]),"")</f>
        <v>46147</v>
      </c>
      <c r="H200" s="205" t="n">
        <f aca="false">IFERROR(_xlfn.MAXIFS(tblCompras[Preço Unit.],tblCompras[Produto],$B200,tblCompras[Unid.],$C200),"")</f>
        <v>6.55</v>
      </c>
      <c r="I200" s="213" t="str">
        <f aca="false">IFERROR(LOOKUP(2,1/((tblCompras[Produto]=$B200)*(tblCompras[Unid.]=$C200)*(tblCompras[Preço Unit.]=$H200)),tblCompras[Mercado]),"")</f>
        <v>Supermercados Nori</v>
      </c>
      <c r="J200" s="214" t="n">
        <f aca="false">IFERROR(LOOKUP(2,1/((tblCompras[Produto]=$B200)*(tblCompras[Unid.]=$C200)*(tblCompras[Preço Unit.]=$H200)),tblCompras[Data]),"")</f>
        <v>46147</v>
      </c>
      <c r="K200" s="215" t="n">
        <f aca="false">IF(OR($E200="",$H200=""),"",MAX(0,$H200-$E200))</f>
        <v>0</v>
      </c>
      <c r="L200" s="216" t="n">
        <f aca="false">IF(OR($E200="",$H200="",$E200=0),"",($H200-$E200)/$E200)</f>
        <v>0</v>
      </c>
      <c r="M200" s="205" t="n">
        <f aca="false">IFERROR(LOOKUP(2,1/((tblCompras[Produto]=$B200)*(tblCompras[Unid.]=$C200)*(tblCompras[Data]=_xlfn.MAXIFS(tblCompras[Data],tblCompras[Produto],$B200,tblCompras[Unid.],$C200))),tblCompras[Preço Unit.]),"")</f>
        <v>6.55</v>
      </c>
      <c r="N200" s="213" t="str">
        <f aca="false">IFERROR(LOOKUP(2,1/((tblCompras[Produto]=$B200)*(tblCompras[Unid.]=$C200)*(tblCompras[Data]=_xlfn.MAXIFS(tblCompras[Data],tblCompras[Produto],$B200,tblCompras[Unid.],$C200))),tblCompras[Mercado])&amp;" · "&amp;TEXT(DAY(_xlfn.MAXIFS(tblCompras[Data],tblCompras[Produto],$B200,tblCompras[Unid.],$C200)),"00")&amp;"/"&amp;TEXT(MONTH(_xlfn.MAXIFS(tblCompras[Data],tblCompras[Produto],$B200,tblCompras[Unid.],$C200)),"00")&amp;"/"&amp;TEXT(MOD(YEAR(_xlfn.MAXIFS(tblCompras[Data],tblCompras[Produto],$B200,tblCompras[Unid.],$C200)),100),"00"),"")</f>
        <v>Supermercados Nori · 05/05/26</v>
      </c>
      <c r="O200" s="1"/>
      <c r="P200" s="1" t="str">
        <f aca="false">IF(AND(ISNUMBER($K200),$K200&gt;0,OR($B$6="Todas",$D200=$B$6)),$K200+ROW()/100000,"")</f>
        <v/>
      </c>
      <c r="Q200" s="1"/>
      <c r="R200" s="1"/>
      <c r="S200" s="1"/>
      <c r="T200" s="1"/>
    </row>
    <row r="201" customFormat="false" ht="15" hidden="false" customHeight="false" outlineLevel="0" collapsed="false">
      <c r="A201" s="1"/>
      <c r="B201" s="197" t="s">
        <v>393</v>
      </c>
      <c r="C201" s="209" t="s">
        <v>179</v>
      </c>
      <c r="D201" s="197" t="s">
        <v>14</v>
      </c>
      <c r="E201" s="200" t="n">
        <f aca="false">IFERROR(_xlfn.MINIFS(tblCompras[Preço Unit.],tblCompras[Produto],$B201,tblCompras[Unid.],$C201),"")</f>
        <v>5.59</v>
      </c>
      <c r="F201" s="209" t="str">
        <f aca="false">IFERROR(LOOKUP(2,1/((tblCompras[Produto]=$B201)*(tblCompras[Unid.]=$C201)*(tblCompras[Preço Unit.]=$E201)),tblCompras[Mercado]),"")</f>
        <v>Supermercados Nori</v>
      </c>
      <c r="G201" s="210" t="n">
        <f aca="false">IFERROR(LOOKUP(2,1/((tblCompras[Produto]=$B201)*(tblCompras[Unid.]=$C201)*(tblCompras[Preço Unit.]=$E201)),tblCompras[Data]),"")</f>
        <v>46176</v>
      </c>
      <c r="H201" s="200" t="n">
        <f aca="false">IFERROR(_xlfn.MAXIFS(tblCompras[Preço Unit.],tblCompras[Produto],$B201,tblCompras[Unid.],$C201),"")</f>
        <v>5.59</v>
      </c>
      <c r="I201" s="209" t="str">
        <f aca="false">IFERROR(LOOKUP(2,1/((tblCompras[Produto]=$B201)*(tblCompras[Unid.]=$C201)*(tblCompras[Preço Unit.]=$H201)),tblCompras[Mercado]),"")</f>
        <v>Supermercados Nori</v>
      </c>
      <c r="J201" s="210" t="n">
        <f aca="false">IFERROR(LOOKUP(2,1/((tblCompras[Produto]=$B201)*(tblCompras[Unid.]=$C201)*(tblCompras[Preço Unit.]=$H201)),tblCompras[Data]),"")</f>
        <v>46176</v>
      </c>
      <c r="K201" s="211" t="n">
        <f aca="false">IF(OR($E201="",$H201=""),"",MAX(0,$H201-$E201))</f>
        <v>0</v>
      </c>
      <c r="L201" s="212" t="n">
        <f aca="false">IF(OR($E201="",$H201="",$E201=0),"",($H201-$E201)/$E201)</f>
        <v>0</v>
      </c>
      <c r="M201" s="200" t="n">
        <f aca="false">IFERROR(LOOKUP(2,1/((tblCompras[Produto]=$B201)*(tblCompras[Unid.]=$C201)*(tblCompras[Data]=_xlfn.MAXIFS(tblCompras[Data],tblCompras[Produto],$B201,tblCompras[Unid.],$C201))),tblCompras[Preço Unit.]),"")</f>
        <v>5.59</v>
      </c>
      <c r="N201" s="209" t="str">
        <f aca="false">IFERROR(LOOKUP(2,1/((tblCompras[Produto]=$B201)*(tblCompras[Unid.]=$C201)*(tblCompras[Data]=_xlfn.MAXIFS(tblCompras[Data],tblCompras[Produto],$B201,tblCompras[Unid.],$C201))),tblCompras[Mercado])&amp;" · "&amp;TEXT(DAY(_xlfn.MAXIFS(tblCompras[Data],tblCompras[Produto],$B201,tblCompras[Unid.],$C201)),"00")&amp;"/"&amp;TEXT(MONTH(_xlfn.MAXIFS(tblCompras[Data],tblCompras[Produto],$B201,tblCompras[Unid.],$C201)),"00")&amp;"/"&amp;TEXT(MOD(YEAR(_xlfn.MAXIFS(tblCompras[Data],tblCompras[Produto],$B201,tblCompras[Unid.],$C201)),100),"00"),"")</f>
        <v>Supermercados Nori · 03/06/26</v>
      </c>
      <c r="O201" s="1"/>
      <c r="P201" s="1" t="str">
        <f aca="false">IF(AND(ISNUMBER($K201),$K201&gt;0,OR($B$6="Todas",$D201=$B$6)),$K201+ROW()/100000,"")</f>
        <v/>
      </c>
      <c r="Q201" s="1"/>
      <c r="R201" s="1"/>
      <c r="S201" s="1"/>
      <c r="T201" s="1"/>
    </row>
    <row r="202" customFormat="false" ht="15" hidden="false" customHeight="false" outlineLevel="0" collapsed="false">
      <c r="A202" s="1"/>
      <c r="B202" s="202" t="s">
        <v>1095</v>
      </c>
      <c r="C202" s="213" t="s">
        <v>176</v>
      </c>
      <c r="D202" s="202" t="s">
        <v>14</v>
      </c>
      <c r="E202" s="205" t="n">
        <f aca="false">IFERROR(_xlfn.MINIFS(tblCompras[Preço Unit.],tblCompras[Produto],$B202,tblCompras[Unid.],$C202),"")</f>
        <v>32.0081967213115</v>
      </c>
      <c r="F202" s="213" t="str">
        <f aca="false">IFERROR(LOOKUP(2,1/((tblCompras[Produto]=$B202)*(tblCompras[Unid.]=$C202)*(tblCompras[Preço Unit.]=$E202)),tblCompras[Mercado]),"")</f>
        <v>Supermercados Nori</v>
      </c>
      <c r="G202" s="214" t="n">
        <f aca="false">IFERROR(LOOKUP(2,1/((tblCompras[Produto]=$B202)*(tblCompras[Unid.]=$C202)*(tblCompras[Preço Unit.]=$E202)),tblCompras[Data]),"")</f>
        <v>46157</v>
      </c>
      <c r="H202" s="205" t="n">
        <f aca="false">IFERROR(_xlfn.MAXIFS(tblCompras[Preço Unit.],tblCompras[Produto],$B202,tblCompras[Unid.],$C202),"")</f>
        <v>32.0081967213115</v>
      </c>
      <c r="I202" s="213" t="str">
        <f aca="false">IFERROR(LOOKUP(2,1/((tblCompras[Produto]=$B202)*(tblCompras[Unid.]=$C202)*(tblCompras[Preço Unit.]=$H202)),tblCompras[Mercado]),"")</f>
        <v>Supermercados Nori</v>
      </c>
      <c r="J202" s="214" t="n">
        <f aca="false">IFERROR(LOOKUP(2,1/((tblCompras[Produto]=$B202)*(tblCompras[Unid.]=$C202)*(tblCompras[Preço Unit.]=$H202)),tblCompras[Data]),"")</f>
        <v>46157</v>
      </c>
      <c r="K202" s="215" t="n">
        <f aca="false">IF(OR($E202="",$H202=""),"",MAX(0,$H202-$E202))</f>
        <v>0</v>
      </c>
      <c r="L202" s="216" t="n">
        <f aca="false">IF(OR($E202="",$H202="",$E202=0),"",($H202-$E202)/$E202)</f>
        <v>0</v>
      </c>
      <c r="M202" s="205" t="n">
        <f aca="false">IFERROR(LOOKUP(2,1/((tblCompras[Produto]=$B202)*(tblCompras[Unid.]=$C202)*(tblCompras[Data]=_xlfn.MAXIFS(tblCompras[Data],tblCompras[Produto],$B202,tblCompras[Unid.],$C202))),tblCompras[Preço Unit.]),"")</f>
        <v>32.0081967213115</v>
      </c>
      <c r="N202" s="213" t="str">
        <f aca="false">IFERROR(LOOKUP(2,1/((tblCompras[Produto]=$B202)*(tblCompras[Unid.]=$C202)*(tblCompras[Data]=_xlfn.MAXIFS(tblCompras[Data],tblCompras[Produto],$B202,tblCompras[Unid.],$C202))),tblCompras[Mercado])&amp;" · "&amp;TEXT(DAY(_xlfn.MAXIFS(tblCompras[Data],tblCompras[Produto],$B202,tblCompras[Unid.],$C202)),"00")&amp;"/"&amp;TEXT(MONTH(_xlfn.MAXIFS(tblCompras[Data],tblCompras[Produto],$B202,tblCompras[Unid.],$C202)),"00")&amp;"/"&amp;TEXT(MOD(YEAR(_xlfn.MAXIFS(tblCompras[Data],tblCompras[Produto],$B202,tblCompras[Unid.],$C202)),100),"00"),"")</f>
        <v>Supermercados Nori · 15/05/26</v>
      </c>
      <c r="O202" s="1"/>
      <c r="P202" s="1" t="str">
        <f aca="false">IF(AND(ISNUMBER($K202),$K202&gt;0,OR($B$6="Todas",$D202=$B$6)),$K202+ROW()/100000,"")</f>
        <v/>
      </c>
      <c r="Q202" s="1"/>
      <c r="R202" s="1"/>
      <c r="S202" s="1"/>
      <c r="T202" s="1"/>
    </row>
    <row r="203" customFormat="false" ht="15" hidden="false" customHeight="false" outlineLevel="0" collapsed="false">
      <c r="A203" s="1"/>
      <c r="B203" s="197" t="s">
        <v>1120</v>
      </c>
      <c r="C203" s="209" t="s">
        <v>179</v>
      </c>
      <c r="D203" s="197" t="s">
        <v>14</v>
      </c>
      <c r="E203" s="200" t="n">
        <f aca="false">IFERROR(_xlfn.MINIFS(tblCompras[Preço Unit.],tblCompras[Produto],$B203,tblCompras[Unid.],$C203),"")</f>
        <v>9.99</v>
      </c>
      <c r="F203" s="209" t="str">
        <f aca="false">IFERROR(LOOKUP(2,1/((tblCompras[Produto]=$B203)*(tblCompras[Unid.]=$C203)*(tblCompras[Preço Unit.]=$E203)),tblCompras[Mercado]),"")</f>
        <v>Andre Novato Ribeiro</v>
      </c>
      <c r="G203" s="210" t="n">
        <f aca="false">IFERROR(LOOKUP(2,1/((tblCompras[Produto]=$B203)*(tblCompras[Unid.]=$C203)*(tblCompras[Preço Unit.]=$E203)),tblCompras[Data]),"")</f>
        <v>46156</v>
      </c>
      <c r="H203" s="200" t="n">
        <f aca="false">IFERROR(_xlfn.MAXIFS(tblCompras[Preço Unit.],tblCompras[Produto],$B203,tblCompras[Unid.],$C203),"")</f>
        <v>9.99</v>
      </c>
      <c r="I203" s="209" t="str">
        <f aca="false">IFERROR(LOOKUP(2,1/((tblCompras[Produto]=$B203)*(tblCompras[Unid.]=$C203)*(tblCompras[Preço Unit.]=$H203)),tblCompras[Mercado]),"")</f>
        <v>Andre Novato Ribeiro</v>
      </c>
      <c r="J203" s="210" t="n">
        <f aca="false">IFERROR(LOOKUP(2,1/((tblCompras[Produto]=$B203)*(tblCompras[Unid.]=$C203)*(tblCompras[Preço Unit.]=$H203)),tblCompras[Data]),"")</f>
        <v>46156</v>
      </c>
      <c r="K203" s="211" t="n">
        <f aca="false">IF(OR($E203="",$H203=""),"",MAX(0,$H203-$E203))</f>
        <v>0</v>
      </c>
      <c r="L203" s="212" t="n">
        <f aca="false">IF(OR($E203="",$H203="",$E203=0),"",($H203-$E203)/$E203)</f>
        <v>0</v>
      </c>
      <c r="M203" s="200" t="n">
        <f aca="false">IFERROR(LOOKUP(2,1/((tblCompras[Produto]=$B203)*(tblCompras[Unid.]=$C203)*(tblCompras[Data]=_xlfn.MAXIFS(tblCompras[Data],tblCompras[Produto],$B203,tblCompras[Unid.],$C203))),tblCompras[Preço Unit.]),"")</f>
        <v>9.99</v>
      </c>
      <c r="N203" s="209" t="str">
        <f aca="false">IFERROR(LOOKUP(2,1/((tblCompras[Produto]=$B203)*(tblCompras[Unid.]=$C203)*(tblCompras[Data]=_xlfn.MAXIFS(tblCompras[Data],tblCompras[Produto],$B203,tblCompras[Unid.],$C203))),tblCompras[Mercado])&amp;" · "&amp;TEXT(DAY(_xlfn.MAXIFS(tblCompras[Data],tblCompras[Produto],$B203,tblCompras[Unid.],$C203)),"00")&amp;"/"&amp;TEXT(MONTH(_xlfn.MAXIFS(tblCompras[Data],tblCompras[Produto],$B203,tblCompras[Unid.],$C203)),"00")&amp;"/"&amp;TEXT(MOD(YEAR(_xlfn.MAXIFS(tblCompras[Data],tblCompras[Produto],$B203,tblCompras[Unid.],$C203)),100),"00"),"")</f>
        <v>Andre Novato Ribeiro · 14/05/26</v>
      </c>
      <c r="O203" s="1"/>
      <c r="P203" s="1" t="str">
        <f aca="false">IF(AND(ISNUMBER($K203),$K203&gt;0,OR($B$6="Todas",$D203=$B$6)),$K203+ROW()/100000,"")</f>
        <v/>
      </c>
      <c r="Q203" s="1"/>
      <c r="R203" s="1"/>
      <c r="S203" s="1"/>
      <c r="T203" s="1"/>
    </row>
    <row r="204" customFormat="false" ht="15" hidden="false" customHeight="false" outlineLevel="0" collapsed="false">
      <c r="A204" s="1"/>
      <c r="B204" s="202" t="s">
        <v>466</v>
      </c>
      <c r="C204" s="213" t="s">
        <v>176</v>
      </c>
      <c r="D204" s="202" t="s">
        <v>14</v>
      </c>
      <c r="E204" s="205" t="n">
        <f aca="false">IFERROR(_xlfn.MINIFS(tblCompras[Preço Unit.],tblCompras[Produto],$B204,tblCompras[Unid.],$C204),"")</f>
        <v>41.0212765957447</v>
      </c>
      <c r="F204" s="213" t="str">
        <f aca="false">IFERROR(LOOKUP(2,1/((tblCompras[Produto]=$B204)*(tblCompras[Unid.]=$C204)*(tblCompras[Preço Unit.]=$E204)),tblCompras[Mercado]),"")</f>
        <v>Andre Eduardo Hipolito</v>
      </c>
      <c r="G204" s="214" t="n">
        <f aca="false">IFERROR(LOOKUP(2,1/((tblCompras[Produto]=$B204)*(tblCompras[Unid.]=$C204)*(tblCompras[Preço Unit.]=$E204)),tblCompras[Data]),"")</f>
        <v>46162</v>
      </c>
      <c r="H204" s="205" t="n">
        <f aca="false">IFERROR(_xlfn.MAXIFS(tblCompras[Preço Unit.],tblCompras[Produto],$B204,tblCompras[Unid.],$C204),"")</f>
        <v>41.0212765957447</v>
      </c>
      <c r="I204" s="213" t="str">
        <f aca="false">IFERROR(LOOKUP(2,1/((tblCompras[Produto]=$B204)*(tblCompras[Unid.]=$C204)*(tblCompras[Preço Unit.]=$H204)),tblCompras[Mercado]),"")</f>
        <v>Andre Eduardo Hipolito</v>
      </c>
      <c r="J204" s="214" t="n">
        <f aca="false">IFERROR(LOOKUP(2,1/((tblCompras[Produto]=$B204)*(tblCompras[Unid.]=$C204)*(tblCompras[Preço Unit.]=$H204)),tblCompras[Data]),"")</f>
        <v>46162</v>
      </c>
      <c r="K204" s="215" t="n">
        <f aca="false">IF(OR($E204="",$H204=""),"",MAX(0,$H204-$E204))</f>
        <v>0</v>
      </c>
      <c r="L204" s="216" t="n">
        <f aca="false">IF(OR($E204="",$H204="",$E204=0),"",($H204-$E204)/$E204)</f>
        <v>0</v>
      </c>
      <c r="M204" s="205" t="n">
        <f aca="false">IFERROR(LOOKUP(2,1/((tblCompras[Produto]=$B204)*(tblCompras[Unid.]=$C204)*(tblCompras[Data]=_xlfn.MAXIFS(tblCompras[Data],tblCompras[Produto],$B204,tblCompras[Unid.],$C204))),tblCompras[Preço Unit.]),"")</f>
        <v>41.0212765957447</v>
      </c>
      <c r="N204" s="213" t="str">
        <f aca="false">IFERROR(LOOKUP(2,1/((tblCompras[Produto]=$B204)*(tblCompras[Unid.]=$C204)*(tblCompras[Data]=_xlfn.MAXIFS(tblCompras[Data],tblCompras[Produto],$B204,tblCompras[Unid.],$C204))),tblCompras[Mercado])&amp;" · "&amp;TEXT(DAY(_xlfn.MAXIFS(tblCompras[Data],tblCompras[Produto],$B204,tblCompras[Unid.],$C204)),"00")&amp;"/"&amp;TEXT(MONTH(_xlfn.MAXIFS(tblCompras[Data],tblCompras[Produto],$B204,tblCompras[Unid.],$C204)),"00")&amp;"/"&amp;TEXT(MOD(YEAR(_xlfn.MAXIFS(tblCompras[Data],tblCompras[Produto],$B204,tblCompras[Unid.],$C204)),100),"00"),"")</f>
        <v>Andre Eduardo Hipolito · 20/05/26</v>
      </c>
      <c r="O204" s="1"/>
      <c r="P204" s="1" t="str">
        <f aca="false">IF(AND(ISNUMBER($K204),$K204&gt;0,OR($B$6="Todas",$D204=$B$6)),$K204+ROW()/100000,"")</f>
        <v/>
      </c>
      <c r="Q204" s="1"/>
      <c r="R204" s="1"/>
      <c r="S204" s="1"/>
      <c r="T204" s="1"/>
    </row>
    <row r="205" customFormat="false" ht="15" hidden="false" customHeight="false" outlineLevel="0" collapsed="false">
      <c r="A205" s="1"/>
      <c r="B205" s="197" t="s">
        <v>464</v>
      </c>
      <c r="C205" s="209" t="s">
        <v>176</v>
      </c>
      <c r="D205" s="197" t="s">
        <v>14</v>
      </c>
      <c r="E205" s="200" t="n">
        <f aca="false">IFERROR(_xlfn.MINIFS(tblCompras[Preço Unit.],tblCompras[Produto],$B205,tblCompras[Unid.],$C205),"")</f>
        <v>14.9915966386555</v>
      </c>
      <c r="F205" s="209" t="str">
        <f aca="false">IFERROR(LOOKUP(2,1/((tblCompras[Produto]=$B205)*(tblCompras[Unid.]=$C205)*(tblCompras[Preço Unit.]=$E205)),tblCompras[Mercado]),"")</f>
        <v>André</v>
      </c>
      <c r="G205" s="210" t="n">
        <f aca="false">IFERROR(LOOKUP(2,1/((tblCompras[Produto]=$B205)*(tblCompras[Unid.]=$C205)*(tblCompras[Preço Unit.]=$E205)),tblCompras[Data]),"")</f>
        <v>46169</v>
      </c>
      <c r="H205" s="200" t="n">
        <f aca="false">IFERROR(_xlfn.MAXIFS(tblCompras[Preço Unit.],tblCompras[Produto],$B205,tblCompras[Unid.],$C205),"")</f>
        <v>22.9050279329609</v>
      </c>
      <c r="I205" s="209" t="str">
        <f aca="false">IFERROR(LOOKUP(2,1/((tblCompras[Produto]=$B205)*(tblCompras[Unid.]=$C205)*(tblCompras[Preço Unit.]=$H205)),tblCompras[Mercado]),"")</f>
        <v>Varejao Nova Brasil</v>
      </c>
      <c r="J205" s="210" t="n">
        <f aca="false">IFERROR(LOOKUP(2,1/((tblCompras[Produto]=$B205)*(tblCompras[Unid.]=$C205)*(tblCompras[Preço Unit.]=$H205)),tblCompras[Data]),"")</f>
        <v>46158</v>
      </c>
      <c r="K205" s="211" t="n">
        <f aca="false">IF(OR($E205="",$H205=""),"",MAX(0,$H205-$E205))</f>
        <v>7.91343129430543</v>
      </c>
      <c r="L205" s="212" t="n">
        <f aca="false">IF(OR($E205="",$H205="",$E205=0),"",($H205-$E205)/$E205)</f>
        <v>0.527857804945261</v>
      </c>
      <c r="M205" s="200" t="n">
        <f aca="false">IFERROR(LOOKUP(2,1/((tblCompras[Produto]=$B205)*(tblCompras[Unid.]=$C205)*(tblCompras[Data]=_xlfn.MAXIFS(tblCompras[Data],tblCompras[Produto],$B205,tblCompras[Unid.],$C205))),tblCompras[Preço Unit.]),"")</f>
        <v>14.9915966386555</v>
      </c>
      <c r="N205" s="209" t="str">
        <f aca="false">IFERROR(LOOKUP(2,1/((tblCompras[Produto]=$B205)*(tblCompras[Unid.]=$C205)*(tblCompras[Data]=_xlfn.MAXIFS(tblCompras[Data],tblCompras[Produto],$B205,tblCompras[Unid.],$C205))),tblCompras[Mercado])&amp;" · "&amp;TEXT(DAY(_xlfn.MAXIFS(tblCompras[Data],tblCompras[Produto],$B205,tblCompras[Unid.],$C205)),"00")&amp;"/"&amp;TEXT(MONTH(_xlfn.MAXIFS(tblCompras[Data],tblCompras[Produto],$B205,tblCompras[Unid.],$C205)),"00")&amp;"/"&amp;TEXT(MOD(YEAR(_xlfn.MAXIFS(tblCompras[Data],tblCompras[Produto],$B205,tblCompras[Unid.],$C205)),100),"00"),"")</f>
        <v>André · 27/05/26</v>
      </c>
      <c r="O205" s="1"/>
      <c r="P205" s="1" t="n">
        <f aca="false">IF(AND(ISNUMBER($K205),$K205&gt;0,OR($B$6="Todas",$D205=$B$6)),$K205+ROW()/100000,"")</f>
        <v>7.91548129430543</v>
      </c>
      <c r="Q205" s="1"/>
      <c r="R205" s="1"/>
      <c r="S205" s="1"/>
      <c r="T205" s="1"/>
    </row>
    <row r="206" customFormat="false" ht="15" hidden="false" customHeight="false" outlineLevel="0" collapsed="false">
      <c r="A206" s="1"/>
      <c r="B206" s="202" t="s">
        <v>197</v>
      </c>
      <c r="C206" s="213" t="s">
        <v>176</v>
      </c>
      <c r="D206" s="202" t="s">
        <v>14</v>
      </c>
      <c r="E206" s="205" t="n">
        <f aca="false">IFERROR(_xlfn.MINIFS(tblCompras[Preço Unit.],tblCompras[Produto],$B206,tblCompras[Unid.],$C206),"")</f>
        <v>14.8971193415638</v>
      </c>
      <c r="F206" s="213" t="str">
        <f aca="false">IFERROR(LOOKUP(2,1/((tblCompras[Produto]=$B206)*(tblCompras[Unid.]=$C206)*(tblCompras[Preço Unit.]=$E206)),tblCompras[Mercado]),"")</f>
        <v>Supermercados Nori</v>
      </c>
      <c r="G206" s="214" t="n">
        <f aca="false">IFERROR(LOOKUP(2,1/((tblCompras[Produto]=$B206)*(tblCompras[Unid.]=$C206)*(tblCompras[Preço Unit.]=$E206)),tblCompras[Data]),"")</f>
        <v>46146</v>
      </c>
      <c r="H206" s="205" t="n">
        <f aca="false">IFERROR(_xlfn.MAXIFS(tblCompras[Preço Unit.],tblCompras[Produto],$B206,tblCompras[Unid.],$C206),"")</f>
        <v>17.8987341772152</v>
      </c>
      <c r="I206" s="213" t="str">
        <f aca="false">IFERROR(LOOKUP(2,1/((tblCompras[Produto]=$B206)*(tblCompras[Unid.]=$C206)*(tblCompras[Preço Unit.]=$H206)),tblCompras[Mercado]),"")</f>
        <v>Supermercado Canesin</v>
      </c>
      <c r="J206" s="214" t="n">
        <f aca="false">IFERROR(LOOKUP(2,1/((tblCompras[Produto]=$B206)*(tblCompras[Unid.]=$C206)*(tblCompras[Preço Unit.]=$H206)),tblCompras[Data]),"")</f>
        <v>46161</v>
      </c>
      <c r="K206" s="215" t="n">
        <f aca="false">IF(OR($E206="",$H206=""),"",MAX(0,$H206-$E206))</f>
        <v>3.0016148356514</v>
      </c>
      <c r="L206" s="216" t="n">
        <f aca="false">IF(OR($E206="",$H206="",$E206=0),"",($H206-$E206)/$E206)</f>
        <v>0.201489614658368</v>
      </c>
      <c r="M206" s="205" t="n">
        <f aca="false">IFERROR(LOOKUP(2,1/((tblCompras[Produto]=$B206)*(tblCompras[Unid.]=$C206)*(tblCompras[Data]=_xlfn.MAXIFS(tblCompras[Data],tblCompras[Produto],$B206,tblCompras[Unid.],$C206))),tblCompras[Preço Unit.]),"")</f>
        <v>17.8987341772152</v>
      </c>
      <c r="N206" s="213" t="str">
        <f aca="false">IFERROR(LOOKUP(2,1/((tblCompras[Produto]=$B206)*(tblCompras[Unid.]=$C206)*(tblCompras[Data]=_xlfn.MAXIFS(tblCompras[Data],tblCompras[Produto],$B206,tblCompras[Unid.],$C206))),tblCompras[Mercado])&amp;" · "&amp;TEXT(DAY(_xlfn.MAXIFS(tblCompras[Data],tblCompras[Produto],$B206,tblCompras[Unid.],$C206)),"00")&amp;"/"&amp;TEXT(MONTH(_xlfn.MAXIFS(tblCompras[Data],tblCompras[Produto],$B206,tblCompras[Unid.],$C206)),"00")&amp;"/"&amp;TEXT(MOD(YEAR(_xlfn.MAXIFS(tblCompras[Data],tblCompras[Produto],$B206,tblCompras[Unid.],$C206)),100),"00"),"")</f>
        <v>Supermercado Canesin · 19/05/26</v>
      </c>
      <c r="O206" s="1"/>
      <c r="P206" s="1" t="n">
        <f aca="false">IF(AND(ISNUMBER($K206),$K206&gt;0,OR($B$6="Todas",$D206=$B$6)),$K206+ROW()/100000,"")</f>
        <v>3.0036748356514</v>
      </c>
      <c r="Q206" s="1"/>
      <c r="R206" s="1"/>
      <c r="S206" s="1"/>
      <c r="T206" s="1"/>
    </row>
    <row r="207" customFormat="false" ht="15" hidden="false" customHeight="false" outlineLevel="0" collapsed="false">
      <c r="A207" s="1"/>
      <c r="B207" s="197" t="s">
        <v>459</v>
      </c>
      <c r="C207" s="209" t="s">
        <v>176</v>
      </c>
      <c r="D207" s="197" t="s">
        <v>14</v>
      </c>
      <c r="E207" s="200" t="n">
        <f aca="false">IFERROR(_xlfn.MINIFS(tblCompras[Preço Unit.],tblCompras[Produto],$B207,tblCompras[Unid.],$C207),"")</f>
        <v>14.8971193415638</v>
      </c>
      <c r="F207" s="209" t="str">
        <f aca="false">IFERROR(LOOKUP(2,1/((tblCompras[Produto]=$B207)*(tblCompras[Unid.]=$C207)*(tblCompras[Preço Unit.]=$E207)),tblCompras[Mercado]),"")</f>
        <v>Supermercados Nori</v>
      </c>
      <c r="G207" s="210" t="n">
        <f aca="false">IFERROR(LOOKUP(2,1/((tblCompras[Produto]=$B207)*(tblCompras[Unid.]=$C207)*(tblCompras[Preço Unit.]=$E207)),tblCompras[Data]),"")</f>
        <v>46146</v>
      </c>
      <c r="H207" s="200" t="n">
        <f aca="false">IFERROR(_xlfn.MAXIFS(tblCompras[Preço Unit.],tblCompras[Produto],$B207,tblCompras[Unid.],$C207),"")</f>
        <v>17.8987341772152</v>
      </c>
      <c r="I207" s="209" t="str">
        <f aca="false">IFERROR(LOOKUP(2,1/((tblCompras[Produto]=$B207)*(tblCompras[Unid.]=$C207)*(tblCompras[Preço Unit.]=$H207)),tblCompras[Mercado]),"")</f>
        <v>Supermercado Canesin</v>
      </c>
      <c r="J207" s="210" t="n">
        <f aca="false">IFERROR(LOOKUP(2,1/((tblCompras[Produto]=$B207)*(tblCompras[Unid.]=$C207)*(tblCompras[Preço Unit.]=$H207)),tblCompras[Data]),"")</f>
        <v>46161</v>
      </c>
      <c r="K207" s="211" t="n">
        <f aca="false">IF(OR($E207="",$H207=""),"",MAX(0,$H207-$E207))</f>
        <v>3.0016148356514</v>
      </c>
      <c r="L207" s="212" t="n">
        <f aca="false">IF(OR($E207="",$H207="",$E207=0),"",($H207-$E207)/$E207)</f>
        <v>0.201489614658368</v>
      </c>
      <c r="M207" s="200" t="n">
        <f aca="false">IFERROR(LOOKUP(2,1/((tblCompras[Produto]=$B207)*(tblCompras[Unid.]=$C207)*(tblCompras[Data]=_xlfn.MAXIFS(tblCompras[Data],tblCompras[Produto],$B207,tblCompras[Unid.],$C207))),tblCompras[Preço Unit.]),"")</f>
        <v>17.8987341772152</v>
      </c>
      <c r="N207" s="209" t="str">
        <f aca="false">IFERROR(LOOKUP(2,1/((tblCompras[Produto]=$B207)*(tblCompras[Unid.]=$C207)*(tblCompras[Data]=_xlfn.MAXIFS(tblCompras[Data],tblCompras[Produto],$B207,tblCompras[Unid.],$C207))),tblCompras[Mercado])&amp;" · "&amp;TEXT(DAY(_xlfn.MAXIFS(tblCompras[Data],tblCompras[Produto],$B207,tblCompras[Unid.],$C207)),"00")&amp;"/"&amp;TEXT(MONTH(_xlfn.MAXIFS(tblCompras[Data],tblCompras[Produto],$B207,tblCompras[Unid.],$C207)),"00")&amp;"/"&amp;TEXT(MOD(YEAR(_xlfn.MAXIFS(tblCompras[Data],tblCompras[Produto],$B207,tblCompras[Unid.],$C207)),100),"00"),"")</f>
        <v>Supermercado Canesin · 19/05/26</v>
      </c>
      <c r="O207" s="1"/>
      <c r="P207" s="1" t="n">
        <f aca="false">IF(AND(ISNUMBER($K207),$K207&gt;0,OR($B$6="Todas",$D207=$B$6)),$K207+ROW()/100000,"")</f>
        <v>3.0036848356514</v>
      </c>
      <c r="Q207" s="1"/>
      <c r="R207" s="1"/>
      <c r="S207" s="1"/>
      <c r="T207" s="1"/>
    </row>
    <row r="208" customFormat="false" ht="15" hidden="false" customHeight="false" outlineLevel="0" collapsed="false">
      <c r="A208" s="1"/>
      <c r="B208" s="202" t="s">
        <v>207</v>
      </c>
      <c r="C208" s="213" t="s">
        <v>179</v>
      </c>
      <c r="D208" s="202" t="s">
        <v>14</v>
      </c>
      <c r="E208" s="205" t="n">
        <f aca="false">IFERROR(_xlfn.MINIFS(tblCompras[Preço Unit.],tblCompras[Produto],$B208,tblCompras[Unid.],$C208),"")</f>
        <v>5.59</v>
      </c>
      <c r="F208" s="213" t="str">
        <f aca="false">IFERROR(LOOKUP(2,1/((tblCompras[Produto]=$B208)*(tblCompras[Unid.]=$C208)*(tblCompras[Preço Unit.]=$E208)),tblCompras[Mercado]),"")</f>
        <v>Supermercados Nori</v>
      </c>
      <c r="G208" s="214" t="n">
        <f aca="false">IFERROR(LOOKUP(2,1/((tblCompras[Produto]=$B208)*(tblCompras[Unid.]=$C208)*(tblCompras[Preço Unit.]=$E208)),tblCompras[Data]),"")</f>
        <v>46146</v>
      </c>
      <c r="H208" s="205" t="n">
        <f aca="false">IFERROR(_xlfn.MAXIFS(tblCompras[Preço Unit.],tblCompras[Produto],$B208,tblCompras[Unid.],$C208),"")</f>
        <v>5.7</v>
      </c>
      <c r="I208" s="213" t="str">
        <f aca="false">IFERROR(LOOKUP(2,1/((tblCompras[Produto]=$B208)*(tblCompras[Unid.]=$C208)*(tblCompras[Preço Unit.]=$H208)),tblCompras[Mercado]),"")</f>
        <v>Supermercados Nori</v>
      </c>
      <c r="J208" s="214" t="n">
        <f aca="false">IFERROR(LOOKUP(2,1/((tblCompras[Produto]=$B208)*(tblCompras[Unid.]=$C208)*(tblCompras[Preço Unit.]=$H208)),tblCompras[Data]),"")</f>
        <v>46157</v>
      </c>
      <c r="K208" s="215" t="n">
        <f aca="false">IF(OR($E208="",$H208=""),"",MAX(0,$H208-$E208))</f>
        <v>0.11</v>
      </c>
      <c r="L208" s="216" t="n">
        <f aca="false">IF(OR($E208="",$H208="",$E208=0),"",($H208-$E208)/$E208)</f>
        <v>0.0196779964221825</v>
      </c>
      <c r="M208" s="205" t="n">
        <f aca="false">IFERROR(LOOKUP(2,1/((tblCompras[Produto]=$B208)*(tblCompras[Unid.]=$C208)*(tblCompras[Data]=_xlfn.MAXIFS(tblCompras[Data],tblCompras[Produto],$B208,tblCompras[Unid.],$C208))),tblCompras[Preço Unit.]),"")</f>
        <v>5.7</v>
      </c>
      <c r="N208" s="213" t="str">
        <f aca="false">IFERROR(LOOKUP(2,1/((tblCompras[Produto]=$B208)*(tblCompras[Unid.]=$C208)*(tblCompras[Data]=_xlfn.MAXIFS(tblCompras[Data],tblCompras[Produto],$B208,tblCompras[Unid.],$C208))),tblCompras[Mercado])&amp;" · "&amp;TEXT(DAY(_xlfn.MAXIFS(tblCompras[Data],tblCompras[Produto],$B208,tblCompras[Unid.],$C208)),"00")&amp;"/"&amp;TEXT(MONTH(_xlfn.MAXIFS(tblCompras[Data],tblCompras[Produto],$B208,tblCompras[Unid.],$C208)),"00")&amp;"/"&amp;TEXT(MOD(YEAR(_xlfn.MAXIFS(tblCompras[Data],tblCompras[Produto],$B208,tblCompras[Unid.],$C208)),100),"00"),"")</f>
        <v>Supermercados Nori · 15/05/26</v>
      </c>
      <c r="O208" s="1"/>
      <c r="P208" s="1" t="n">
        <f aca="false">IF(AND(ISNUMBER($K208),$K208&gt;0,OR($B$6="Todas",$D208=$B$6)),$K208+ROW()/100000,"")</f>
        <v>0.11208</v>
      </c>
      <c r="Q208" s="1"/>
      <c r="R208" s="1"/>
      <c r="S208" s="1"/>
      <c r="T208" s="1"/>
    </row>
    <row r="209" customFormat="false" ht="15" hidden="false" customHeight="false" outlineLevel="0" collapsed="false">
      <c r="A209" s="1"/>
      <c r="B209" s="197" t="s">
        <v>1092</v>
      </c>
      <c r="C209" s="209" t="s">
        <v>179</v>
      </c>
      <c r="D209" s="197" t="s">
        <v>14</v>
      </c>
      <c r="E209" s="200" t="n">
        <f aca="false">IFERROR(_xlfn.MINIFS(tblCompras[Preço Unit.],tblCompras[Produto],$B209,tblCompras[Unid.],$C209),"")</f>
        <v>7.2</v>
      </c>
      <c r="F209" s="209" t="str">
        <f aca="false">IFERROR(LOOKUP(2,1/((tblCompras[Produto]=$B209)*(tblCompras[Unid.]=$C209)*(tblCompras[Preço Unit.]=$E209)),tblCompras[Mercado]),"")</f>
        <v>Supermercados Nori</v>
      </c>
      <c r="G209" s="210" t="n">
        <f aca="false">IFERROR(LOOKUP(2,1/((tblCompras[Produto]=$B209)*(tblCompras[Unid.]=$C209)*(tblCompras[Preço Unit.]=$E209)),tblCompras[Data]),"")</f>
        <v>46157</v>
      </c>
      <c r="H209" s="200" t="n">
        <f aca="false">IFERROR(_xlfn.MAXIFS(tblCompras[Preço Unit.],tblCompras[Produto],$B209,tblCompras[Unid.],$C209),"")</f>
        <v>7.2</v>
      </c>
      <c r="I209" s="209" t="str">
        <f aca="false">IFERROR(LOOKUP(2,1/((tblCompras[Produto]=$B209)*(tblCompras[Unid.]=$C209)*(tblCompras[Preço Unit.]=$H209)),tblCompras[Mercado]),"")</f>
        <v>Supermercados Nori</v>
      </c>
      <c r="J209" s="210" t="n">
        <f aca="false">IFERROR(LOOKUP(2,1/((tblCompras[Produto]=$B209)*(tblCompras[Unid.]=$C209)*(tblCompras[Preço Unit.]=$H209)),tblCompras[Data]),"")</f>
        <v>46157</v>
      </c>
      <c r="K209" s="211" t="n">
        <f aca="false">IF(OR($E209="",$H209=""),"",MAX(0,$H209-$E209))</f>
        <v>0</v>
      </c>
      <c r="L209" s="212" t="n">
        <f aca="false">IF(OR($E209="",$H209="",$E209=0),"",($H209-$E209)/$E209)</f>
        <v>0</v>
      </c>
      <c r="M209" s="200" t="n">
        <f aca="false">IFERROR(LOOKUP(2,1/((tblCompras[Produto]=$B209)*(tblCompras[Unid.]=$C209)*(tblCompras[Data]=_xlfn.MAXIFS(tblCompras[Data],tblCompras[Produto],$B209,tblCompras[Unid.],$C209))),tblCompras[Preço Unit.]),"")</f>
        <v>7.2</v>
      </c>
      <c r="N209" s="209" t="str">
        <f aca="false">IFERROR(LOOKUP(2,1/((tblCompras[Produto]=$B209)*(tblCompras[Unid.]=$C209)*(tblCompras[Data]=_xlfn.MAXIFS(tblCompras[Data],tblCompras[Produto],$B209,tblCompras[Unid.],$C209))),tblCompras[Mercado])&amp;" · "&amp;TEXT(DAY(_xlfn.MAXIFS(tblCompras[Data],tblCompras[Produto],$B209,tblCompras[Unid.],$C209)),"00")&amp;"/"&amp;TEXT(MONTH(_xlfn.MAXIFS(tblCompras[Data],tblCompras[Produto],$B209,tblCompras[Unid.],$C209)),"00")&amp;"/"&amp;TEXT(MOD(YEAR(_xlfn.MAXIFS(tblCompras[Data],tblCompras[Produto],$B209,tblCompras[Unid.],$C209)),100),"00"),"")</f>
        <v>Supermercados Nori · 15/05/26</v>
      </c>
      <c r="O209" s="1"/>
      <c r="P209" s="1" t="str">
        <f aca="false">IF(AND(ISNUMBER($K209),$K209&gt;0,OR($B$6="Todas",$D209=$B$6)),$K209+ROW()/100000,"")</f>
        <v/>
      </c>
      <c r="Q209" s="1"/>
      <c r="R209" s="1"/>
      <c r="S209" s="1"/>
      <c r="T209" s="1"/>
    </row>
    <row r="210" customFormat="false" ht="15" hidden="false" customHeight="false" outlineLevel="0" collapsed="false">
      <c r="A210" s="1"/>
      <c r="B210" s="202" t="s">
        <v>1136</v>
      </c>
      <c r="C210" s="213" t="s">
        <v>176</v>
      </c>
      <c r="D210" s="202" t="s">
        <v>14</v>
      </c>
      <c r="E210" s="205" t="n">
        <f aca="false">IFERROR(_xlfn.MINIFS(tblCompras[Preço Unit.],tblCompras[Produto],$B210,tblCompras[Unid.],$C210),"")</f>
        <v>35</v>
      </c>
      <c r="F210" s="213" t="str">
        <f aca="false">IFERROR(LOOKUP(2,1/((tblCompras[Produto]=$B210)*(tblCompras[Unid.]=$C210)*(tblCompras[Preço Unit.]=$E210)),tblCompras[Mercado]),"")</f>
        <v>Supermercados Nori</v>
      </c>
      <c r="G210" s="214" t="n">
        <f aca="false">IFERROR(LOOKUP(2,1/((tblCompras[Produto]=$B210)*(tblCompras[Unid.]=$C210)*(tblCompras[Preço Unit.]=$E210)),tblCompras[Data]),"")</f>
        <v>46146</v>
      </c>
      <c r="H210" s="205" t="n">
        <f aca="false">IFERROR(_xlfn.MAXIFS(tblCompras[Preço Unit.],tblCompras[Produto],$B210,tblCompras[Unid.],$C210),"")</f>
        <v>35</v>
      </c>
      <c r="I210" s="213" t="str">
        <f aca="false">IFERROR(LOOKUP(2,1/((tblCompras[Produto]=$B210)*(tblCompras[Unid.]=$C210)*(tblCompras[Preço Unit.]=$H210)),tblCompras[Mercado]),"")</f>
        <v>Supermercados Nori</v>
      </c>
      <c r="J210" s="214" t="n">
        <f aca="false">IFERROR(LOOKUP(2,1/((tblCompras[Produto]=$B210)*(tblCompras[Unid.]=$C210)*(tblCompras[Preço Unit.]=$H210)),tblCompras[Data]),"")</f>
        <v>46146</v>
      </c>
      <c r="K210" s="215" t="n">
        <f aca="false">IF(OR($E210="",$H210=""),"",MAX(0,$H210-$E210))</f>
        <v>0</v>
      </c>
      <c r="L210" s="216" t="n">
        <f aca="false">IF(OR($E210="",$H210="",$E210=0),"",($H210-$E210)/$E210)</f>
        <v>0</v>
      </c>
      <c r="M210" s="205" t="n">
        <f aca="false">IFERROR(LOOKUP(2,1/((tblCompras[Produto]=$B210)*(tblCompras[Unid.]=$C210)*(tblCompras[Data]=_xlfn.MAXIFS(tblCompras[Data],tblCompras[Produto],$B210,tblCompras[Unid.],$C210))),tblCompras[Preço Unit.]),"")</f>
        <v>35</v>
      </c>
      <c r="N210" s="213" t="str">
        <f aca="false">IFERROR(LOOKUP(2,1/((tblCompras[Produto]=$B210)*(tblCompras[Unid.]=$C210)*(tblCompras[Data]=_xlfn.MAXIFS(tblCompras[Data],tblCompras[Produto],$B210,tblCompras[Unid.],$C210))),tblCompras[Mercado])&amp;" · "&amp;TEXT(DAY(_xlfn.MAXIFS(tblCompras[Data],tblCompras[Produto],$B210,tblCompras[Unid.],$C210)),"00")&amp;"/"&amp;TEXT(MONTH(_xlfn.MAXIFS(tblCompras[Data],tblCompras[Produto],$B210,tblCompras[Unid.],$C210)),"00")&amp;"/"&amp;TEXT(MOD(YEAR(_xlfn.MAXIFS(tblCompras[Data],tblCompras[Produto],$B210,tblCompras[Unid.],$C210)),100),"00"),"")</f>
        <v>Supermercados Nori · 24/05/26</v>
      </c>
      <c r="O210" s="1"/>
      <c r="P210" s="1" t="str">
        <f aca="false">IF(AND(ISNUMBER($K210),$K210&gt;0,OR($B$6="Todas",$D210=$B$6)),$K210+ROW()/100000,"")</f>
        <v/>
      </c>
      <c r="Q210" s="1"/>
      <c r="R210" s="1"/>
      <c r="S210" s="1"/>
      <c r="T210" s="1"/>
    </row>
    <row r="211" customFormat="false" ht="15" hidden="false" customHeight="false" outlineLevel="0" collapsed="false">
      <c r="A211" s="1"/>
      <c r="B211" s="197" t="s">
        <v>211</v>
      </c>
      <c r="C211" s="209" t="s">
        <v>176</v>
      </c>
      <c r="D211" s="197" t="s">
        <v>14</v>
      </c>
      <c r="E211" s="200" t="n">
        <f aca="false">IFERROR(_xlfn.MINIFS(tblCompras[Preço Unit.],tblCompras[Produto],$B211,tblCompras[Unid.],$C211),"")</f>
        <v>35</v>
      </c>
      <c r="F211" s="209" t="str">
        <f aca="false">IFERROR(LOOKUP(2,1/((tblCompras[Produto]=$B211)*(tblCompras[Unid.]=$C211)*(tblCompras[Preço Unit.]=$E211)),tblCompras[Mercado]),"")</f>
        <v>Supermercados Nori</v>
      </c>
      <c r="G211" s="210" t="n">
        <f aca="false">IFERROR(LOOKUP(2,1/((tblCompras[Produto]=$B211)*(tblCompras[Unid.]=$C211)*(tblCompras[Preço Unit.]=$E211)),tblCompras[Data]),"")</f>
        <v>46146</v>
      </c>
      <c r="H211" s="200" t="n">
        <f aca="false">IFERROR(_xlfn.MAXIFS(tblCompras[Preço Unit.],tblCompras[Produto],$B211,tblCompras[Unid.],$C211),"")</f>
        <v>35</v>
      </c>
      <c r="I211" s="209" t="str">
        <f aca="false">IFERROR(LOOKUP(2,1/((tblCompras[Produto]=$B211)*(tblCompras[Unid.]=$C211)*(tblCompras[Preço Unit.]=$H211)),tblCompras[Mercado]),"")</f>
        <v>Supermercados Nori</v>
      </c>
      <c r="J211" s="210" t="n">
        <f aca="false">IFERROR(LOOKUP(2,1/((tblCompras[Produto]=$B211)*(tblCompras[Unid.]=$C211)*(tblCompras[Preço Unit.]=$H211)),tblCompras[Data]),"")</f>
        <v>46146</v>
      </c>
      <c r="K211" s="211" t="n">
        <f aca="false">IF(OR($E211="",$H211=""),"",MAX(0,$H211-$E211))</f>
        <v>0</v>
      </c>
      <c r="L211" s="212" t="n">
        <f aca="false">IF(OR($E211="",$H211="",$E211=0),"",($H211-$E211)/$E211)</f>
        <v>0</v>
      </c>
      <c r="M211" s="200" t="n">
        <f aca="false">IFERROR(LOOKUP(2,1/((tblCompras[Produto]=$B211)*(tblCompras[Unid.]=$C211)*(tblCompras[Data]=_xlfn.MAXIFS(tblCompras[Data],tblCompras[Produto],$B211,tblCompras[Unid.],$C211))),tblCompras[Preço Unit.]),"")</f>
        <v>35</v>
      </c>
      <c r="N211" s="209" t="str">
        <f aca="false">IFERROR(LOOKUP(2,1/((tblCompras[Produto]=$B211)*(tblCompras[Unid.]=$C211)*(tblCompras[Data]=_xlfn.MAXIFS(tblCompras[Data],tblCompras[Produto],$B211,tblCompras[Unid.],$C211))),tblCompras[Mercado])&amp;" · "&amp;TEXT(DAY(_xlfn.MAXIFS(tblCompras[Data],tblCompras[Produto],$B211,tblCompras[Unid.],$C211)),"00")&amp;"/"&amp;TEXT(MONTH(_xlfn.MAXIFS(tblCompras[Data],tblCompras[Produto],$B211,tblCompras[Unid.],$C211)),"00")&amp;"/"&amp;TEXT(MOD(YEAR(_xlfn.MAXIFS(tblCompras[Data],tblCompras[Produto],$B211,tblCompras[Unid.],$C211)),100),"00"),"")</f>
        <v>Supermercados Nori · 24/05/26</v>
      </c>
      <c r="O211" s="1"/>
      <c r="P211" s="1" t="str">
        <f aca="false">IF(AND(ISNUMBER($K211),$K211&gt;0,OR($B$6="Todas",$D211=$B$6)),$K211+ROW()/100000,"")</f>
        <v/>
      </c>
      <c r="Q211" s="1"/>
      <c r="R211" s="1"/>
      <c r="S211" s="1"/>
      <c r="T211" s="1"/>
    </row>
    <row r="212" customFormat="false" ht="15" hidden="false" customHeight="false" outlineLevel="0" collapsed="false">
      <c r="A212" s="1"/>
      <c r="B212" s="202" t="s">
        <v>448</v>
      </c>
      <c r="C212" s="213" t="s">
        <v>176</v>
      </c>
      <c r="D212" s="202" t="s">
        <v>14</v>
      </c>
      <c r="E212" s="205" t="n">
        <f aca="false">IFERROR(_xlfn.MINIFS(tblCompras[Preço Unit.],tblCompras[Produto],$B212,tblCompras[Unid.],$C212),"")</f>
        <v>29</v>
      </c>
      <c r="F212" s="213" t="str">
        <f aca="false">IFERROR(LOOKUP(2,1/((tblCompras[Produto]=$B212)*(tblCompras[Unid.]=$C212)*(tblCompras[Preço Unit.]=$E212)),tblCompras[Mercado]),"")</f>
        <v>Supermercados Nori</v>
      </c>
      <c r="G212" s="214" t="n">
        <f aca="false">IFERROR(LOOKUP(2,1/((tblCompras[Produto]=$B212)*(tblCompras[Unid.]=$C212)*(tblCompras[Preço Unit.]=$E212)),tblCompras[Data]),"")</f>
        <v>46159</v>
      </c>
      <c r="H212" s="205" t="n">
        <f aca="false">IFERROR(_xlfn.MAXIFS(tblCompras[Preço Unit.],tblCompras[Produto],$B212,tblCompras[Unid.],$C212),"")</f>
        <v>29</v>
      </c>
      <c r="I212" s="213" t="str">
        <f aca="false">IFERROR(LOOKUP(2,1/((tblCompras[Produto]=$B212)*(tblCompras[Unid.]=$C212)*(tblCompras[Preço Unit.]=$H212)),tblCompras[Mercado]),"")</f>
        <v>Supermercados Nori</v>
      </c>
      <c r="J212" s="214" t="n">
        <f aca="false">IFERROR(LOOKUP(2,1/((tblCompras[Produto]=$B212)*(tblCompras[Unid.]=$C212)*(tblCompras[Preço Unit.]=$H212)),tblCompras[Data]),"")</f>
        <v>46159</v>
      </c>
      <c r="K212" s="215" t="n">
        <f aca="false">IF(OR($E212="",$H212=""),"",MAX(0,$H212-$E212))</f>
        <v>0</v>
      </c>
      <c r="L212" s="216" t="n">
        <f aca="false">IF(OR($E212="",$H212="",$E212=0),"",($H212-$E212)/$E212)</f>
        <v>0</v>
      </c>
      <c r="M212" s="205" t="n">
        <f aca="false">IFERROR(LOOKUP(2,1/((tblCompras[Produto]=$B212)*(tblCompras[Unid.]=$C212)*(tblCompras[Data]=_xlfn.MAXIFS(tblCompras[Data],tblCompras[Produto],$B212,tblCompras[Unid.],$C212))),tblCompras[Preço Unit.]),"")</f>
        <v>29</v>
      </c>
      <c r="N212" s="213" t="str">
        <f aca="false">IFERROR(LOOKUP(2,1/((tblCompras[Produto]=$B212)*(tblCompras[Unid.]=$C212)*(tblCompras[Data]=_xlfn.MAXIFS(tblCompras[Data],tblCompras[Produto],$B212,tblCompras[Unid.],$C212))),tblCompras[Mercado])&amp;" · "&amp;TEXT(DAY(_xlfn.MAXIFS(tblCompras[Data],tblCompras[Produto],$B212,tblCompras[Unid.],$C212)),"00")&amp;"/"&amp;TEXT(MONTH(_xlfn.MAXIFS(tblCompras[Data],tblCompras[Produto],$B212,tblCompras[Unid.],$C212)),"00")&amp;"/"&amp;TEXT(MOD(YEAR(_xlfn.MAXIFS(tblCompras[Data],tblCompras[Produto],$B212,tblCompras[Unid.],$C212)),100),"00"),"")</f>
        <v>Supermercados Nori · 17/05/26</v>
      </c>
      <c r="O212" s="1"/>
      <c r="P212" s="1" t="str">
        <f aca="false">IF(AND(ISNUMBER($K212),$K212&gt;0,OR($B$6="Todas",$D212=$B$6)),$K212+ROW()/100000,"")</f>
        <v/>
      </c>
      <c r="Q212" s="1"/>
      <c r="R212" s="1"/>
      <c r="S212" s="1"/>
      <c r="T212" s="1"/>
    </row>
    <row r="213" customFormat="false" ht="15" hidden="false" customHeight="false" outlineLevel="0" collapsed="false">
      <c r="A213" s="1"/>
      <c r="B213" s="197" t="s">
        <v>1093</v>
      </c>
      <c r="C213" s="209" t="s">
        <v>176</v>
      </c>
      <c r="D213" s="197" t="s">
        <v>14</v>
      </c>
      <c r="E213" s="200" t="n">
        <f aca="false">IFERROR(_xlfn.MINIFS(tblCompras[Preço Unit.],tblCompras[Produto],$B213,tblCompras[Unid.],$C213),"")</f>
        <v>39.0151515151515</v>
      </c>
      <c r="F213" s="209" t="str">
        <f aca="false">IFERROR(LOOKUP(2,1/((tblCompras[Produto]=$B213)*(tblCompras[Unid.]=$C213)*(tblCompras[Preço Unit.]=$E213)),tblCompras[Mercado]),"")</f>
        <v>Supermercados Nori</v>
      </c>
      <c r="G213" s="210" t="n">
        <f aca="false">IFERROR(LOOKUP(2,1/((tblCompras[Produto]=$B213)*(tblCompras[Unid.]=$C213)*(tblCompras[Preço Unit.]=$E213)),tblCompras[Data]),"")</f>
        <v>46157</v>
      </c>
      <c r="H213" s="200" t="n">
        <f aca="false">IFERROR(_xlfn.MAXIFS(tblCompras[Preço Unit.],tblCompras[Produto],$B213,tblCompras[Unid.],$C213),"")</f>
        <v>39.0151515151515</v>
      </c>
      <c r="I213" s="209" t="str">
        <f aca="false">IFERROR(LOOKUP(2,1/((tblCompras[Produto]=$B213)*(tblCompras[Unid.]=$C213)*(tblCompras[Preço Unit.]=$H213)),tblCompras[Mercado]),"")</f>
        <v>Supermercados Nori</v>
      </c>
      <c r="J213" s="210" t="n">
        <f aca="false">IFERROR(LOOKUP(2,1/((tblCompras[Produto]=$B213)*(tblCompras[Unid.]=$C213)*(tblCompras[Preço Unit.]=$H213)),tblCompras[Data]),"")</f>
        <v>46157</v>
      </c>
      <c r="K213" s="211" t="n">
        <f aca="false">IF(OR($E213="",$H213=""),"",MAX(0,$H213-$E213))</f>
        <v>0</v>
      </c>
      <c r="L213" s="212" t="n">
        <f aca="false">IF(OR($E213="",$H213="",$E213=0),"",($H213-$E213)/$E213)</f>
        <v>0</v>
      </c>
      <c r="M213" s="200" t="n">
        <f aca="false">IFERROR(LOOKUP(2,1/((tblCompras[Produto]=$B213)*(tblCompras[Unid.]=$C213)*(tblCompras[Data]=_xlfn.MAXIFS(tblCompras[Data],tblCompras[Produto],$B213,tblCompras[Unid.],$C213))),tblCompras[Preço Unit.]),"")</f>
        <v>39.0151515151515</v>
      </c>
      <c r="N213" s="209" t="str">
        <f aca="false">IFERROR(LOOKUP(2,1/((tblCompras[Produto]=$B213)*(tblCompras[Unid.]=$C213)*(tblCompras[Data]=_xlfn.MAXIFS(tblCompras[Data],tblCompras[Produto],$B213,tblCompras[Unid.],$C213))),tblCompras[Mercado])&amp;" · "&amp;TEXT(DAY(_xlfn.MAXIFS(tblCompras[Data],tblCompras[Produto],$B213,tblCompras[Unid.],$C213)),"00")&amp;"/"&amp;TEXT(MONTH(_xlfn.MAXIFS(tblCompras[Data],tblCompras[Produto],$B213,tblCompras[Unid.],$C213)),"00")&amp;"/"&amp;TEXT(MOD(YEAR(_xlfn.MAXIFS(tblCompras[Data],tblCompras[Produto],$B213,tblCompras[Unid.],$C213)),100),"00"),"")</f>
        <v>Supermercados Nori · 15/05/26</v>
      </c>
      <c r="O213" s="1"/>
      <c r="P213" s="1" t="str">
        <f aca="false">IF(AND(ISNUMBER($K213),$K213&gt;0,OR($B$6="Todas",$D213=$B$6)),$K213+ROW()/100000,"")</f>
        <v/>
      </c>
      <c r="Q213" s="1"/>
      <c r="R213" s="1"/>
      <c r="S213" s="1"/>
      <c r="T213" s="1"/>
    </row>
    <row r="214" customFormat="false" ht="15" hidden="false" customHeight="false" outlineLevel="0" collapsed="false">
      <c r="A214" s="1"/>
      <c r="B214" s="202" t="s">
        <v>1029</v>
      </c>
      <c r="C214" s="213" t="s">
        <v>176</v>
      </c>
      <c r="D214" s="202" t="s">
        <v>14</v>
      </c>
      <c r="E214" s="205" t="n">
        <f aca="false">IFERROR(_xlfn.MINIFS(tblCompras[Preço Unit.],tblCompras[Produto],$B214,tblCompras[Unid.],$C214),"")</f>
        <v>8.28</v>
      </c>
      <c r="F214" s="213" t="str">
        <f aca="false">IFERROR(LOOKUP(2,1/((tblCompras[Produto]=$B214)*(tblCompras[Unid.]=$C214)*(tblCompras[Preço Unit.]=$E214)),tblCompras[Mercado]),"")</f>
        <v>Supermercados Nori</v>
      </c>
      <c r="G214" s="214" t="n">
        <f aca="false">IFERROR(LOOKUP(2,1/((tblCompras[Produto]=$B214)*(tblCompras[Unid.]=$C214)*(tblCompras[Preço Unit.]=$E214)),tblCompras[Data]),"")</f>
        <v>46147</v>
      </c>
      <c r="H214" s="205" t="n">
        <f aca="false">IFERROR(_xlfn.MAXIFS(tblCompras[Preço Unit.],tblCompras[Produto],$B214,tblCompras[Unid.],$C214),"")</f>
        <v>8.28</v>
      </c>
      <c r="I214" s="213" t="str">
        <f aca="false">IFERROR(LOOKUP(2,1/((tblCompras[Produto]=$B214)*(tblCompras[Unid.]=$C214)*(tblCompras[Preço Unit.]=$H214)),tblCompras[Mercado]),"")</f>
        <v>Supermercados Nori</v>
      </c>
      <c r="J214" s="214" t="n">
        <f aca="false">IFERROR(LOOKUP(2,1/((tblCompras[Produto]=$B214)*(tblCompras[Unid.]=$C214)*(tblCompras[Preço Unit.]=$H214)),tblCompras[Data]),"")</f>
        <v>46147</v>
      </c>
      <c r="K214" s="215" t="n">
        <f aca="false">IF(OR($E214="",$H214=""),"",MAX(0,$H214-$E214))</f>
        <v>0</v>
      </c>
      <c r="L214" s="216" t="n">
        <f aca="false">IF(OR($E214="",$H214="",$E214=0),"",($H214-$E214)/$E214)</f>
        <v>0</v>
      </c>
      <c r="M214" s="205" t="n">
        <f aca="false">IFERROR(LOOKUP(2,1/((tblCompras[Produto]=$B214)*(tblCompras[Unid.]=$C214)*(tblCompras[Data]=_xlfn.MAXIFS(tblCompras[Data],tblCompras[Produto],$B214,tblCompras[Unid.],$C214))),tblCompras[Preço Unit.]),"")</f>
        <v>8.28</v>
      </c>
      <c r="N214" s="213" t="str">
        <f aca="false">IFERROR(LOOKUP(2,1/((tblCompras[Produto]=$B214)*(tblCompras[Unid.]=$C214)*(tblCompras[Data]=_xlfn.MAXIFS(tblCompras[Data],tblCompras[Produto],$B214,tblCompras[Unid.],$C214))),tblCompras[Mercado])&amp;" · "&amp;TEXT(DAY(_xlfn.MAXIFS(tblCompras[Data],tblCompras[Produto],$B214,tblCompras[Unid.],$C214)),"00")&amp;"/"&amp;TEXT(MONTH(_xlfn.MAXIFS(tblCompras[Data],tblCompras[Produto],$B214,tblCompras[Unid.],$C214)),"00")&amp;"/"&amp;TEXT(MOD(YEAR(_xlfn.MAXIFS(tblCompras[Data],tblCompras[Produto],$B214,tblCompras[Unid.],$C214)),100),"00"),"")</f>
        <v>Supermercados Nori · 05/05/26</v>
      </c>
      <c r="O214" s="1"/>
      <c r="P214" s="1" t="str">
        <f aca="false">IF(AND(ISNUMBER($K214),$K214&gt;0,OR($B$6="Todas",$D214=$B$6)),$K214+ROW()/100000,"")</f>
        <v/>
      </c>
      <c r="Q214" s="1"/>
      <c r="R214" s="1"/>
      <c r="S214" s="1"/>
      <c r="T214" s="1"/>
    </row>
    <row r="215" customFormat="false" ht="15" hidden="false" customHeight="false" outlineLevel="0" collapsed="false">
      <c r="A215" s="1"/>
      <c r="B215" s="197" t="s">
        <v>259</v>
      </c>
      <c r="C215" s="209" t="s">
        <v>179</v>
      </c>
      <c r="D215" s="197" t="s">
        <v>22</v>
      </c>
      <c r="E215" s="200" t="n">
        <f aca="false">IFERROR(_xlfn.MINIFS(tblCompras[Preço Unit.],tblCompras[Produto],$B215,tblCompras[Unid.],$C215),"")</f>
        <v>2.99</v>
      </c>
      <c r="F215" s="209" t="str">
        <f aca="false">IFERROR(LOOKUP(2,1/((tblCompras[Produto]=$B215)*(tblCompras[Unid.]=$C215)*(tblCompras[Preço Unit.]=$E215)),tblCompras[Mercado]),"")</f>
        <v>Supermercados Nori</v>
      </c>
      <c r="G215" s="210" t="n">
        <f aca="false">IFERROR(LOOKUP(2,1/((tblCompras[Produto]=$B215)*(tblCompras[Unid.]=$C215)*(tblCompras[Preço Unit.]=$E215)),tblCompras[Data]),"")</f>
        <v>46147</v>
      </c>
      <c r="H215" s="200" t="n">
        <f aca="false">IFERROR(_xlfn.MAXIFS(tblCompras[Preço Unit.],tblCompras[Produto],$B215,tblCompras[Unid.],$C215),"")</f>
        <v>2.99</v>
      </c>
      <c r="I215" s="209" t="str">
        <f aca="false">IFERROR(LOOKUP(2,1/((tblCompras[Produto]=$B215)*(tblCompras[Unid.]=$C215)*(tblCompras[Preço Unit.]=$H215)),tblCompras[Mercado]),"")</f>
        <v>Supermercados Nori</v>
      </c>
      <c r="J215" s="210" t="n">
        <f aca="false">IFERROR(LOOKUP(2,1/((tblCompras[Produto]=$B215)*(tblCompras[Unid.]=$C215)*(tblCompras[Preço Unit.]=$H215)),tblCompras[Data]),"")</f>
        <v>46147</v>
      </c>
      <c r="K215" s="211" t="n">
        <f aca="false">IF(OR($E215="",$H215=""),"",MAX(0,$H215-$E215))</f>
        <v>0</v>
      </c>
      <c r="L215" s="212" t="n">
        <f aca="false">IF(OR($E215="",$H215="",$E215=0),"",($H215-$E215)/$E215)</f>
        <v>0</v>
      </c>
      <c r="M215" s="200" t="n">
        <f aca="false">IFERROR(LOOKUP(2,1/((tblCompras[Produto]=$B215)*(tblCompras[Unid.]=$C215)*(tblCompras[Data]=_xlfn.MAXIFS(tblCompras[Data],tblCompras[Produto],$B215,tblCompras[Unid.],$C215))),tblCompras[Preço Unit.]),"")</f>
        <v>2.99</v>
      </c>
      <c r="N215" s="209" t="str">
        <f aca="false">IFERROR(LOOKUP(2,1/((tblCompras[Produto]=$B215)*(tblCompras[Unid.]=$C215)*(tblCompras[Data]=_xlfn.MAXIFS(tblCompras[Data],tblCompras[Produto],$B215,tblCompras[Unid.],$C215))),tblCompras[Mercado])&amp;" · "&amp;TEXT(DAY(_xlfn.MAXIFS(tblCompras[Data],tblCompras[Produto],$B215,tblCompras[Unid.],$C215)),"00")&amp;"/"&amp;TEXT(MONTH(_xlfn.MAXIFS(tblCompras[Data],tblCompras[Produto],$B215,tblCompras[Unid.],$C215)),"00")&amp;"/"&amp;TEXT(MOD(YEAR(_xlfn.MAXIFS(tblCompras[Data],tblCompras[Produto],$B215,tblCompras[Unid.],$C215)),100),"00"),"")</f>
        <v>Supermercados Nori · 05/05/26</v>
      </c>
      <c r="O215" s="1"/>
      <c r="P215" s="1" t="str">
        <f aca="false">IF(AND(ISNUMBER($K215),$K215&gt;0,OR($B$6="Todas",$D215=$B$6)),$K215+ROW()/100000,"")</f>
        <v/>
      </c>
      <c r="Q215" s="1"/>
      <c r="R215" s="1"/>
      <c r="S215" s="1"/>
      <c r="T215" s="1"/>
    </row>
    <row r="216" customFormat="false" ht="15" hidden="false" customHeight="false" outlineLevel="0" collapsed="false">
      <c r="A216" s="1"/>
      <c r="B216" s="202" t="s">
        <v>209</v>
      </c>
      <c r="C216" s="213" t="s">
        <v>176</v>
      </c>
      <c r="D216" s="202" t="s">
        <v>24</v>
      </c>
      <c r="E216" s="205" t="n">
        <f aca="false">IFERROR(_xlfn.MINIFS(tblCompras[Preço Unit.],tblCompras[Produto],$B216,tblCompras[Unid.],$C216),"")</f>
        <v>34.0052356020942</v>
      </c>
      <c r="F216" s="213" t="str">
        <f aca="false">IFERROR(LOOKUP(2,1/((tblCompras[Produto]=$B216)*(tblCompras[Unid.]=$C216)*(tblCompras[Preço Unit.]=$E216)),tblCompras[Mercado]),"")</f>
        <v>Supermercados Nori</v>
      </c>
      <c r="G216" s="214" t="n">
        <f aca="false">IFERROR(LOOKUP(2,1/((tblCompras[Produto]=$B216)*(tblCompras[Unid.]=$C216)*(tblCompras[Preço Unit.]=$E216)),tblCompras[Data]),"")</f>
        <v>46208</v>
      </c>
      <c r="H216" s="205" t="n">
        <f aca="false">IFERROR(_xlfn.MAXIFS(tblCompras[Preço Unit.],tblCompras[Produto],$B216,tblCompras[Unid.],$C216),"")</f>
        <v>34.0080971659919</v>
      </c>
      <c r="I216" s="213" t="str">
        <f aca="false">IFERROR(LOOKUP(2,1/((tblCompras[Produto]=$B216)*(tblCompras[Unid.]=$C216)*(tblCompras[Preço Unit.]=$H216)),tblCompras[Mercado]),"")</f>
        <v>Supermercados Nori</v>
      </c>
      <c r="J216" s="214" t="n">
        <f aca="false">IFERROR(LOOKUP(2,1/((tblCompras[Produto]=$B216)*(tblCompras[Unid.]=$C216)*(tblCompras[Preço Unit.]=$H216)),tblCompras[Data]),"")</f>
        <v>46146</v>
      </c>
      <c r="K216" s="215" t="n">
        <f aca="false">IF(OR($E216="",$H216=""),"",MAX(0,$H216-$E216))</f>
        <v>0.00286156389766745</v>
      </c>
      <c r="L216" s="216" t="n">
        <f aca="false">IF(OR($E216="",$H216="",$E216=0),"",($H216-$E216)/$E216)</f>
        <v>8.41506858282499E-005</v>
      </c>
      <c r="M216" s="205" t="n">
        <f aca="false">IFERROR(LOOKUP(2,1/((tblCompras[Produto]=$B216)*(tblCompras[Unid.]=$C216)*(tblCompras[Data]=_xlfn.MAXIFS(tblCompras[Data],tblCompras[Produto],$B216,tblCompras[Unid.],$C216))),tblCompras[Preço Unit.]),"")</f>
        <v>34.0052356020942</v>
      </c>
      <c r="N216" s="213" t="str">
        <f aca="false">IFERROR(LOOKUP(2,1/((tblCompras[Produto]=$B216)*(tblCompras[Unid.]=$C216)*(tblCompras[Data]=_xlfn.MAXIFS(tblCompras[Data],tblCompras[Produto],$B216,tblCompras[Unid.],$C216))),tblCompras[Mercado])&amp;" · "&amp;TEXT(DAY(_xlfn.MAXIFS(tblCompras[Data],tblCompras[Produto],$B216,tblCompras[Unid.],$C216)),"00")&amp;"/"&amp;TEXT(MONTH(_xlfn.MAXIFS(tblCompras[Data],tblCompras[Produto],$B216,tblCompras[Unid.],$C216)),"00")&amp;"/"&amp;TEXT(MOD(YEAR(_xlfn.MAXIFS(tblCompras[Data],tblCompras[Produto],$B216,tblCompras[Unid.],$C216)),100),"00"),"")</f>
        <v>Supermercados Nori · 05/07/26</v>
      </c>
      <c r="O216" s="1"/>
      <c r="P216" s="1" t="n">
        <f aca="false">IF(AND(ISNUMBER($K216),$K216&gt;0,OR($B$6="Todas",$D216=$B$6)),$K216+ROW()/100000,"")</f>
        <v>0.00502156389766745</v>
      </c>
      <c r="Q216" s="1"/>
      <c r="R216" s="1"/>
      <c r="S216" s="1"/>
      <c r="T216" s="1"/>
    </row>
    <row r="217" customFormat="false" ht="15" hidden="false" customHeight="false" outlineLevel="0" collapsed="false">
      <c r="A217" s="1"/>
      <c r="B217" s="197" t="s">
        <v>657</v>
      </c>
      <c r="C217" s="209" t="s">
        <v>179</v>
      </c>
      <c r="D217" s="197" t="s">
        <v>21</v>
      </c>
      <c r="E217" s="200" t="n">
        <f aca="false">IFERROR(_xlfn.MINIFS(tblCompras[Preço Unit.],tblCompras[Produto],$B217,tblCompras[Unid.],$C217),"")</f>
        <v>16.59</v>
      </c>
      <c r="F217" s="209" t="str">
        <f aca="false">IFERROR(LOOKUP(2,1/((tblCompras[Produto]=$B217)*(tblCompras[Unid.]=$C217)*(tblCompras[Preço Unit.]=$E217)),tblCompras[Mercado]),"")</f>
        <v>Lanchoti e Martins</v>
      </c>
      <c r="G217" s="210" t="n">
        <f aca="false">IFERROR(LOOKUP(2,1/((tblCompras[Produto]=$B217)*(tblCompras[Unid.]=$C217)*(tblCompras[Preço Unit.]=$E217)),tblCompras[Data]),"")</f>
        <v>46183</v>
      </c>
      <c r="H217" s="200" t="n">
        <f aca="false">IFERROR(_xlfn.MAXIFS(tblCompras[Preço Unit.],tblCompras[Produto],$B217,tblCompras[Unid.],$C217),"")</f>
        <v>16.59</v>
      </c>
      <c r="I217" s="209" t="str">
        <f aca="false">IFERROR(LOOKUP(2,1/((tblCompras[Produto]=$B217)*(tblCompras[Unid.]=$C217)*(tblCompras[Preço Unit.]=$H217)),tblCompras[Mercado]),"")</f>
        <v>Lanchoti e Martins</v>
      </c>
      <c r="J217" s="210" t="n">
        <f aca="false">IFERROR(LOOKUP(2,1/((tblCompras[Produto]=$B217)*(tblCompras[Unid.]=$C217)*(tblCompras[Preço Unit.]=$H217)),tblCompras[Data]),"")</f>
        <v>46183</v>
      </c>
      <c r="K217" s="211" t="n">
        <f aca="false">IF(OR($E217="",$H217=""),"",MAX(0,$H217-$E217))</f>
        <v>0</v>
      </c>
      <c r="L217" s="212" t="n">
        <f aca="false">IF(OR($E217="",$H217="",$E217=0),"",($H217-$E217)/$E217)</f>
        <v>0</v>
      </c>
      <c r="M217" s="200" t="n">
        <f aca="false">IFERROR(LOOKUP(2,1/((tblCompras[Produto]=$B217)*(tblCompras[Unid.]=$C217)*(tblCompras[Data]=_xlfn.MAXIFS(tblCompras[Data],tblCompras[Produto],$B217,tblCompras[Unid.],$C217))),tblCompras[Preço Unit.]),"")</f>
        <v>16.59</v>
      </c>
      <c r="N217" s="209" t="str">
        <f aca="false">IFERROR(LOOKUP(2,1/((tblCompras[Produto]=$B217)*(tblCompras[Unid.]=$C217)*(tblCompras[Data]=_xlfn.MAXIFS(tblCompras[Data],tblCompras[Produto],$B217,tblCompras[Unid.],$C217))),tblCompras[Mercado])&amp;" · "&amp;TEXT(DAY(_xlfn.MAXIFS(tblCompras[Data],tblCompras[Produto],$B217,tblCompras[Unid.],$C217)),"00")&amp;"/"&amp;TEXT(MONTH(_xlfn.MAXIFS(tblCompras[Data],tblCompras[Produto],$B217,tblCompras[Unid.],$C217)),"00")&amp;"/"&amp;TEXT(MOD(YEAR(_xlfn.MAXIFS(tblCompras[Data],tblCompras[Produto],$B217,tblCompras[Unid.],$C217)),100),"00"),"")</f>
        <v>Lanchoti e Martins · 10/06/26</v>
      </c>
      <c r="O217" s="1"/>
      <c r="P217" s="1" t="str">
        <f aca="false">IF(AND(ISNUMBER($K217),$K217&gt;0,OR($B$6="Todas",$D217=$B$6)),$K217+ROW()/100000,"")</f>
        <v/>
      </c>
      <c r="Q217" s="1"/>
      <c r="R217" s="1"/>
      <c r="S217" s="1"/>
      <c r="T217" s="1"/>
    </row>
    <row r="218" customFormat="false" ht="15" hidden="false" customHeight="false" outlineLevel="0" collapsed="false">
      <c r="A218" s="1"/>
      <c r="B218" s="202" t="s">
        <v>655</v>
      </c>
      <c r="C218" s="213" t="s">
        <v>179</v>
      </c>
      <c r="D218" s="202" t="s">
        <v>21</v>
      </c>
      <c r="E218" s="205" t="n">
        <f aca="false">IFERROR(_xlfn.MINIFS(tblCompras[Preço Unit.],tblCompras[Produto],$B218,tblCompras[Unid.],$C218),"")</f>
        <v>34.56</v>
      </c>
      <c r="F218" s="213" t="str">
        <f aca="false">IFERROR(LOOKUP(2,1/((tblCompras[Produto]=$B218)*(tblCompras[Unid.]=$C218)*(tblCompras[Preço Unit.]=$E218)),tblCompras[Mercado]),"")</f>
        <v>Lanchoti e Martins</v>
      </c>
      <c r="G218" s="214" t="n">
        <f aca="false">IFERROR(LOOKUP(2,1/((tblCompras[Produto]=$B218)*(tblCompras[Unid.]=$C218)*(tblCompras[Preço Unit.]=$E218)),tblCompras[Data]),"")</f>
        <v>46183</v>
      </c>
      <c r="H218" s="205" t="n">
        <f aca="false">IFERROR(_xlfn.MAXIFS(tblCompras[Preço Unit.],tblCompras[Produto],$B218,tblCompras[Unid.],$C218),"")</f>
        <v>34.56</v>
      </c>
      <c r="I218" s="213" t="str">
        <f aca="false">IFERROR(LOOKUP(2,1/((tblCompras[Produto]=$B218)*(tblCompras[Unid.]=$C218)*(tblCompras[Preço Unit.]=$H218)),tblCompras[Mercado]),"")</f>
        <v>Lanchoti e Martins</v>
      </c>
      <c r="J218" s="214" t="n">
        <f aca="false">IFERROR(LOOKUP(2,1/((tblCompras[Produto]=$B218)*(tblCompras[Unid.]=$C218)*(tblCompras[Preço Unit.]=$H218)),tblCompras[Data]),"")</f>
        <v>46183</v>
      </c>
      <c r="K218" s="215" t="n">
        <f aca="false">IF(OR($E218="",$H218=""),"",MAX(0,$H218-$E218))</f>
        <v>0</v>
      </c>
      <c r="L218" s="216" t="n">
        <f aca="false">IF(OR($E218="",$H218="",$E218=0),"",($H218-$E218)/$E218)</f>
        <v>0</v>
      </c>
      <c r="M218" s="205" t="n">
        <f aca="false">IFERROR(LOOKUP(2,1/((tblCompras[Produto]=$B218)*(tblCompras[Unid.]=$C218)*(tblCompras[Data]=_xlfn.MAXIFS(tblCompras[Data],tblCompras[Produto],$B218,tblCompras[Unid.],$C218))),tblCompras[Preço Unit.]),"")</f>
        <v>34.56</v>
      </c>
      <c r="N218" s="213" t="str">
        <f aca="false">IFERROR(LOOKUP(2,1/((tblCompras[Produto]=$B218)*(tblCompras[Unid.]=$C218)*(tblCompras[Data]=_xlfn.MAXIFS(tblCompras[Data],tblCompras[Produto],$B218,tblCompras[Unid.],$C218))),tblCompras[Mercado])&amp;" · "&amp;TEXT(DAY(_xlfn.MAXIFS(tblCompras[Data],tblCompras[Produto],$B218,tblCompras[Unid.],$C218)),"00")&amp;"/"&amp;TEXT(MONTH(_xlfn.MAXIFS(tblCompras[Data],tblCompras[Produto],$B218,tblCompras[Unid.],$C218)),"00")&amp;"/"&amp;TEXT(MOD(YEAR(_xlfn.MAXIFS(tblCompras[Data],tblCompras[Produto],$B218,tblCompras[Unid.],$C218)),100),"00"),"")</f>
        <v>Lanchoti e Martins · 10/06/26</v>
      </c>
      <c r="O218" s="1"/>
      <c r="P218" s="1" t="str">
        <f aca="false">IF(AND(ISNUMBER($K218),$K218&gt;0,OR($B$6="Todas",$D218=$B$6)),$K218+ROW()/100000,"")</f>
        <v/>
      </c>
      <c r="Q218" s="1"/>
      <c r="R218" s="1"/>
      <c r="S218" s="1"/>
      <c r="T218" s="1"/>
    </row>
    <row r="219" customFormat="false" ht="15" hidden="false" customHeight="false" outlineLevel="0" collapsed="false">
      <c r="A219" s="1"/>
      <c r="B219" s="1"/>
      <c r="C219" s="1"/>
      <c r="D219" s="1"/>
      <c r="E219" s="1"/>
      <c r="F219" s="1"/>
      <c r="G219" s="1"/>
      <c r="H219" s="1"/>
      <c r="I219" s="1"/>
      <c r="J219" s="1"/>
      <c r="K219" s="1"/>
      <c r="L219" s="1"/>
      <c r="M219" s="1"/>
      <c r="N219" s="1"/>
      <c r="O219" s="1"/>
      <c r="P219" s="1"/>
      <c r="Q219" s="1"/>
      <c r="R219" s="1"/>
      <c r="S219" s="1"/>
      <c r="T219" s="1"/>
    </row>
    <row r="220" customFormat="false" ht="15" hidden="false" customHeight="false" outlineLevel="0" collapsed="false">
      <c r="A220" s="1"/>
      <c r="B220" s="217" t="s">
        <v>1267</v>
      </c>
      <c r="C220" s="217"/>
      <c r="D220" s="217"/>
      <c r="E220" s="217"/>
      <c r="F220" s="217"/>
      <c r="G220" s="217"/>
      <c r="H220" s="217"/>
      <c r="I220" s="217"/>
      <c r="J220" s="217"/>
      <c r="K220" s="217"/>
      <c r="L220" s="217"/>
      <c r="M220" s="217"/>
      <c r="N220" s="217"/>
      <c r="O220" s="1"/>
      <c r="P220" s="1"/>
      <c r="Q220" s="1"/>
      <c r="R220" s="1"/>
      <c r="S220" s="1"/>
      <c r="T220" s="1"/>
    </row>
    <row r="221" customFormat="false" ht="15" hidden="false" customHeight="false" outlineLevel="0" collapsed="false">
      <c r="A221" s="1"/>
      <c r="B221" s="1"/>
      <c r="C221" s="1"/>
      <c r="D221" s="1"/>
      <c r="E221" s="1"/>
      <c r="F221" s="1"/>
      <c r="G221" s="1"/>
      <c r="H221" s="1"/>
      <c r="I221" s="1"/>
      <c r="J221" s="1"/>
      <c r="K221" s="1"/>
      <c r="L221" s="1"/>
      <c r="M221" s="1"/>
      <c r="N221" s="1"/>
      <c r="O221" s="1"/>
      <c r="P221" s="1"/>
      <c r="Q221" s="1"/>
      <c r="R221" s="1"/>
      <c r="S221" s="1"/>
      <c r="T221" s="1"/>
    </row>
    <row r="222" customFormat="false" ht="15" hidden="false" customHeight="false" outlineLevel="0" collapsed="false">
      <c r="A222" s="1"/>
      <c r="B222" s="1"/>
      <c r="C222" s="1"/>
      <c r="D222" s="1"/>
      <c r="E222" s="1"/>
      <c r="F222" s="1"/>
      <c r="G222" s="1"/>
      <c r="H222" s="1"/>
      <c r="I222" s="1"/>
      <c r="J222" s="1"/>
      <c r="K222" s="1"/>
      <c r="L222" s="1"/>
      <c r="M222" s="1"/>
      <c r="N222" s="1"/>
      <c r="O222" s="1"/>
      <c r="P222" s="1"/>
      <c r="Q222" s="1"/>
      <c r="R222" s="1"/>
      <c r="S222" s="1"/>
      <c r="T222" s="1"/>
    </row>
    <row r="223" customFormat="false" ht="15" hidden="false" customHeight="false" outlineLevel="0" collapsed="false">
      <c r="A223" s="1"/>
      <c r="B223" s="1"/>
      <c r="C223" s="1"/>
      <c r="D223" s="1"/>
      <c r="E223" s="1"/>
      <c r="F223" s="1"/>
      <c r="G223" s="1"/>
      <c r="H223" s="1"/>
      <c r="I223" s="1"/>
      <c r="J223" s="1"/>
      <c r="K223" s="1"/>
      <c r="L223" s="1"/>
      <c r="M223" s="1"/>
      <c r="N223" s="1"/>
      <c r="O223" s="1"/>
      <c r="P223" s="1"/>
      <c r="Q223" s="1"/>
      <c r="R223" s="1"/>
      <c r="S223" s="1"/>
      <c r="T223" s="1"/>
    </row>
    <row r="224" customFormat="false" ht="15" hidden="false" customHeight="false" outlineLevel="0" collapsed="false">
      <c r="A224" s="1"/>
      <c r="B224" s="1"/>
      <c r="C224" s="1"/>
      <c r="D224" s="1"/>
      <c r="E224" s="1"/>
      <c r="F224" s="1"/>
      <c r="G224" s="1"/>
      <c r="H224" s="1"/>
      <c r="I224" s="1"/>
      <c r="J224" s="1"/>
      <c r="K224" s="1"/>
      <c r="L224" s="1"/>
      <c r="M224" s="1"/>
      <c r="N224" s="1"/>
      <c r="O224" s="1"/>
      <c r="P224" s="1"/>
      <c r="Q224" s="1"/>
      <c r="R224" s="1"/>
      <c r="S224" s="1"/>
      <c r="T224" s="1"/>
    </row>
  </sheetData>
  <mergeCells count="48">
    <mergeCell ref="B2:N2"/>
    <mergeCell ref="B3:N3"/>
    <mergeCell ref="C5:E5"/>
    <mergeCell ref="F5:G5"/>
    <mergeCell ref="H5:I5"/>
    <mergeCell ref="J5:L5"/>
    <mergeCell ref="C6:E6"/>
    <mergeCell ref="F6:G6"/>
    <mergeCell ref="H6:I6"/>
    <mergeCell ref="J6:L6"/>
    <mergeCell ref="B8:N8"/>
    <mergeCell ref="B9:N9"/>
    <mergeCell ref="C10:D10"/>
    <mergeCell ref="F10:G10"/>
    <mergeCell ref="I10:J10"/>
    <mergeCell ref="C11:D11"/>
    <mergeCell ref="F11:G11"/>
    <mergeCell ref="I11:J11"/>
    <mergeCell ref="C12:D12"/>
    <mergeCell ref="F12:G12"/>
    <mergeCell ref="I12:J12"/>
    <mergeCell ref="C13:D13"/>
    <mergeCell ref="F13:G13"/>
    <mergeCell ref="I13:J13"/>
    <mergeCell ref="C14:D14"/>
    <mergeCell ref="F14:G14"/>
    <mergeCell ref="I14:J14"/>
    <mergeCell ref="C15:D15"/>
    <mergeCell ref="F15:G15"/>
    <mergeCell ref="I15:J15"/>
    <mergeCell ref="C16:D16"/>
    <mergeCell ref="F16:G16"/>
    <mergeCell ref="I16:J16"/>
    <mergeCell ref="C17:D17"/>
    <mergeCell ref="F17:G17"/>
    <mergeCell ref="I17:J17"/>
    <mergeCell ref="C18:D18"/>
    <mergeCell ref="F18:G18"/>
    <mergeCell ref="I18:J18"/>
    <mergeCell ref="C19:D19"/>
    <mergeCell ref="F19:G19"/>
    <mergeCell ref="I19:J19"/>
    <mergeCell ref="C20:D20"/>
    <mergeCell ref="F20:G20"/>
    <mergeCell ref="I20:J20"/>
    <mergeCell ref="B22:N22"/>
    <mergeCell ref="B23:N23"/>
    <mergeCell ref="B220:N220"/>
  </mergeCells>
  <conditionalFormatting sqref="K25:K218">
    <cfRule type="dataBar" priority="2">
      <dataBar showValue="1" minLength="10" maxLength="90">
        <cfvo type="num" val="0"/>
        <cfvo type="max" val="0"/>
        <color rgb="FF58A6FF"/>
      </dataBar>
      <extLst>
        <ext xmlns:x14="http://schemas.microsoft.com/office/spreadsheetml/2009/9/main" uri="{B025F937-C7B1-47D3-B67F-A62EFF666E3E}">
          <x14:id>{64C3726E-7853-4065-B46F-D820309E9690}</x14:id>
        </ext>
      </extLst>
    </cfRule>
  </conditionalFormatting>
  <conditionalFormatting sqref="M25:M218">
    <cfRule type="expression" priority="3" aboveAverage="0" equalAverage="0" bottom="0" percent="0" rank="0" text="" dxfId="8">
      <formula>AND(ISNUMBER($M25),ISNUMBER($E25),ABS($M25-$E25)&lt;=0.005)</formula>
    </cfRule>
    <cfRule type="expression" priority="4" aboveAverage="0" equalAverage="0" bottom="0" percent="0" rank="0" text="" dxfId="9">
      <formula>AND(ISNUMBER($M25),ISNUMBER($E25),$M25&gt;$E25+0.005)</formula>
    </cfRule>
  </conditionalFormatting>
  <dataValidations count="1">
    <dataValidation allowBlank="false" errorStyle="stop" operator="between" showDropDown="false" showErrorMessage="false" showInputMessage="false" sqref="B6" type="list">
      <formula1>$Q$1:$Q$17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64C3726E-7853-4065-B46F-D820309E9690}">
            <x14:dataBar minLength="10" maxLength="90" axisPosition="none" gradient="true">
              <x14:cfvo type="num">
                <xm:f>0</xm:f>
              </x14:cfvo>
              <x14:cfvo type="max"/>
              <x14:negativeFillColor rgb="FF58A6FF"/>
              <x14:axisColor rgb="FF000000"/>
            </x14:dataBar>
          </x14:cfRule>
          <xm:sqref>K25:K218</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9" activeCellId="0" sqref="C9"/>
    </sheetView>
  </sheetViews>
  <sheetFormatPr defaultColWidth="9.14453125" defaultRowHeight="13.5" zeroHeight="false" outlineLevelRow="0" outlineLevelCol="0"/>
  <cols>
    <col collapsed="false" customWidth="true" hidden="false" outlineLevel="0" max="1" min="1" style="67" width="26.43"/>
    <col collapsed="false" customWidth="false" hidden="false" outlineLevel="0" max="2" min="2" style="67" width="9.14"/>
    <col collapsed="false" customWidth="true" hidden="false" outlineLevel="0" max="3" min="3" style="67" width="17.71"/>
    <col collapsed="false" customWidth="false" hidden="false" outlineLevel="0" max="16384" min="4" style="67" width="9.14"/>
  </cols>
  <sheetData>
    <row r="1" customFormat="false" ht="30" hidden="false" customHeight="true" outlineLevel="0" collapsed="false">
      <c r="A1" s="218" t="s">
        <v>1268</v>
      </c>
      <c r="B1" s="218"/>
      <c r="C1" s="218"/>
    </row>
    <row r="2" customFormat="false" ht="13.5" hidden="false" customHeight="true" outlineLevel="0" collapsed="false">
      <c r="A2" s="219" t="s">
        <v>1269</v>
      </c>
    </row>
    <row r="4" customFormat="false" ht="13.5" hidden="false" customHeight="true" outlineLevel="0" collapsed="false">
      <c r="A4" s="220" t="s">
        <v>1270</v>
      </c>
      <c r="B4" s="220" t="s">
        <v>1271</v>
      </c>
      <c r="C4" s="220" t="s">
        <v>1272</v>
      </c>
      <c r="E4" s="221" t="s">
        <v>1273</v>
      </c>
      <c r="F4" s="221" t="s">
        <v>1274</v>
      </c>
      <c r="G4" s="221" t="s">
        <v>1275</v>
      </c>
      <c r="H4" s="222" t="s">
        <v>1276</v>
      </c>
    </row>
    <row r="5" customFormat="false" ht="13.5" hidden="false" customHeight="true" outlineLevel="0" collapsed="false">
      <c r="A5" s="67" t="s">
        <v>12</v>
      </c>
      <c r="B5" s="67" t="s">
        <v>179</v>
      </c>
      <c r="C5" s="67" t="s">
        <v>36</v>
      </c>
      <c r="E5" s="223" t="s">
        <v>61</v>
      </c>
      <c r="F5" s="223" t="s">
        <v>61</v>
      </c>
      <c r="G5" s="223" t="s">
        <v>61</v>
      </c>
    </row>
    <row r="6" customFormat="false" ht="13.5" hidden="false" customHeight="true" outlineLevel="0" collapsed="false">
      <c r="A6" s="67" t="s">
        <v>13</v>
      </c>
      <c r="B6" s="67" t="s">
        <v>176</v>
      </c>
      <c r="C6" s="67" t="s">
        <v>1277</v>
      </c>
      <c r="E6" s="223" t="str">
        <f aca="false">IF(EDATE(MIN(tblCompras[Data]),0)&gt;EOMONTH(MAX(tblCompras[Data]),0),"",CHOOSE(MONTH(EDATE(MIN(tblCompras[Data]),0)),"jan","fev","mar","abr","mai","jun","jul","ago","set","out","nov","dez")&amp;"/"&amp;YEAR(EDATE(MIN(tblCompras[Data]),0)))</f>
        <v>mai/2026</v>
      </c>
      <c r="F6" s="223" t="s">
        <v>12</v>
      </c>
      <c r="G6" s="223" t="s">
        <v>36</v>
      </c>
      <c r="H6" s="224" t="n">
        <f aca="false">IF(E6="","",EOMONTH(MIN(tblCompras[Data]),0-1)+1)</f>
        <v>46143</v>
      </c>
    </row>
    <row r="7" customFormat="false" ht="13.5" hidden="false" customHeight="true" outlineLevel="0" collapsed="false">
      <c r="A7" s="67" t="s">
        <v>19</v>
      </c>
      <c r="B7" s="67" t="s">
        <v>1278</v>
      </c>
      <c r="C7" s="67" t="s">
        <v>1279</v>
      </c>
      <c r="E7" s="223" t="str">
        <f aca="false">IF(EDATE(MIN(tblCompras[Data]),1)&gt;EOMONTH(MAX(tblCompras[Data]),0),"",CHOOSE(MONTH(EDATE(MIN(tblCompras[Data]),1)),"jan","fev","mar","abr","mai","jun","jul","ago","set","out","nov","dez")&amp;"/"&amp;YEAR(EDATE(MIN(tblCompras[Data]),1)))</f>
        <v>jun/2026</v>
      </c>
      <c r="F7" s="223" t="s">
        <v>13</v>
      </c>
      <c r="G7" s="223" t="s">
        <v>37</v>
      </c>
      <c r="H7" s="224" t="n">
        <f aca="false">IF(E7="","",EOMONTH(MIN(tblCompras[Data]),1-1)+1)</f>
        <v>46174</v>
      </c>
    </row>
    <row r="8" customFormat="false" ht="13.5" hidden="false" customHeight="true" outlineLevel="0" collapsed="false">
      <c r="A8" s="67" t="s">
        <v>14</v>
      </c>
      <c r="B8" s="67" t="s">
        <v>1280</v>
      </c>
      <c r="C8" s="67" t="s">
        <v>1281</v>
      </c>
      <c r="E8" s="223" t="str">
        <f aca="false">IF(EDATE(MIN(tblCompras[Data]),2)&gt;EOMONTH(MAX(tblCompras[Data]),0),"",CHOOSE(MONTH(EDATE(MIN(tblCompras[Data]),2)),"jan","fev","mar","abr","mai","jun","jul","ago","set","out","nov","dez")&amp;"/"&amp;YEAR(EDATE(MIN(tblCompras[Data]),2)))</f>
        <v>jul/2026</v>
      </c>
      <c r="F8" s="223" t="s">
        <v>14</v>
      </c>
      <c r="G8" s="223" t="s">
        <v>38</v>
      </c>
      <c r="H8" s="224" t="n">
        <f aca="false">IF(E8="","",EOMONTH(MIN(tblCompras[Data]),2-1)+1)</f>
        <v>46204</v>
      </c>
    </row>
    <row r="9" customFormat="false" ht="13.5" hidden="false" customHeight="true" outlineLevel="0" collapsed="false">
      <c r="A9" s="67" t="s">
        <v>22</v>
      </c>
      <c r="B9" s="67" t="s">
        <v>1282</v>
      </c>
      <c r="C9" s="67" t="s">
        <v>1283</v>
      </c>
      <c r="E9" s="223" t="str">
        <f aca="false">IF(EDATE(MIN(tblCompras[Data]),3)&gt;EOMONTH(MAX(tblCompras[Data]),0),"",CHOOSE(MONTH(EDATE(MIN(tblCompras[Data]),3)),"jan","fev","mar","abr","mai","jun","jul","ago","set","out","nov","dez")&amp;"/"&amp;YEAR(EDATE(MIN(tblCompras[Data]),3)))</f>
        <v>ago/2026</v>
      </c>
      <c r="F9" s="223" t="s">
        <v>15</v>
      </c>
      <c r="G9" s="223" t="s">
        <v>39</v>
      </c>
      <c r="H9" s="224" t="n">
        <f aca="false">IF(E9="","",EOMONTH(MIN(tblCompras[Data]),3-1)+1)</f>
        <v>46235</v>
      </c>
    </row>
    <row r="10" customFormat="false" ht="13.5" hidden="false" customHeight="true" outlineLevel="0" collapsed="false">
      <c r="A10" s="67" t="s">
        <v>15</v>
      </c>
      <c r="B10" s="67" t="s">
        <v>1284</v>
      </c>
      <c r="C10" s="67" t="s">
        <v>38</v>
      </c>
      <c r="E10" s="223" t="str">
        <f aca="false">IF(EDATE(MIN(tblCompras[Data]),4)&gt;EOMONTH(MAX(tblCompras[Data]),0),"",CHOOSE(MONTH(EDATE(MIN(tblCompras[Data]),4)),"jan","fev","mar","abr","mai","jun","jul","ago","set","out","nov","dez")&amp;"/"&amp;YEAR(EDATE(MIN(tblCompras[Data]),4)))</f>
        <v/>
      </c>
      <c r="F10" s="223" t="s">
        <v>16</v>
      </c>
      <c r="G10" s="223" t="s">
        <v>40</v>
      </c>
      <c r="H10" s="224" t="str">
        <f aca="false">IF(E10="","",EOMONTH(MIN(tblCompras[Data]),4-1)+1)</f>
        <v/>
      </c>
    </row>
    <row r="11" customFormat="false" ht="13.5" hidden="false" customHeight="true" outlineLevel="0" collapsed="false">
      <c r="A11" s="67" t="s">
        <v>17</v>
      </c>
      <c r="B11" s="67" t="s">
        <v>45</v>
      </c>
      <c r="C11" s="67" t="s">
        <v>40</v>
      </c>
      <c r="E11" s="223" t="str">
        <f aca="false">IF(EDATE(MIN(tblCompras[Data]),5)&gt;EOMONTH(MAX(tblCompras[Data]),0),"",CHOOSE(MONTH(EDATE(MIN(tblCompras[Data]),5)),"jan","fev","mar","abr","mai","jun","jul","ago","set","out","nov","dez")&amp;"/"&amp;YEAR(EDATE(MIN(tblCompras[Data]),5)))</f>
        <v/>
      </c>
      <c r="F11" s="223" t="s">
        <v>17</v>
      </c>
      <c r="G11" s="223" t="s">
        <v>41</v>
      </c>
      <c r="H11" s="224" t="str">
        <f aca="false">IF(E11="","",EOMONTH(MIN(tblCompras[Data]),5-1)+1)</f>
        <v/>
      </c>
    </row>
    <row r="12" customFormat="false" ht="13.5" hidden="false" customHeight="true" outlineLevel="0" collapsed="false">
      <c r="A12" s="67" t="s">
        <v>16</v>
      </c>
      <c r="C12" s="67" t="s">
        <v>43</v>
      </c>
      <c r="E12" s="223" t="str">
        <f aca="false">IF(EDATE(MIN(tblCompras[Data]),6)&gt;EOMONTH(MAX(tblCompras[Data]),0),"",CHOOSE(MONTH(EDATE(MIN(tblCompras[Data]),6)),"jan","fev","mar","abr","mai","jun","jul","ago","set","out","nov","dez")&amp;"/"&amp;YEAR(EDATE(MIN(tblCompras[Data]),6)))</f>
        <v/>
      </c>
      <c r="F12" s="223" t="s">
        <v>18</v>
      </c>
      <c r="G12" s="223" t="s">
        <v>42</v>
      </c>
      <c r="H12" s="224" t="str">
        <f aca="false">IF(E12="","",EOMONTH(MIN(tblCompras[Data]),6-1)+1)</f>
        <v/>
      </c>
    </row>
    <row r="13" customFormat="false" ht="13.5" hidden="false" customHeight="true" outlineLevel="0" collapsed="false">
      <c r="A13" s="67" t="s">
        <v>18</v>
      </c>
      <c r="C13" s="129" t="s">
        <v>37</v>
      </c>
      <c r="E13" s="223" t="str">
        <f aca="false">IF(EDATE(MIN(tblCompras[Data]),7)&gt;EOMONTH(MAX(tblCompras[Data]),0),"",CHOOSE(MONTH(EDATE(MIN(tblCompras[Data]),7)),"jan","fev","mar","abr","mai","jun","jul","ago","set","out","nov","dez")&amp;"/"&amp;YEAR(EDATE(MIN(tblCompras[Data]),7)))</f>
        <v/>
      </c>
      <c r="F13" s="223" t="s">
        <v>19</v>
      </c>
      <c r="G13" s="223" t="s">
        <v>43</v>
      </c>
      <c r="H13" s="224" t="str">
        <f aca="false">IF(E13="","",EOMONTH(MIN(tblCompras[Data]),7-1)+1)</f>
        <v/>
      </c>
    </row>
    <row r="14" customFormat="false" ht="13.5" hidden="false" customHeight="true" outlineLevel="0" collapsed="false">
      <c r="A14" s="67" t="s">
        <v>1285</v>
      </c>
      <c r="C14" s="129" t="s">
        <v>42</v>
      </c>
      <c r="E14" s="223" t="str">
        <f aca="false">IF(EDATE(MIN(tblCompras[Data]),8)&gt;EOMONTH(MAX(tblCompras[Data]),0),"",CHOOSE(MONTH(EDATE(MIN(tblCompras[Data]),8)),"jan","fev","mar","abr","mai","jun","jul","ago","set","out","nov","dez")&amp;"/"&amp;YEAR(EDATE(MIN(tblCompras[Data]),8)))</f>
        <v/>
      </c>
      <c r="F14" s="223" t="s">
        <v>20</v>
      </c>
      <c r="G14" s="223" t="s">
        <v>44</v>
      </c>
      <c r="H14" s="224" t="str">
        <f aca="false">IF(E14="","",EOMONTH(MIN(tblCompras[Data]),8-1)+1)</f>
        <v/>
      </c>
    </row>
    <row r="15" customFormat="false" ht="13.5" hidden="false" customHeight="true" outlineLevel="0" collapsed="false">
      <c r="A15" s="67" t="s">
        <v>21</v>
      </c>
      <c r="C15" s="67" t="s">
        <v>39</v>
      </c>
      <c r="E15" s="223" t="str">
        <f aca="false">IF(EDATE(MIN(tblCompras[Data]),9)&gt;EOMONTH(MAX(tblCompras[Data]),0),"",CHOOSE(MONTH(EDATE(MIN(tblCompras[Data]),9)),"jan","fev","mar","abr","mai","jun","jul","ago","set","out","nov","dez")&amp;"/"&amp;YEAR(EDATE(MIN(tblCompras[Data]),9)))</f>
        <v/>
      </c>
      <c r="F15" s="223" t="s">
        <v>21</v>
      </c>
      <c r="G15" s="223" t="s">
        <v>45</v>
      </c>
      <c r="H15" s="224" t="str">
        <f aca="false">IF(E15="","",EOMONTH(MIN(tblCompras[Data]),9-1)+1)</f>
        <v/>
      </c>
    </row>
    <row r="16" customFormat="false" ht="13.5" hidden="false" customHeight="true" outlineLevel="0" collapsed="false">
      <c r="E16" s="223" t="str">
        <f aca="false">IF(EDATE(MIN(tblCompras[Data]),10)&gt;EOMONTH(MAX(tblCompras[Data]),0),"",CHOOSE(MONTH(EDATE(MIN(tblCompras[Data]),10)),"jan","fev","mar","abr","mai","jun","jul","ago","set","out","nov","dez")&amp;"/"&amp;YEAR(EDATE(MIN(tblCompras[Data]),10)))</f>
        <v/>
      </c>
      <c r="F16" s="223" t="s">
        <v>22</v>
      </c>
      <c r="G16" s="223" t="s">
        <v>46</v>
      </c>
      <c r="H16" s="224" t="str">
        <f aca="false">IF(E16="","",EOMONTH(MIN(tblCompras[Data]),10-1)+1)</f>
        <v/>
      </c>
    </row>
    <row r="17" customFormat="false" ht="13.5" hidden="false" customHeight="true" outlineLevel="0" collapsed="false">
      <c r="E17" s="223" t="str">
        <f aca="false">IF(EDATE(MIN(tblCompras[Data]),11)&gt;EOMONTH(MAX(tblCompras[Data]),0),"",CHOOSE(MONTH(EDATE(MIN(tblCompras[Data]),11)),"jan","fev","mar","abr","mai","jun","jul","ago","set","out","nov","dez")&amp;"/"&amp;YEAR(EDATE(MIN(tblCompras[Data]),11)))</f>
        <v/>
      </c>
      <c r="F17" s="223" t="s">
        <v>23</v>
      </c>
      <c r="G17" s="223" t="s">
        <v>47</v>
      </c>
      <c r="H17" s="224" t="str">
        <f aca="false">IF(E17="","",EOMONTH(MIN(tblCompras[Data]),11-1)+1)</f>
        <v/>
      </c>
    </row>
    <row r="18" customFormat="false" ht="13.5" hidden="false" customHeight="true" outlineLevel="0" collapsed="false">
      <c r="F18" s="223" t="s">
        <v>24</v>
      </c>
      <c r="G18" s="223" t="s">
        <v>48</v>
      </c>
    </row>
    <row r="19" customFormat="false" ht="13.5" hidden="false" customHeight="true" outlineLevel="0" collapsed="false">
      <c r="E19" s="222" t="s">
        <v>1286</v>
      </c>
      <c r="F19" s="223" t="s">
        <v>25</v>
      </c>
    </row>
    <row r="20" customFormat="false" ht="13.5" hidden="false" customHeight="true" outlineLevel="0" collapsed="false">
      <c r="F20" s="223" t="s">
        <v>26</v>
      </c>
    </row>
    <row r="21" customFormat="false" ht="13.5" hidden="false" customHeight="true" outlineLevel="0" collapsed="false">
      <c r="F21" s="223" t="s">
        <v>27</v>
      </c>
    </row>
  </sheetData>
  <mergeCells count="1">
    <mergeCell ref="A1:C1"/>
  </mergeCells>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2026-05-05T23:52:52Z</dcterms:created>
  <dc:creator>thiago mattos</dc:creator>
  <dc:description/>
  <dc:language>en-US</dc:language>
  <cp:lastModifiedBy/>
  <dcterms:modified xsi:type="dcterms:W3CDTF">2026-08-11T01:25:06Z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